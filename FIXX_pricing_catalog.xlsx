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_rels/sheet10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9.xml" ContentType="application/vnd.openxmlformats-officedocument.drawing+xml"/>
  <Override PartName="/xl/drawings/drawing1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rices" sheetId="1" state="visible" r:id="rId3"/>
    <sheet name="Tasks" sheetId="2" state="visible" r:id="rId4"/>
    <sheet name="Task_Subtotals" sheetId="3" state="visible" r:id="rId5"/>
    <sheet name="Summary" sheetId="4" state="visible" r:id="rId6"/>
    <sheet name="Quote_Builder" sheetId="5" state="visible" r:id="rId7"/>
    <sheet name="Labor_Rates" sheetId="6" state="visible" r:id="rId8"/>
    <sheet name="Min_Wage_Floor" sheetId="7" state="visible" r:id="rId9"/>
    <sheet name="Urgency" sheetId="8" state="visible" r:id="rId10"/>
    <sheet name="Price_History" sheetId="9" state="visible" r:id="rId11"/>
    <sheet name="Labor_History" sheetId="10" state="visible" r:id="rId12"/>
    <sheet name="Labor_Sources" sheetId="11" state="visible" r:id="rId13"/>
    <sheet name="Diagnosis_Fees" sheetId="12" state="visible" r:id="rId14"/>
    <sheet name="Task_ID_Map" sheetId="13" state="visible" r:id="rId15"/>
    <sheet name="Rules" sheetId="14" state="visible" r:id="rId16"/>
    <sheet name="Decisions_Open" sheetId="15" state="visible" r:id="rId17"/>
  </sheets>
  <definedNames>
    <definedName function="false" hidden="true" localSheetId="14" name="_xlnm._FilterDatabase" vbProcedure="false">Decisions_Open!$A$1:$F$32</definedName>
    <definedName function="false" hidden="true" localSheetId="11" name="_xlnm._FilterDatabase" vbProcedure="false">Diagnosis_Fees!$A$1:$M$9</definedName>
    <definedName function="false" hidden="true" localSheetId="9" name="_xlnm._FilterDatabase" vbProcedure="false">Labor_History!$A$1:$I$79</definedName>
    <definedName function="false" hidden="true" localSheetId="5" name="_xlnm._FilterDatabase" vbProcedure="false">Labor_Rates!$A$1:$Y$78</definedName>
    <definedName function="false" hidden="true" localSheetId="10" name="_xlnm._FilterDatabase" vbProcedure="false">Labor_Sources!$A$1:$D$28</definedName>
    <definedName function="false" hidden="true" localSheetId="6" name="_xlnm._FilterDatabase" vbProcedure="false">Min_Wage_Floor!$A$13:$N$90</definedName>
    <definedName function="false" hidden="true" localSheetId="8" name="_xlnm._FilterDatabase" vbProcedure="false">Price_History!$A$1:$G$211</definedName>
    <definedName function="false" hidden="true" localSheetId="0" name="_xlnm._FilterDatabase" vbProcedure="false">Prices!$A$1:$S$218</definedName>
    <definedName function="false" hidden="true" localSheetId="4" name="_xlnm._FilterDatabase" vbProcedure="false">Quote_Builder!$A$1:$R$505</definedName>
    <definedName function="false" hidden="true" localSheetId="13" name="_xlnm._FilterDatabase" vbProcedure="false">Rules!$A$1:$C$26</definedName>
    <definedName function="false" hidden="true" localSheetId="2" name="_xlnm._FilterDatabase" vbProcedure="false">Task_Subtotals!$A$1:$P$127</definedName>
    <definedName function="false" hidden="true" localSheetId="1" name="_xlnm._FilterDatabase" vbProcedure="false">Tasks!$A$1:$Q$476</definedName>
    <definedName function="false" hidden="true" localSheetId="7" name="_xlnm._FilterDatabase" vbProcedure="false">Urgency!$A$1:$I$5</definedName>
    <definedName function="false" hidden="false" name="LH_Date" vbProcedure="false">Labor_History!$A$2:$A$5000</definedName>
    <definedName function="false" hidden="false" name="LH_High" vbProcedure="false">Labor_History!$E$2:$E$5000</definedName>
    <definedName function="false" hidden="false" name="LH_Key" vbProcedure="false">Labor_History!$B$2:$B$5000</definedName>
    <definedName function="false" hidden="false" name="LH_Low" vbProcedure="false">Labor_History!$C$2:$C$5000</definedName>
    <definedName function="false" hidden="false" name="LH_Typ" vbProcedure="false">Labor_History!$D$2:$D$5000</definedName>
    <definedName function="false" hidden="false" name="LR_Flag" vbProcedure="false">Labor_Rates!$X$2:$X$78</definedName>
    <definedName function="false" hidden="false" name="LR_Key" vbProcedure="false">Labor_Rates!$A$2:$A$78</definedName>
    <definedName function="false" hidden="false" name="LR_LowLabor" vbProcedure="false">Labor_Rates!$N$2:$N$78</definedName>
    <definedName function="false" hidden="false" name="LR_Trade" vbProcedure="false">Labor_Rates!$F$2:$F$78</definedName>
    <definedName function="false" hidden="false" name="LR_TypLabor" vbProcedure="false">Labor_Rates!$M$2:$M$78</definedName>
    <definedName function="false" hidden="false" name="MW_Check" vbProcedure="false">Min_Wage_Floor!$K$14:$K$90</definedName>
    <definedName function="false" hidden="false" name="MW_Daily" vbProcedure="false">Min_Wage_Floor!$B$3:$B$11</definedName>
    <definedName function="false" hidden="false" name="MW_Floor" vbProcedure="false">Min_Wage_Floor!$I$14:$I$90</definedName>
    <definedName function="false" hidden="false" name="MW_Key" vbProcedure="false">Min_Wage_Floor!$A$14:$A$90</definedName>
    <definedName function="false" hidden="false" name="MW_Trade" vbProcedure="false">Min_Wage_Floor!$A$3:$A$11</definedName>
    <definedName function="false" hidden="false" name="PH_Date" vbProcedure="false">Price_History!$A$2:$A$5000</definedName>
    <definedName function="false" hidden="false" name="PH_ItemID" vbProcedure="false">Price_History!$B$2:$B$5000</definedName>
    <definedName function="false" hidden="false" name="PH_Price" vbProcedure="false">Price_History!$C$2:$C$5000</definedName>
    <definedName function="false" hidden="false" name="PH_Store" vbProcedure="false">Price_History!$D$2:$D$5000</definedName>
    <definedName function="false" hidden="false" name="PH_URL" vbProcedure="false">Price_History!$E$2:$E$5000</definedName>
    <definedName function="false" hidden="false" name="Prices_CheckDate" vbProcedure="false">Prices!$L$2:$L$500</definedName>
    <definedName function="false" hidden="false" name="Prices_Current" vbProcedure="false">Prices!$J$2:$J$500</definedName>
    <definedName function="false" hidden="false" name="Prices_Flag" vbProcedure="false">Prices!$N$2:$N$500</definedName>
    <definedName function="false" hidden="false" name="Prices_ID" vbProcedure="false">Prices!$A$2:$A$500</definedName>
    <definedName function="false" hidden="false" name="Prices_Item" vbProcedure="false">Prices!$C$2:$C$500</definedName>
    <definedName function="false" hidden="false" name="QB_Task" vbProcedure="false">Quote_Builder!$A$2:$A$505</definedName>
    <definedName function="false" hidden="false" name="QB_Tier" vbProcedure="false">Quote_Builder!$D$2:$D$505</definedName>
    <definedName function="false" hidden="false" name="QB_Total" vbProcedure="false">Quote_Builder!$K$2:$K$505</definedName>
    <definedName function="false" hidden="false" name="QB_Urg" vbProcedure="false">Quote_Builder!$E$2:$E$505</definedName>
    <definedName function="false" hidden="false" name="Sub_Diff" vbProcedure="false">Task_Subtotals!$M$2:$M$127</definedName>
    <definedName function="false" hidden="false" name="Sum_Base" vbProcedure="false">Summary!$D$6:$M$46</definedName>
    <definedName function="false" hidden="false" name="Sum_BaseTasks" vbProcedure="false">Summary!$A$6:$A$46</definedName>
    <definedName function="false" hidden="false" name="Sum_BaseTiers" vbProcedure="false">Summary!$D$5:$M$5</definedName>
    <definedName function="false" hidden="false" name="Tasks_Cost" vbProcedure="false">Tasks!$L$2:$L$2000</definedName>
    <definedName function="false" hidden="false" name="Tasks_ItemID" vbProcedure="false">Tasks!$F$2:$F$2000</definedName>
    <definedName function="false" hidden="false" name="Tasks_Review" vbProcedure="false">Tasks!$Q$2:$Q$2000</definedName>
    <definedName function="false" hidden="false" name="Tasks_TaskID" vbProcedure="false">Tasks!$B$2:$B$2000</definedName>
    <definedName function="false" hidden="false" name="Tasks_Tier" vbProcedure="false">Tasks!$E$2:$E$2000</definedName>
    <definedName function="false" hidden="false" name="Tasks_Type" vbProcedure="false">Tasks!$K$2:$K$2000</definedName>
    <definedName function="false" hidden="false" name="Urg_EMERGENCY" vbProcedure="false">Urgency!$B$5</definedName>
    <definedName function="false" hidden="false" name="Urg_HIGH" vbProcedure="false">Urgency!$B$4</definedName>
    <definedName function="false" hidden="false" name="Urg_Levels" vbProcedure="false">Urgency!$A$2:$A$5</definedName>
    <definedName function="false" hidden="false" name="Urg_MEDIUM" vbProcedure="false">Urgency!$B$3</definedName>
    <definedName function="false" hidden="false" name="Urg_Mult" vbProcedure="false">Urgency!$B$2:$B$5</definedName>
    <definedName function="false" hidden="false" name="Urg_STANDARD" vbProcedure="false">Urgency!$B$2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<sst xmlns="http://schemas.openxmlformats.org/spreadsheetml/2006/main" count="16122" uniqueCount="2546">
  <si>
    <t xml:space="preserve">Item_ID</t>
  </si>
  <si>
    <t xml:space="preserve">Category</t>
  </si>
  <si>
    <t xml:space="preserve">Item (English)</t>
  </si>
  <si>
    <t xml:space="preserve">Spanish_Name</t>
  </si>
  <si>
    <t xml:space="preserve">Spec</t>
  </si>
  <si>
    <t xml:space="preserve">Unit / Pack</t>
  </si>
  <si>
    <t xml:space="preserve">Store</t>
  </si>
  <si>
    <t xml:space="preserve">URL</t>
  </si>
  <si>
    <t xml:space="preserve">URL_Status</t>
  </si>
  <si>
    <t xml:space="preserve">Current_Price_MXN</t>
  </si>
  <si>
    <t xml:space="preserve">IVA_Status</t>
  </si>
  <si>
    <t xml:space="preserve">Check_Date</t>
  </si>
  <si>
    <t xml:space="preserve">Days_Since_Check</t>
  </si>
  <si>
    <t xml:space="preserve">Flag</t>
  </si>
  <si>
    <t xml:space="preserve">Previous_Check_Date</t>
  </si>
  <si>
    <t xml:space="preserve">Previous_Price_MXN</t>
  </si>
  <si>
    <t xml:space="preserve">Change_%</t>
  </si>
  <si>
    <t xml:space="preserve">Trend</t>
  </si>
  <si>
    <t xml:space="preserve">Notes</t>
  </si>
  <si>
    <t xml:space="preserve">PNT-M01</t>
  </si>
  <si>
    <t xml:space="preserve">Painting</t>
  </si>
  <si>
    <t xml:space="preserve">Paint + sealer, budget tier</t>
  </si>
  <si>
    <t xml:space="preserve">Pintura vinílica + sellador</t>
  </si>
  <si>
    <t xml:space="preserve">43 m² living room, 2 coats, Comex coverage derated 50%</t>
  </si>
  <si>
    <t xml:space="preserve">kit (line total)</t>
  </si>
  <si>
    <t xml:space="preserve">Store &amp; URL to fill on next check</t>
  </si>
  <si>
    <t xml:space="preserve">included</t>
  </si>
  <si>
    <t xml:space="preserve">none</t>
  </si>
  <si>
    <t xml:space="preserve">SUPERSEDED 2026-10-24 by itemized kit components (see Tasks); kept for history, not used in tasks. line total, itemize on next check. </t>
  </si>
  <si>
    <t xml:space="preserve">PNT-M02</t>
  </si>
  <si>
    <t xml:space="preserve">Paint + sealer, standard tier (Berelinte = standard paint)</t>
  </si>
  <si>
    <t xml:space="preserve">Pintura Berel Berelinte + sellador</t>
  </si>
  <si>
    <t xml:space="preserve">PNT-M03</t>
  </si>
  <si>
    <t xml:space="preserve">Paint + sealer, premium tier</t>
  </si>
  <si>
    <t xml:space="preserve">PNT-M04</t>
  </si>
  <si>
    <t xml:space="preserve">Painting consumables, budget tier (roller covers, tape, plastic sheeting, sandpaper, patching compound)</t>
  </si>
  <si>
    <t xml:space="preserve">Consumibles: felpas de rodillo, cinta masking, plástico, lija, resanador</t>
  </si>
  <si>
    <t xml:space="preserve">43 m² living room, 2 coats, Comex coverage derated 50%; prorated</t>
  </si>
  <si>
    <t xml:space="preserve">SUPERSEDED 2026-10-24 by itemized kit components (see Tasks); kept for history, not used in tasks. line total, itemize on next check. Derived: 3,753 with consumables − 2,810 paint+sealer.</t>
  </si>
  <si>
    <t xml:space="preserve">PNT-M05</t>
  </si>
  <si>
    <t xml:space="preserve">Painting consumables, standard tier (roller covers, tape, plastic sheeting, sandpaper, patching compound)</t>
  </si>
  <si>
    <t xml:space="preserve">SUPERSEDED 2026-10-24 by itemized kit components (see Tasks); kept for history, not used in tasks. line total, itemize on next check. Derived: 4,858 with consumables − 3,585 paint+sealer.</t>
  </si>
  <si>
    <t xml:space="preserve">PNT-M06</t>
  </si>
  <si>
    <t xml:space="preserve">Painting consumables, premium tier (roller covers, tape, plastic sheeting, sandpaper, patching compound)</t>
  </si>
  <si>
    <t xml:space="preserve">SUPERSEDED 2026-10-24 by itemized kit components (see Tasks); kept for history, not used in tasks. line total, itemize on next check. Derived: 6,734 with consumables − 5,175 paint+sealer.</t>
  </si>
  <si>
    <t xml:space="preserve">PNT-M07</t>
  </si>
  <si>
    <t xml:space="preserve">Caulk (as-needed)</t>
  </si>
  <si>
    <t xml:space="preserve">Sellador acrílico flexible (caulk)</t>
  </si>
  <si>
    <t xml:space="preserve">per cartridge</t>
  </si>
  <si>
    <t xml:space="preserve">cartridge</t>
  </si>
  <si>
    <t xml:space="preserve">Unpriced: price on next check.</t>
  </si>
  <si>
    <t xml:space="preserve">HVC-M01</t>
  </si>
  <si>
    <t xml:space="preserve">HVAC</t>
  </si>
  <si>
    <t xml:space="preserve">Minisplit maintenance materials, 1 t</t>
  </si>
  <si>
    <t xml:space="preserve">Materiales de mantenimiento de minisplit</t>
  </si>
  <si>
    <t xml:space="preserve">1 t unit</t>
  </si>
  <si>
    <t xml:space="preserve">HVC-M02</t>
  </si>
  <si>
    <t xml:space="preserve">Minisplit maintenance materials, 1.5 t</t>
  </si>
  <si>
    <t xml:space="preserve">1.5 t unit</t>
  </si>
  <si>
    <t xml:space="preserve">HVC-M03</t>
  </si>
  <si>
    <t xml:space="preserve">Minisplit maintenance materials, 2 t</t>
  </si>
  <si>
    <t xml:space="preserve">2 t unit</t>
  </si>
  <si>
    <t xml:space="preserve">HVC-M04</t>
  </si>
  <si>
    <t xml:space="preserve">Minisplit maintenance materials, 3 t</t>
  </si>
  <si>
    <t xml:space="preserve">3 t unit</t>
  </si>
  <si>
    <t xml:space="preserve">HVC-M05</t>
  </si>
  <si>
    <t xml:space="preserve">Minisplit install kit, all-copper line set, 1 t</t>
  </si>
  <si>
    <t xml:space="preserve">Kit de instalación con línea de cobre</t>
  </si>
  <si>
    <t xml:space="preserve">1 t unit; minisplit unit excluded</t>
  </si>
  <si>
    <t xml:space="preserve">HVC-M06</t>
  </si>
  <si>
    <t xml:space="preserve">Minisplit install kit, all-copper line set, 1.5 t</t>
  </si>
  <si>
    <t xml:space="preserve">1.5 t unit; minisplit unit excluded</t>
  </si>
  <si>
    <t xml:space="preserve">HVC-M07</t>
  </si>
  <si>
    <t xml:space="preserve">Minisplit install kit, all-copper line set, 2 t</t>
  </si>
  <si>
    <t xml:space="preserve">2 t unit; minisplit unit excluded</t>
  </si>
  <si>
    <t xml:space="preserve">HVC-M08</t>
  </si>
  <si>
    <t xml:space="preserve">Minisplit install kit, all-copper line set, 3 t</t>
  </si>
  <si>
    <t xml:space="preserve">3 t unit; minisplit unit excluded</t>
  </si>
  <si>
    <t xml:space="preserve">HVC-M09</t>
  </si>
  <si>
    <t xml:space="preserve">Extra meter of copper line set, 1 t</t>
  </si>
  <si>
    <t xml:space="preserve">Metro adicional de línea de cobre</t>
  </si>
  <si>
    <t xml:space="preserve">m</t>
  </si>
  <si>
    <t xml:space="preserve">Per extra meter beyond kit length.</t>
  </si>
  <si>
    <t xml:space="preserve">HVC-M10</t>
  </si>
  <si>
    <t xml:space="preserve">Extra meter of copper line set, 1.5 t</t>
  </si>
  <si>
    <t xml:space="preserve">HVC-M11</t>
  </si>
  <si>
    <t xml:space="preserve">Extra meter of copper line set, 2 t</t>
  </si>
  <si>
    <t xml:space="preserve">HVC-M12</t>
  </si>
  <si>
    <t xml:space="preserve">Extra meter of copper line set, 3 t</t>
  </si>
  <si>
    <t xml:space="preserve">HVC-M13</t>
  </si>
  <si>
    <t xml:space="preserve">Copper line kit ¼ + ⅜ (1 t option)</t>
  </si>
  <si>
    <t xml:space="preserve">Kit de tubería de cobre ¼ + ⅜</t>
  </si>
  <si>
    <t xml:space="preserve">¼ + ⅜ in; 1 t alternative to HVC-M05</t>
  </si>
  <si>
    <t xml:space="preserve">kit</t>
  </si>
  <si>
    <t xml:space="preserve">Mercado Libre</t>
  </si>
  <si>
    <t xml:space="preserve">URL to fill on next check</t>
  </si>
  <si>
    <t xml:space="preserve">assumed included</t>
  </si>
  <si>
    <t xml:space="preserve">marketplace</t>
  </si>
  <si>
    <t xml:space="preserve">Marketplace: confirm seller 4.5+ stars and 20+ reviews or official store.</t>
  </si>
  <si>
    <t xml:space="preserve">HVC-M14</t>
  </si>
  <si>
    <t xml:space="preserve">Refrigerant (as-needed)</t>
  </si>
  <si>
    <t xml:space="preserve">Gas refrigerante (según placa del equipo)</t>
  </si>
  <si>
    <t xml:space="preserve">type per unit nameplate</t>
  </si>
  <si>
    <t xml:space="preserve">kg</t>
  </si>
  <si>
    <t xml:space="preserve">FLAGGED-human review</t>
  </si>
  <si>
    <t xml:space="preserve">Unpriced reference line; refrigerants always human review.</t>
  </si>
  <si>
    <t xml:space="preserve">PLM-M01</t>
  </si>
  <si>
    <t xml:space="preserve">Plumbing</t>
  </si>
  <si>
    <t xml:space="preserve">Toilet repair materials, budget</t>
  </si>
  <si>
    <t xml:space="preserve">Materiales para reparación de WC</t>
  </si>
  <si>
    <t xml:space="preserve">fill/flush parts per job</t>
  </si>
  <si>
    <t xml:space="preserve">PLM-M02</t>
  </si>
  <si>
    <t xml:space="preserve">Toilet repair materials, standard</t>
  </si>
  <si>
    <t xml:space="preserve">PLM-M03</t>
  </si>
  <si>
    <t xml:space="preserve">Toilet repair materials, premium</t>
  </si>
  <si>
    <t xml:space="preserve">PLM-M04</t>
  </si>
  <si>
    <t xml:space="preserve">Toilet wax ring (as-needed)</t>
  </si>
  <si>
    <t xml:space="preserve">Anillo de cera para WC</t>
  </si>
  <si>
    <t xml:space="preserve">standard</t>
  </si>
  <si>
    <t xml:space="preserve">pc</t>
  </si>
  <si>
    <t xml:space="preserve">PLM-M05</t>
  </si>
  <si>
    <t xml:space="preserve">Single-lever faucet install materials, budget</t>
  </si>
  <si>
    <t xml:space="preserve">Materiales para instalación de monomando</t>
  </si>
  <si>
    <t xml:space="preserve">faucet itself excluded (fixture)</t>
  </si>
  <si>
    <t xml:space="preserve">PLM-M06</t>
  </si>
  <si>
    <t xml:space="preserve">Single-lever faucet install materials, standard</t>
  </si>
  <si>
    <t xml:space="preserve">PLM-M07</t>
  </si>
  <si>
    <t xml:space="preserve">Single-lever faucet install materials, premium</t>
  </si>
  <si>
    <t xml:space="preserve">PLM-M08</t>
  </si>
  <si>
    <t xml:space="preserve">Supply lines for two-handle faucet</t>
  </si>
  <si>
    <t xml:space="preserve">Mangueras de alimentación para mezcladora</t>
  </si>
  <si>
    <t xml:space="preserve">supply lines only</t>
  </si>
  <si>
    <t xml:space="preserve">set (line total)</t>
  </si>
  <si>
    <t xml:space="preserve">PLM-M09</t>
  </si>
  <si>
    <t xml:space="preserve">Water heater hookup materials</t>
  </si>
  <si>
    <t xml:space="preserve">Materiales de conexión de calentador</t>
  </si>
  <si>
    <t xml:space="preserve">heater excluded (appliance)</t>
  </si>
  <si>
    <t xml:space="preserve">PLM-M10</t>
  </si>
  <si>
    <t xml:space="preserve">Relief valve, budget (as-needed)</t>
  </si>
  <si>
    <t xml:space="preserve">Válvula de alivio para calentador</t>
  </si>
  <si>
    <t xml:space="preserve">per heater</t>
  </si>
  <si>
    <t xml:space="preserve">PLM-M11</t>
  </si>
  <si>
    <t xml:space="preserve">Relief valve, standard (as-needed)</t>
  </si>
  <si>
    <t xml:space="preserve">PLM-M12</t>
  </si>
  <si>
    <t xml:space="preserve">Relief valve, premium (as-needed)</t>
  </si>
  <si>
    <t xml:space="preserve">PLM-M13</t>
  </si>
  <si>
    <t xml:space="preserve">Gas connector for water heater</t>
  </si>
  <si>
    <t xml:space="preserve">Conector flexible para gas</t>
  </si>
  <si>
    <t xml:space="preserve">Approximate price (~$244). Gas parts always human review.</t>
  </si>
  <si>
    <t xml:space="preserve">PLM-M14</t>
  </si>
  <si>
    <t xml:space="preserve">Washer/dryer hookup materials, budget</t>
  </si>
  <si>
    <t xml:space="preserve">Materiales de conexión de lavadora/secadora</t>
  </si>
  <si>
    <t xml:space="preserve">appliances excluded</t>
  </si>
  <si>
    <t xml:space="preserve">PLM-M15</t>
  </si>
  <si>
    <t xml:space="preserve">Washer/dryer hookup materials, standard</t>
  </si>
  <si>
    <t xml:space="preserve">PLM-M16</t>
  </si>
  <si>
    <t xml:space="preserve">Washer/dryer hookup materials excl. hoses, premium</t>
  </si>
  <si>
    <t xml:space="preserve">Materiales de conexión de lavadora/secadora (sin mangueras)</t>
  </si>
  <si>
    <t xml:space="preserve">SUPERSEDED 2026-10-24 by itemized kit components (see Tasks); kept for history, not used in tasks. line total, itemize on next check. Derived: ~1,042 premium total − 310 Beaquicy hoses.</t>
  </si>
  <si>
    <t xml:space="preserve">PLM-M17</t>
  </si>
  <si>
    <t xml:space="preserve">Beaquicy stainless washer hoses (premium)</t>
  </si>
  <si>
    <t xml:space="preserve">Mangueras de acero inoxidable Beaquicy para lavadora</t>
  </si>
  <si>
    <t xml:space="preserve">stainless braided</t>
  </si>
  <si>
    <t xml:space="preserve">set</t>
  </si>
  <si>
    <t xml:space="preserve">PLM-M18</t>
  </si>
  <si>
    <t xml:space="preserve">Biopure enzymatic drain cleaner</t>
  </si>
  <si>
    <t xml:space="preserve">Biopure limpiador enzimático de drenaje</t>
  </si>
  <si>
    <t xml:space="preserve">enzymatic</t>
  </si>
  <si>
    <t xml:space="preserve">PLM-M19</t>
  </si>
  <si>
    <t xml:space="preserve">P-trap (as-needed)</t>
  </si>
  <si>
    <t xml:space="preserve">Céspol (trampa P)</t>
  </si>
  <si>
    <t xml:space="preserve">size per sink</t>
  </si>
  <si>
    <t xml:space="preserve">PLM-M20</t>
  </si>
  <si>
    <t xml:space="preserve">Sink strainers (as-needed)</t>
  </si>
  <si>
    <t xml:space="preserve">Coladera / rejilla para tarja</t>
  </si>
  <si>
    <t xml:space="preserve">ELC-M01</t>
  </si>
  <si>
    <t xml:space="preserve">Electrical</t>
  </si>
  <si>
    <t xml:space="preserve">Outlets/switches/GFCI materials, budget</t>
  </si>
  <si>
    <t xml:space="preserve">Contactos, apagadores y GFCI</t>
  </si>
  <si>
    <t xml:space="preserve">per ELC-001 scope</t>
  </si>
  <si>
    <t xml:space="preserve">ELC-M02</t>
  </si>
  <si>
    <t xml:space="preserve">Outlets/switches/GFCI materials, standard</t>
  </si>
  <si>
    <t xml:space="preserve">ELC-M03</t>
  </si>
  <si>
    <t xml:space="preserve">Outlets/switches/GFCI materials, premium</t>
  </si>
  <si>
    <t xml:space="preserve">ELC-M04</t>
  </si>
  <si>
    <t xml:space="preserve">Light fixture install consumables</t>
  </si>
  <si>
    <t xml:space="preserve">Consumibles para instalación de luminaria</t>
  </si>
  <si>
    <t xml:space="preserve">fixture excluded</t>
  </si>
  <si>
    <t xml:space="preserve">ELC-M05</t>
  </si>
  <si>
    <t xml:space="preserve">Ceiling fan install consumables</t>
  </si>
  <si>
    <t xml:space="preserve">Consumibles para instalación de ventilador de techo</t>
  </si>
  <si>
    <t xml:space="preserve">fan excluded</t>
  </si>
  <si>
    <t xml:space="preserve">ELC-M06</t>
  </si>
  <si>
    <t xml:space="preserve">Southwire ceiling fan box (drywall/ceiling joist)</t>
  </si>
  <si>
    <t xml:space="preserve">Caja para ventilador de techo Southwire</t>
  </si>
  <si>
    <t xml:space="preserve">for drywall ceilings</t>
  </si>
  <si>
    <t xml:space="preserve">Amazon MX</t>
  </si>
  <si>
    <t xml:space="preserve">Fan support option. Human review once the pro confirms ceiling/slab type.</t>
  </si>
  <si>
    <t xml:space="preserve">ELC-M07</t>
  </si>
  <si>
    <t xml:space="preserve">Anclo slab anchors (fan support)</t>
  </si>
  <si>
    <t xml:space="preserve">Anclas/taquetes Anclo para losa</t>
  </si>
  <si>
    <t xml:space="preserve">concrete slab</t>
  </si>
  <si>
    <t xml:space="preserve">pack</t>
  </si>
  <si>
    <t xml:space="preserve">Fan support option for slab. Human review once the pro confirms slab type.</t>
  </si>
  <si>
    <t xml:space="preserve">ELC-M08</t>
  </si>
  <si>
    <t xml:space="preserve">Hilti slab anchors (fan support)</t>
  </si>
  <si>
    <t xml:space="preserve">Anclas Hilti para losa</t>
  </si>
  <si>
    <t xml:space="preserve">ELC-M09</t>
  </si>
  <si>
    <t xml:space="preserve">Minisplit 220 V circuit materials, 1–2 t</t>
  </si>
  <si>
    <t xml:space="preserve">Materiales para circuito 220 V de minisplit</t>
  </si>
  <si>
    <t xml:space="preserve">1–2 t units</t>
  </si>
  <si>
    <t xml:space="preserve">SUPERSEDED 2026-10-24 by itemized kit components (see Tasks); kept for history, not used in tasks. line total, itemize on next check. Unclear whether this includes the breaker; breaker shown as a separate flagged line.</t>
  </si>
  <si>
    <t xml:space="preserve">ELC-M10</t>
  </si>
  <si>
    <t xml:space="preserve">Minisplit 220 V circuit materials, 3 t</t>
  </si>
  <si>
    <t xml:space="preserve">3 t units</t>
  </si>
  <si>
    <t xml:space="preserve">ELC-M11</t>
  </si>
  <si>
    <t xml:space="preserve">GE THQL2130 breaker, 2-pole 30 A (default brand GE THQL)</t>
  </si>
  <si>
    <t xml:space="preserve">Interruptor termomagnético GE THQL2130 2 polos 30 A</t>
  </si>
  <si>
    <t xml:space="preserve">THQL plug-in</t>
  </si>
  <si>
    <t xml:space="preserve">High-load breaker: human review. Confirm amperage against unit nameplate. Seen 2026-10-21 as ABB (ex-GE) THQL2130 at Cyberpuerta $326 + $133 shipping (not adopted; different store).</t>
  </si>
  <si>
    <t xml:space="preserve">ELC-M12</t>
  </si>
  <si>
    <t xml:space="preserve">Short-circuit repair consumables</t>
  </si>
  <si>
    <t xml:space="preserve">Consumibles para reparación de cortocircuito</t>
  </si>
  <si>
    <t xml:space="preserve">per ELC-008 scope</t>
  </si>
  <si>
    <t xml:space="preserve">ELC-M13</t>
  </si>
  <si>
    <t xml:space="preserve">GE 1-pole breaker</t>
  </si>
  <si>
    <t xml:space="preserve">Interruptor termomagnético GE 1 polo</t>
  </si>
  <si>
    <t xml:space="preserve">Breakers are flagged for human review.</t>
  </si>
  <si>
    <t xml:space="preserve">PST-M01</t>
  </si>
  <si>
    <t xml:space="preserve">Pest</t>
  </si>
  <si>
    <t xml:space="preserve">Cockroach/scorpion treatment materials, budget</t>
  </si>
  <si>
    <t xml:space="preserve">Materiales para control de cucarachas y alacranes</t>
  </si>
  <si>
    <t xml:space="preserve">per PST-001 scope</t>
  </si>
  <si>
    <t xml:space="preserve">REFERENCE ONLY-COFEPRIS</t>
  </si>
  <si>
    <t xml:space="preserve">line total, itemize on next check. Pesticides: COFEPRIS reference only.</t>
  </si>
  <si>
    <t xml:space="preserve">PST-M02</t>
  </si>
  <si>
    <t xml:space="preserve">Cockroach/scorpion treatment materials, standard</t>
  </si>
  <si>
    <t xml:space="preserve">PST-M03</t>
  </si>
  <si>
    <t xml:space="preserve">Cockroach/scorpion treatment materials, premium</t>
  </si>
  <si>
    <t xml:space="preserve">PST-M04</t>
  </si>
  <si>
    <t xml:space="preserve">Termite treatment materials, budget</t>
  </si>
  <si>
    <t xml:space="preserve">Materiales para control de termitas</t>
  </si>
  <si>
    <t xml:space="preserve">assumed 40 m perimeter</t>
  </si>
  <si>
    <t xml:space="preserve">PST-M05</t>
  </si>
  <si>
    <t xml:space="preserve">Termite treatment materials, standard</t>
  </si>
  <si>
    <t xml:space="preserve">PST-M06</t>
  </si>
  <si>
    <t xml:space="preserve">Termite treatment materials, premium</t>
  </si>
  <si>
    <t xml:space="preserve">PST-M07</t>
  </si>
  <si>
    <t xml:space="preserve">Rodent control materials, budget</t>
  </si>
  <si>
    <t xml:space="preserve">Materiales para control de roedores</t>
  </si>
  <si>
    <t xml:space="preserve">per job</t>
  </si>
  <si>
    <t xml:space="preserve">PST-M08</t>
  </si>
  <si>
    <t xml:space="preserve">Rodent control materials, standard</t>
  </si>
  <si>
    <t xml:space="preserve">PST-M09</t>
  </si>
  <si>
    <t xml:space="preserve">Rodent control materials, premium</t>
  </si>
  <si>
    <t xml:space="preserve">PST-M10</t>
  </si>
  <si>
    <t xml:space="preserve">Advion (cockroach gel bait)</t>
  </si>
  <si>
    <t xml:space="preserve">Advion gel cucarachicida</t>
  </si>
  <si>
    <t xml:space="preserve">label per COFEPRIS registration</t>
  </si>
  <si>
    <t xml:space="preserve">Reference product; unpriced; itemize on next check.</t>
  </si>
  <si>
    <t xml:space="preserve">PST-M11</t>
  </si>
  <si>
    <t xml:space="preserve">Maxforce (cockroach gel bait)</t>
  </si>
  <si>
    <t xml:space="preserve">Maxforce gel/cebo</t>
  </si>
  <si>
    <t xml:space="preserve">PST-M12</t>
  </si>
  <si>
    <t xml:space="preserve">Icon (residual insecticide (scorpions/crawling insects))</t>
  </si>
  <si>
    <t xml:space="preserve">Icon insecticida residual</t>
  </si>
  <si>
    <t xml:space="preserve">PST-M13</t>
  </si>
  <si>
    <t xml:space="preserve">Termidor (termiticide)</t>
  </si>
  <si>
    <t xml:space="preserve">Termidor termiticida</t>
  </si>
  <si>
    <t xml:space="preserve">PST-M14</t>
  </si>
  <si>
    <t xml:space="preserve">Klerat (rodenticide bait)</t>
  </si>
  <si>
    <t xml:space="preserve">Klerat cebo rodenticida</t>
  </si>
  <si>
    <t xml:space="preserve">GRD-M01</t>
  </si>
  <si>
    <t xml:space="preserve">Gardening</t>
  </si>
  <si>
    <t xml:space="preserve">Lawn fertilizer Nutripasto 10 kg</t>
  </si>
  <si>
    <t xml:space="preserve">Fertilizante Nutripasto 10 kg</t>
  </si>
  <si>
    <t xml:space="preserve">10 kg</t>
  </si>
  <si>
    <t xml:space="preserve">bag 10 kg</t>
  </si>
  <si>
    <t xml:space="preserve">Home Depot</t>
  </si>
  <si>
    <t xml:space="preserve">https://www.homedepot.com.mx/p/nutrigarden-nutripasto-10kg-38-213407</t>
  </si>
  <si>
    <t xml:space="preserve">captured 2026-10-20</t>
  </si>
  <si>
    <t xml:space="preserve">URL found 2026-10-21; price matched listing.</t>
  </si>
  <si>
    <t xml:space="preserve">GRD-M02</t>
  </si>
  <si>
    <t xml:space="preserve">Lawn fertilizer Nutripasto 5 kg</t>
  </si>
  <si>
    <t xml:space="preserve">Fertilizante Nutripasto 5 kg</t>
  </si>
  <si>
    <t xml:space="preserve">5 kg</t>
  </si>
  <si>
    <t xml:space="preserve">bag 5 kg</t>
  </si>
  <si>
    <t xml:space="preserve">https://www.homedepot.com.mx/p/nutrigarden-nutripasto-de-5-kg-cafe-nutrigarden-granulado-84636</t>
  </si>
  <si>
    <t xml:space="preserve">captured 2026-10-26</t>
  </si>
  <si>
    <t xml:space="preserve">URL captured 2026-10-26; price matched listing ($325).</t>
  </si>
  <si>
    <t xml:space="preserve">GRD-M03</t>
  </si>
  <si>
    <t xml:space="preserve">Fertilizer Vigoro 17-17-17 5 kg</t>
  </si>
  <si>
    <t xml:space="preserve">Fertilizante Vigoro triple 17 5 kg</t>
  </si>
  <si>
    <t xml:space="preserve">17-17-17, 5 kg</t>
  </si>
  <si>
    <t xml:space="preserve">https://www.homedepot.com.mx/p/vigoro-fertilizante-inorganico-granulado-17-17-17-excelso-de-5-kg-cafe-vigoro-17-17-17-excelso-291856</t>
  </si>
  <si>
    <t xml:space="preserve">GRD-M04</t>
  </si>
  <si>
    <t xml:space="preserve">Black topsoil 25 kg</t>
  </si>
  <si>
    <t xml:space="preserve">Tierra negra 25 kg</t>
  </si>
  <si>
    <t xml:space="preserve">25 kg</t>
  </si>
  <si>
    <t xml:space="preserve">bag 25 kg</t>
  </si>
  <si>
    <t xml:space="preserve">GRD-M05</t>
  </si>
  <si>
    <t xml:space="preserve">Vigoro prepared soil</t>
  </si>
  <si>
    <t xml:space="preserve">Vigoro tierra preparada</t>
  </si>
  <si>
    <t xml:space="preserve">bag size to confirm</t>
  </si>
  <si>
    <t xml:space="preserve">bag</t>
  </si>
  <si>
    <t xml:space="preserve">GRD-M06</t>
  </si>
  <si>
    <t xml:space="preserve">Pisumma compost 30 L</t>
  </si>
  <si>
    <t xml:space="preserve">Composta Pisumma 30 L</t>
  </si>
  <si>
    <t xml:space="preserve">30 L</t>
  </si>
  <si>
    <t xml:space="preserve">bag 30 L</t>
  </si>
  <si>
    <t xml:space="preserve">https://www.homedepot.com.mx/p/pisumma-composta-organica-de-30-l-pisumma-organico-132159</t>
  </si>
  <si>
    <t xml:space="preserve">GRD-M07</t>
  </si>
  <si>
    <t xml:space="preserve">Truper trimmer line 2.4 mm, 78 m</t>
  </si>
  <si>
    <t xml:space="preserve">Hilo para desbrozadora Truper 2.4 mm 78 m</t>
  </si>
  <si>
    <t xml:space="preserve">2.4 mm × 78 m</t>
  </si>
  <si>
    <t xml:space="preserve">spool 78 m</t>
  </si>
  <si>
    <t xml:space="preserve">Ferreterías Coresi</t>
  </si>
  <si>
    <t xml:space="preserve">https://ferreteriascoresi.com.mx/productos/rollo-de-hilo-para-desbrozadora-24-mm-x-78-m-truper/</t>
  </si>
  <si>
    <t xml:space="preserve">GRD-M08</t>
  </si>
  <si>
    <t xml:space="preserve">Truper trimmer line, 12 m</t>
  </si>
  <si>
    <t xml:space="preserve">Hilo para desbrozadora Truper 12 m</t>
  </si>
  <si>
    <t xml:space="preserve">12 m (diameter to confirm)</t>
  </si>
  <si>
    <t xml:space="preserve">pack 12 m</t>
  </si>
  <si>
    <t xml:space="preserve">GRD-M09</t>
  </si>
  <si>
    <t xml:space="preserve">Truper trimmer line 3 mm, 56 m</t>
  </si>
  <si>
    <t xml:space="preserve">Hilo para desbrozadora Truper 3 mm 56 m</t>
  </si>
  <si>
    <t xml:space="preserve">3 mm × 56 m</t>
  </si>
  <si>
    <t xml:space="preserve">spool 56 m</t>
  </si>
  <si>
    <t xml:space="preserve">GRD-M10</t>
  </si>
  <si>
    <t xml:space="preserve">Stihl trimmer line, 253 m</t>
  </si>
  <si>
    <t xml:space="preserve">Hilo para desbrozadora Stihl 253 m</t>
  </si>
  <si>
    <t xml:space="preserve">253 m</t>
  </si>
  <si>
    <t xml:space="preserve">spool 253 m</t>
  </si>
  <si>
    <t xml:space="preserve">Stihl 2.4 mm × 253 m seen 2026-10-21 at $725 (Ferrepat) / $800 (Stihl store) vs $564 recorded: re-check before use.</t>
  </si>
  <si>
    <t xml:space="preserve">GRD-M11</t>
  </si>
  <si>
    <t xml:space="preserve">Servibolsa garden bags, 40 pc</t>
  </si>
  <si>
    <t xml:space="preserve">Bolsas para jardín Servibolsa 40 pzas</t>
  </si>
  <si>
    <t xml:space="preserve">40 bags</t>
  </si>
  <si>
    <t xml:space="preserve">pack 40</t>
  </si>
  <si>
    <t xml:space="preserve">GRD-M12</t>
  </si>
  <si>
    <t xml:space="preserve">Heavy garden bags, roll of 20</t>
  </si>
  <si>
    <t xml:space="preserve">Bolsas para jardín, rollo de 20</t>
  </si>
  <si>
    <t xml:space="preserve">20 bags (brand to confirm)</t>
  </si>
  <si>
    <t xml:space="preserve">roll 20</t>
  </si>
  <si>
    <t xml:space="preserve">GRD-M13</t>
  </si>
  <si>
    <t xml:space="preserve">Fine bark mulch 56 L</t>
  </si>
  <si>
    <t xml:space="preserve">Corteza fina 56 L</t>
  </si>
  <si>
    <t xml:space="preserve">56 L</t>
  </si>
  <si>
    <t xml:space="preserve">bag 56 L</t>
  </si>
  <si>
    <t xml:space="preserve">GRD-M14</t>
  </si>
  <si>
    <t xml:space="preserve">Vigoro pine bark XL</t>
  </si>
  <si>
    <t xml:space="preserve">Corteza de pino Vigoro XL</t>
  </si>
  <si>
    <t xml:space="preserve">XL bag</t>
  </si>
  <si>
    <t xml:space="preserve">https://www.homedepot.com.mx/p/vigoro-corteza-de-pino-extra-grande-para-jardin-interior-de-pino-600554</t>
  </si>
  <si>
    <t xml:space="preserve">URL captured 2026-10-26; price matched listing ($439).</t>
  </si>
  <si>
    <t xml:space="preserve">GRD-M15</t>
  </si>
  <si>
    <t xml:space="preserve">Sod (grass carpet), per m²</t>
  </si>
  <si>
    <t xml:space="preserve">Pasto en rollo (tapete)</t>
  </si>
  <si>
    <t xml:space="preserve">grass type confirmed by pro</t>
  </si>
  <si>
    <t xml:space="preserve">m²</t>
  </si>
  <si>
    <t xml:space="preserve">Regio Jardín</t>
  </si>
  <si>
    <t xml:space="preserve">GRD-M16</t>
  </si>
  <si>
    <t xml:space="preserve">Allectus GR 5 kg (lawn insecticide)</t>
  </si>
  <si>
    <t xml:space="preserve">Allectus GR 5 kg</t>
  </si>
  <si>
    <t xml:space="preserve">5 kg granules</t>
  </si>
  <si>
    <t xml:space="preserve">Reference only; pesticide (COFEPRIS).</t>
  </si>
  <si>
    <t xml:space="preserve">GRD-M17</t>
  </si>
  <si>
    <t xml:space="preserve">Urban herbicide (JAR/URB RSCO-labelled only)</t>
  </si>
  <si>
    <t xml:space="preserve">Herbicida de uso jardinería/urbano con registro RSCO</t>
  </si>
  <si>
    <t xml:space="preserve">JAR/URB RSCO label required</t>
  </si>
  <si>
    <t xml:space="preserve">Unpriced; only JAR/URB RSCO-labelled products.</t>
  </si>
  <si>
    <t xml:space="preserve">GRD-M18</t>
  </si>
  <si>
    <t xml:space="preserve">Landscape fabric + staples, budget</t>
  </si>
  <si>
    <t xml:space="preserve">Malla antihierba + grapas</t>
  </si>
  <si>
    <t xml:space="preserve">for 50 m² weed clearing</t>
  </si>
  <si>
    <t xml:space="preserve">SUPERSEDED 2026-10-21 by GRD-M24 + GRD-M25; kept for history, not used in tasks.</t>
  </si>
  <si>
    <t xml:space="preserve">GRD-M19</t>
  </si>
  <si>
    <t xml:space="preserve">Landscape fabric + staples, standard</t>
  </si>
  <si>
    <t xml:space="preserve">line total, itemize on next check. </t>
  </si>
  <si>
    <t xml:space="preserve">GRD-M20</t>
  </si>
  <si>
    <t xml:space="preserve">Landscape fabric + staples, premium</t>
  </si>
  <si>
    <t xml:space="preserve">GRD-M21</t>
  </si>
  <si>
    <t xml:space="preserve">Truper cable ties, 100 pc</t>
  </si>
  <si>
    <t xml:space="preserve">Cinchos Truper 100 pzas</t>
  </si>
  <si>
    <t xml:space="preserve">100 pc</t>
  </si>
  <si>
    <t xml:space="preserve">pack 100</t>
  </si>
  <si>
    <t xml:space="preserve">GRD-M22</t>
  </si>
  <si>
    <t xml:space="preserve">Diheresa cable ties</t>
  </si>
  <si>
    <t xml:space="preserve">Cinchos Diheresa</t>
  </si>
  <si>
    <t xml:space="preserve">pack size to confirm (assumed 100 pc)</t>
  </si>
  <si>
    <t xml:space="preserve">GRD-M23</t>
  </si>
  <si>
    <t xml:space="preserve">Podalid pruning sealant</t>
  </si>
  <si>
    <t xml:space="preserve">Podalid cicatrizante para poda</t>
  </si>
  <si>
    <t xml:space="preserve">per container</t>
  </si>
  <si>
    <t xml:space="preserve">Palhogar / IMAISA</t>
  </si>
  <si>
    <t xml:space="preserve">https://palhogarshop.com.mx/products/podalid-cicatrizante-de-heridas-y-cortes-en-arboles</t>
  </si>
  <si>
    <t xml:space="preserve">FLR-M01</t>
  </si>
  <si>
    <t xml:space="preserve">Flooring</t>
  </si>
  <si>
    <t xml:space="preserve">Interceramic tile adhesive</t>
  </si>
  <si>
    <t xml:space="preserve">Adhesivo para piso Interceramic</t>
  </si>
  <si>
    <t xml:space="preserve">Budget tier is ceramic-only.</t>
  </si>
  <si>
    <t xml:space="preserve">FLR-M02</t>
  </si>
  <si>
    <t xml:space="preserve">Crest Total tile adhesive</t>
  </si>
  <si>
    <t xml:space="preserve">Adhesivo Crest Total</t>
  </si>
  <si>
    <t xml:space="preserve">20 kg bag</t>
  </si>
  <si>
    <t xml:space="preserve">https://www.homedepot.com.mx/p/crest-adhesivo-para-piso-porcelanato-piso-sobre-piso-interior-20-kg-alta-adherencia-crest-total-20-kg-800837</t>
  </si>
  <si>
    <t xml:space="preserve">FLR-M03</t>
  </si>
  <si>
    <t xml:space="preserve">Bexel grout</t>
  </si>
  <si>
    <t xml:space="preserve">Boquilla Bexel</t>
  </si>
  <si>
    <t xml:space="preserve">color per job</t>
  </si>
  <si>
    <t xml:space="preserve">FLR-M04</t>
  </si>
  <si>
    <t xml:space="preserve">Crest grout</t>
  </si>
  <si>
    <t xml:space="preserve">Boquilla Crest</t>
  </si>
  <si>
    <t xml:space="preserve">FLR-M05</t>
  </si>
  <si>
    <t xml:space="preserve">Niasa grout</t>
  </si>
  <si>
    <t xml:space="preserve">Boquilla Niasa</t>
  </si>
  <si>
    <t xml:space="preserve">5 kg, unsanded</t>
  </si>
  <si>
    <t xml:space="preserve">https://www.homedepot.com.mx/p/niasa-boquilla-para-porcelanato-color-gris-sin-arena-5-kg-alta-resistencia-ultrafino-porcelanico-936360</t>
  </si>
  <si>
    <t xml:space="preserve">FLR-M06</t>
  </si>
  <si>
    <t xml:space="preserve">Tile spacers (budget)</t>
  </si>
  <si>
    <t xml:space="preserve">Separadores / crucetas para piso</t>
  </si>
  <si>
    <t xml:space="preserve">size per tile</t>
  </si>
  <si>
    <t xml:space="preserve">FLR-M07</t>
  </si>
  <si>
    <t xml:space="preserve">Rubi tile spacers</t>
  </si>
  <si>
    <t xml:space="preserve">Separadores Rubi</t>
  </si>
  <si>
    <t xml:space="preserve">FLR-M08</t>
  </si>
  <si>
    <t xml:space="preserve">Rubi tile leveling clips</t>
  </si>
  <si>
    <t xml:space="preserve">Sistema nivelador Rubi (clips)</t>
  </si>
  <si>
    <t xml:space="preserve">leveling system</t>
  </si>
  <si>
    <t xml:space="preserve">FLR-M09</t>
  </si>
  <si>
    <t xml:space="preserve">Tile repair materials, budget</t>
  </si>
  <si>
    <t xml:space="preserve">Materiales para reparación de piso cerámico</t>
  </si>
  <si>
    <t xml:space="preserve">per FLR-001b scope</t>
  </si>
  <si>
    <t xml:space="preserve">FLR-M10</t>
  </si>
  <si>
    <t xml:space="preserve">Tile repair materials, standard</t>
  </si>
  <si>
    <t xml:space="preserve">FLR-M11</t>
  </si>
  <si>
    <t xml:space="preserve">Tile repair materials, premium</t>
  </si>
  <si>
    <t xml:space="preserve">FLR-M12</t>
  </si>
  <si>
    <t xml:space="preserve">Terza floating-floor underlay, 90 m² roll</t>
  </si>
  <si>
    <t xml:space="preserve">Bajo piso Terza 90 m²</t>
  </si>
  <si>
    <t xml:space="preserve">90 m² roll</t>
  </si>
  <si>
    <t xml:space="preserve">roll 90 m²</t>
  </si>
  <si>
    <t xml:space="preserve">https://www.homedepot.com.mx/p/terza-bajo-piso-transparente-de-90-m2-1-16-120437</t>
  </si>
  <si>
    <t xml:space="preserve">FLR-M13</t>
  </si>
  <si>
    <t xml:space="preserve">Moisture barrier film, budget</t>
  </si>
  <si>
    <t xml:space="preserve">Película barrera de humedad</t>
  </si>
  <si>
    <t xml:space="preserve">20 m² floor</t>
  </si>
  <si>
    <t xml:space="preserve">SUPERSEDED 2026-10-21 by itemized FLR-M30/FLR-M31; kept for history, not used in tasks.</t>
  </si>
  <si>
    <t xml:space="preserve">FLR-M14</t>
  </si>
  <si>
    <t xml:space="preserve">Moisture barrier film, standard</t>
  </si>
  <si>
    <t xml:space="preserve">FLR-M15</t>
  </si>
  <si>
    <t xml:space="preserve">Moisture barrier film, premium</t>
  </si>
  <si>
    <t xml:space="preserve">FLR-M16</t>
  </si>
  <si>
    <t xml:space="preserve">Albatros baseboard, 25 m</t>
  </si>
  <si>
    <t xml:space="preserve">Zoclo Albatros 25 m</t>
  </si>
  <si>
    <t xml:space="preserve">25 m</t>
  </si>
  <si>
    <t xml:space="preserve">pack 25 m</t>
  </si>
  <si>
    <t xml:space="preserve">https://www.homedepot.com.mx/p/albatros-zoclo-residencial-cafe-25-m-014-2-637633</t>
  </si>
  <si>
    <t xml:space="preserve">FLR-M17</t>
  </si>
  <si>
    <t xml:space="preserve">Terza baseboard</t>
  </si>
  <si>
    <t xml:space="preserve">Zoclo Terza</t>
  </si>
  <si>
    <t xml:space="preserve">piece length to confirm</t>
  </si>
  <si>
    <t xml:space="preserve">FLR-M18</t>
  </si>
  <si>
    <t xml:space="preserve">Premium baseboard</t>
  </si>
  <si>
    <t xml:space="preserve">Zoclo premium</t>
  </si>
  <si>
    <t xml:space="preserve">brand and piece length to confirm</t>
  </si>
  <si>
    <t xml:space="preserve">FLR-M19</t>
  </si>
  <si>
    <t xml:space="preserve">T-molding</t>
  </si>
  <si>
    <t xml:space="preserve">Moldura T</t>
  </si>
  <si>
    <t xml:space="preserve">per doorway</t>
  </si>
  <si>
    <t xml:space="preserve">FLR-M20</t>
  </si>
  <si>
    <t xml:space="preserve">Reducer molding</t>
  </si>
  <si>
    <t xml:space="preserve">Moldura reductora</t>
  </si>
  <si>
    <t xml:space="preserve">per transition</t>
  </si>
  <si>
    <t xml:space="preserve">FLR-M21</t>
  </si>
  <si>
    <t xml:space="preserve">Quarter-round molding</t>
  </si>
  <si>
    <t xml:space="preserve">Cuarto bocel</t>
  </si>
  <si>
    <t xml:space="preserve">per piece</t>
  </si>
  <si>
    <t xml:space="preserve">FLR-M22</t>
  </si>
  <si>
    <t xml:space="preserve">Tile floor covering, low end (homeowner reference)</t>
  </si>
  <si>
    <t xml:space="preserve">Piso cerámico/porcelánico</t>
  </si>
  <si>
    <t xml:space="preserve">homeowner choice; not supplied</t>
  </si>
  <si>
    <t xml:space="preserve">Homeowner-choice reference only; not in task totals.</t>
  </si>
  <si>
    <t xml:space="preserve">FLR-M23</t>
  </si>
  <si>
    <t xml:space="preserve">Tile floor covering, high end (homeowner reference)</t>
  </si>
  <si>
    <t xml:space="preserve">FLR-M24</t>
  </si>
  <si>
    <t xml:space="preserve">Laminate floor covering, low end (homeowner reference)</t>
  </si>
  <si>
    <t xml:space="preserve">Piso laminado</t>
  </si>
  <si>
    <t xml:space="preserve">FLR-M25</t>
  </si>
  <si>
    <t xml:space="preserve">Laminate floor covering, high end (homeowner reference)</t>
  </si>
  <si>
    <t xml:space="preserve">FLR-M26</t>
  </si>
  <si>
    <t xml:space="preserve">SPC floor covering, low end (homeowner reference)</t>
  </si>
  <si>
    <t xml:space="preserve">Piso SPC</t>
  </si>
  <si>
    <t xml:space="preserve">FLR-M27</t>
  </si>
  <si>
    <t xml:space="preserve">SPC floor covering, high end (homeowner reference)</t>
  </si>
  <si>
    <t xml:space="preserve">CON-M01</t>
  </si>
  <si>
    <t xml:space="preserve">Concrete</t>
  </si>
  <si>
    <t xml:space="preserve">Sikaflex sealant</t>
  </si>
  <si>
    <t xml:space="preserve">Sikaflex sellador</t>
  </si>
  <si>
    <t xml:space="preserve">CON-M02</t>
  </si>
  <si>
    <t xml:space="preserve">Sikaflex-1A sealant</t>
  </si>
  <si>
    <t xml:space="preserve">Sikaflex-1A sellador</t>
  </si>
  <si>
    <t xml:space="preserve">600 ml cartridge ($459 is the 600 ml size; 300 ml is $269)</t>
  </si>
  <si>
    <t xml:space="preserve">https://www.homedepot.com.mx/p/sika-sellador-elastico-sika-sikaflex-1a-gris-600-ml-sikaflex-1a-814021</t>
  </si>
  <si>
    <t xml:space="preserve">URL found 2026-10-21; price matched listing. Product URL captured 2026-10-26 (600 ml gris $459; blanco 600 ml also $459).</t>
  </si>
  <si>
    <t xml:space="preserve">CON-M03</t>
  </si>
  <si>
    <t xml:space="preserve">Repair mortar (Sodimac)</t>
  </si>
  <si>
    <t xml:space="preserve">Mortero de reparación</t>
  </si>
  <si>
    <t xml:space="preserve">Sodimac</t>
  </si>
  <si>
    <t xml:space="preserve">CON-M04</t>
  </si>
  <si>
    <t xml:space="preserve">SikaTop 122 repair mortar</t>
  </si>
  <si>
    <t xml:space="preserve">SikaTop-122 mortero de reparación</t>
  </si>
  <si>
    <t xml:space="preserve">30 kg bag</t>
  </si>
  <si>
    <t xml:space="preserve">Sika Center México</t>
  </si>
  <si>
    <t xml:space="preserve">https://www.sikacentermexico.com/morteros-1/sikatop-122/</t>
  </si>
  <si>
    <t xml:space="preserve">CON-M05</t>
  </si>
  <si>
    <t xml:space="preserve">Sika MonoTop repair mortar</t>
  </si>
  <si>
    <t xml:space="preserve">Sika MonoTop mortero de reparación</t>
  </si>
  <si>
    <t xml:space="preserve">25 kg bag (MonoTop 412; special order)</t>
  </si>
  <si>
    <t xml:space="preserve">https://www.homedepot.com.mx/p/sika-mortero-de-reparacion-estructural-de-25-kg-monotop-122643</t>
  </si>
  <si>
    <t xml:space="preserve">CON-M06</t>
  </si>
  <si>
    <t xml:space="preserve">Festerbond bonding agent</t>
  </si>
  <si>
    <t xml:space="preserve">Festerbond adhesivo de adherencia</t>
  </si>
  <si>
    <t xml:space="preserve">container size to confirm</t>
  </si>
  <si>
    <t xml:space="preserve">Home Depot lists Festerbond 4 L at $849 and 19 L at $3,199; $280 must be a smaller size: confirm size/URL.</t>
  </si>
  <si>
    <t xml:space="preserve">CON-M07</t>
  </si>
  <si>
    <t xml:space="preserve">Holcim cement</t>
  </si>
  <si>
    <t xml:space="preserve">Cemento Holcim</t>
  </si>
  <si>
    <t xml:space="preserve">CON-M08</t>
  </si>
  <si>
    <t xml:space="preserve">Cemex cement</t>
  </si>
  <si>
    <t xml:space="preserve">Cemento Cemex</t>
  </si>
  <si>
    <t xml:space="preserve">+16% added</t>
  </si>
  <si>
    <t xml:space="preserve">Listed at $242 + IVA; recorded as 242 × 1.16 = 280.72.</t>
  </si>
  <si>
    <t xml:space="preserve">CON-M09</t>
  </si>
  <si>
    <t xml:space="preserve">Aggregates (sand + gravel) for 10 m² × 8 cm slab</t>
  </si>
  <si>
    <t xml:space="preserve">Agregados (arena y grava)</t>
  </si>
  <si>
    <t xml:space="preserve">0.8 m³ slab</t>
  </si>
  <si>
    <t xml:space="preserve">lot (line total)</t>
  </si>
  <si>
    <t xml:space="preserve">CON-M10</t>
  </si>
  <si>
    <t xml:space="preserve">Cemex premixed concrete 25 kg</t>
  </si>
  <si>
    <t xml:space="preserve">Concreto premezclado Cemex 25 kg</t>
  </si>
  <si>
    <t xml:space="preserve">25 kg bag</t>
  </si>
  <si>
    <t xml:space="preserve">https://www.homedepot.com.mx/p/cemex-cemento-gris-premezclado-para-concreto-listo-para-uso-saco-25-kg-seco-131123</t>
  </si>
  <si>
    <t xml:space="preserve">URL captured 2026-10-26; price matched listing ($144).</t>
  </si>
  <si>
    <t xml:space="preserve">CON-M11</t>
  </si>
  <si>
    <t xml:space="preserve">Plastic sheeting for curing</t>
  </si>
  <si>
    <t xml:space="preserve">Plástico para curado (polietileno)</t>
  </si>
  <si>
    <t xml:space="preserve">per slab</t>
  </si>
  <si>
    <t xml:space="preserve">CON-M12</t>
  </si>
  <si>
    <t xml:space="preserve">Curafest curing compound</t>
  </si>
  <si>
    <t xml:space="preserve">Curafest membrana de curado</t>
  </si>
  <si>
    <t xml:space="preserve">CON-M13</t>
  </si>
  <si>
    <t xml:space="preserve">IMPAC concrete sealer</t>
  </si>
  <si>
    <t xml:space="preserve">Sellador IMPAC</t>
  </si>
  <si>
    <t xml:space="preserve">20 m² coverage</t>
  </si>
  <si>
    <t xml:space="preserve">CON-M14</t>
  </si>
  <si>
    <t xml:space="preserve">Fester concrete sealer</t>
  </si>
  <si>
    <t xml:space="preserve">Sellador Fester</t>
  </si>
  <si>
    <t xml:space="preserve">CON-M15</t>
  </si>
  <si>
    <t xml:space="preserve">Berel 580 concrete sealer</t>
  </si>
  <si>
    <t xml:space="preserve">Sellador Berel 580</t>
  </si>
  <si>
    <t xml:space="preserve">Brief reads 'Berel 580 1,105': interpreted as product 'Berel 580' at $1,105 (premium). Confirm on next check.</t>
  </si>
  <si>
    <t xml:space="preserve">CON-M16</t>
  </si>
  <si>
    <t xml:space="preserve">Rebar ⅜ in, 12 m</t>
  </si>
  <si>
    <t xml:space="preserve">Varilla ⅜" 12 m</t>
  </si>
  <si>
    <t xml:space="preserve">⅜ in × 12 m</t>
  </si>
  <si>
    <t xml:space="preserve">Traser</t>
  </si>
  <si>
    <t xml:space="preserve">structural</t>
  </si>
  <si>
    <t xml:space="preserve">Structural reference; human review.</t>
  </si>
  <si>
    <t xml:space="preserve">CON-M17</t>
  </si>
  <si>
    <t xml:space="preserve">Welded wire mesh 6x6-10/10, roll</t>
  </si>
  <si>
    <t xml:space="preserve">Malla electrosoldada 6x6-10/10 (rollo)</t>
  </si>
  <si>
    <t xml:space="preserve">6x6-10/10</t>
  </si>
  <si>
    <t xml:space="preserve">roll</t>
  </si>
  <si>
    <t xml:space="preserve">CON-M18</t>
  </si>
  <si>
    <t xml:space="preserve">Structural ready-mix concrete, low end</t>
  </si>
  <si>
    <t xml:space="preserve">Concreto premezclado estructural (olla)</t>
  </si>
  <si>
    <t xml:space="preserve">7 m³ minimum order</t>
  </si>
  <si>
    <t xml:space="preserve">m³</t>
  </si>
  <si>
    <t xml:space="preserve">Range $2,100–2,950/m³; 7 m³ minimum.</t>
  </si>
  <si>
    <t xml:space="preserve">CON-M19</t>
  </si>
  <si>
    <t xml:space="preserve">Structural ready-mix concrete, high end</t>
  </si>
  <si>
    <t xml:space="preserve">HVC-M15</t>
  </si>
  <si>
    <t xml:space="preserve">Cluxer copper line-set kit ⅜ + ⅝, 4 m (2–3 t)</t>
  </si>
  <si>
    <t xml:space="preserve">Kit tubería de cobre 5/8 y 3/8 4 m Cluxer CXKCU5838</t>
  </si>
  <si>
    <t xml:space="preserve">⅜ + ⅝ in, 4 m, all-copper (listing: 'Material del Kit: Cobre')</t>
  </si>
  <si>
    <t xml:space="preserve">Climas Monterrey (Servi Climas y Calefacciones Monterrey)</t>
  </si>
  <si>
    <t xml:space="preserve">https://www.climasmonterrey.com/products/kit-tuberia-de-cobre-5-8-y-3-8-4mts-cluxer-cinta-decorativa-y-2-niples-union-ac-2ton-cu4-cxkcu5838/1404798000010024307</t>
  </si>
  <si>
    <t xml:space="preserve">SUBSTITUTE 2026-10-26: Climahorro Coldtek all-copper ⅜–⅝ kit (KTMNCX038_058) now $535.05 and out of stock (inventory 0). Note: the $520.26 recorded earlier equals the Mirage 2 t Al/Cu kit (MKA41N/KITM2) on the same Climahorro page, not the copper kit. Cluxer CXKCU5838 copper kit in stock (14) at a Monterrey store.</t>
  </si>
  <si>
    <t xml:space="preserve">CAR-M01</t>
  </si>
  <si>
    <t xml:space="preserve">Carpentry</t>
  </si>
  <si>
    <t xml:space="preserve">Veker half-ball hinge 3×3 in, 2-pack (lower-priced listing)</t>
  </si>
  <si>
    <t xml:space="preserve">Bisagra Veker cabeza media bola 3x3" (2 pzas)</t>
  </si>
  <si>
    <t xml:space="preserve">3×3 in, silver</t>
  </si>
  <si>
    <t xml:space="preserve">pack 2</t>
  </si>
  <si>
    <t xml:space="preserve">https://www.homedepot.com.mx/p/veker-bisagra-de-cabeza-media-bola-3-x-3-pulgadas-plata-1404-887646</t>
  </si>
  <si>
    <t xml:space="preserve">captured 2026-10-21</t>
  </si>
  <si>
    <t xml:space="preserve">Home Depot shows $51–78 per 2-pack across finishes; lower price used for budget. Confirm finish/price on next check.</t>
  </si>
  <si>
    <t xml:space="preserve">CAR-M02</t>
  </si>
  <si>
    <t xml:space="preserve">Hinge 3½ in matte black, 3 pc with screws</t>
  </si>
  <si>
    <t xml:space="preserve">Bisagra 3 1/2" negro mate c/tornillos (3 pzas)</t>
  </si>
  <si>
    <t xml:space="preserve">3½ in, 3 pc + screws</t>
  </si>
  <si>
    <t xml:space="preserve">bag 3</t>
  </si>
  <si>
    <t xml:space="preserve">Casa Mixteco</t>
  </si>
  <si>
    <t xml:space="preserve">https://casamixteco.com.mx/producto/bisagra-3-1-2-negro-mate-c-tor-3pz-bolsa/</t>
  </si>
  <si>
    <t xml:space="preserve">CAR-M03</t>
  </si>
  <si>
    <t xml:space="preserve">Veker half-ball hinge 3×3 in, 2-pack (higher-priced finish)</t>
  </si>
  <si>
    <t xml:space="preserve">Bisagra Veker 3x3" (2 pzas), acabado superior</t>
  </si>
  <si>
    <t xml:space="preserve">3×3 in</t>
  </si>
  <si>
    <t xml:space="preserve">ASSUMPTION: top of the $51–78 range observed for this hinge family; confirm exact finish.</t>
  </si>
  <si>
    <t xml:space="preserve">CAR-M04</t>
  </si>
  <si>
    <t xml:space="preserve">Fiero assorted wall plugs + screws, 26 pc</t>
  </si>
  <si>
    <t xml:space="preserve">Estuche 26 taquetes con pijas Fiero</t>
  </si>
  <si>
    <t xml:space="preserve">3/16, 1/4, 5/16 in + #6/#8/#10 screws</t>
  </si>
  <si>
    <t xml:space="preserve">kit 26</t>
  </si>
  <si>
    <t xml:space="preserve">Ferrepat</t>
  </si>
  <si>
    <t xml:space="preserve">https://www.ferrepat.com/fijacion-y-sujecion/taquetes-y-pijas-fiero-26605</t>
  </si>
  <si>
    <t xml:space="preserve">APL-M01</t>
  </si>
  <si>
    <t xml:space="preserve">Appliance</t>
  </si>
  <si>
    <t xml:space="preserve">WD-40 Specialist contact cleaner 8 oz (budget store)</t>
  </si>
  <si>
    <t xml:space="preserve">Limpiador de contactos WD-40 Specialist 8 oz</t>
  </si>
  <si>
    <t xml:space="preserve">226 g aerosol</t>
  </si>
  <si>
    <t xml:space="preserve">can</t>
  </si>
  <si>
    <t xml:space="preserve">Ferretería Calzada</t>
  </si>
  <si>
    <t xml:space="preserve">https://ferreteriacalzada.mx/producto/aerosol-limpiador-de-contactos-8oz-wd-40-560040/</t>
  </si>
  <si>
    <t xml:space="preserve">APL-M02</t>
  </si>
  <si>
    <t xml:space="preserve">WD-40 Specialist contact cleaner 8 oz</t>
  </si>
  <si>
    <t xml:space="preserve">197 ml aerosol</t>
  </si>
  <si>
    <t xml:space="preserve">https://www.ferrepat.com/sku/limpiador-de-contactos-specialist-wd40-197ml-aerosol/16395</t>
  </si>
  <si>
    <t xml:space="preserve">APL-M03</t>
  </si>
  <si>
    <t xml:space="preserve">WD-40 Specialist contact cleaner 8 oz (Ferretera Dial)</t>
  </si>
  <si>
    <t xml:space="preserve">8 oz aerosol</t>
  </si>
  <si>
    <t xml:space="preserve">Ferretera Dial</t>
  </si>
  <si>
    <t xml:space="preserve">https://ferreteradial.com/products/limpiador-de-contactos-8-oz-specialist-1</t>
  </si>
  <si>
    <t xml:space="preserve">APL-M04</t>
  </si>
  <si>
    <t xml:space="preserve">Replacement parts (model-specific, as-needed)</t>
  </si>
  <si>
    <t xml:space="preserve">Refacciones según modelo</t>
  </si>
  <si>
    <t xml:space="preserve">priced on site after diagnosis</t>
  </si>
  <si>
    <t xml:space="preserve">lot</t>
  </si>
  <si>
    <t xml:space="preserve">Unpriced: depends on brand/model and diagnosis.</t>
  </si>
  <si>
    <t xml:space="preserve">APL-M05</t>
  </si>
  <si>
    <t xml:space="preserve">Refrigerant for refrigerator sealed system (as-needed)</t>
  </si>
  <si>
    <t xml:space="preserve">Gas refrigerante (según placa)</t>
  </si>
  <si>
    <t xml:space="preserve">type per nameplate</t>
  </si>
  <si>
    <t xml:space="preserve">Refrigerants always human review; unpriced.</t>
  </si>
  <si>
    <t xml:space="preserve">ROF-M01</t>
  </si>
  <si>
    <t xml:space="preserve">Roofing</t>
  </si>
  <si>
    <t xml:space="preserve">Fester Imperfácil Clásico 5-yr acrylic waterproofing, red 19 L</t>
  </si>
  <si>
    <t xml:space="preserve">Impermeabilizante Fester Imperfácil Clásico 5 años rojo 19 L</t>
  </si>
  <si>
    <t xml:space="preserve">19 L ≈ 19 m² at 1 m²/L, 2 coats</t>
  </si>
  <si>
    <t xml:space="preserve">pail 19 L</t>
  </si>
  <si>
    <t xml:space="preserve">https://www.homedepot.com.mx/p/fester-impermeabilizante-fester-imperfacil-clasico-5-anos-rojo-19l-1628466-527061</t>
  </si>
  <si>
    <t xml:space="preserve">ROF-M02</t>
  </si>
  <si>
    <t xml:space="preserve">IMPAC 5000 fibered acrylic 5-yr waterproofing, white 19 L</t>
  </si>
  <si>
    <t xml:space="preserve">Impermeabilizante acrílico fibratado IMPAC 5000 5 años blanco 19 L</t>
  </si>
  <si>
    <t xml:space="preserve">19 L ≈ 19 m² (1 m²/L, 2 coats; 13–14 m² with reinforcing mesh)</t>
  </si>
  <si>
    <t xml:space="preserve">https://www.homedepot.com.mx/p/impac-impermeabilizante-acrilico-fibratado-impac-5000-5-anos-blanco-19-l-169004</t>
  </si>
  <si>
    <t xml:space="preserve">Other sellers $1,389.99–1,808.</t>
  </si>
  <si>
    <t xml:space="preserve">ROF-M03</t>
  </si>
  <si>
    <t xml:space="preserve">Protexa SBS 4 mm prefabricated membrane, polyester, 10 m² roll</t>
  </si>
  <si>
    <t xml:space="preserve">Membrana prefabricada SBS 4 mm Protexa refuerzo poliéster 10 m²</t>
  </si>
  <si>
    <t xml:space="preserve">10 × 1 m roll, 12-yr</t>
  </si>
  <si>
    <t xml:space="preserve">roll 10 m²</t>
  </si>
  <si>
    <t xml:space="preserve">https://www.homedepot.com.mx/p/protexa-membrana-prefabricada-sbs-4-mm-con-refuerzo-de-poliester-acabado-gravilla-rollo-10-x-1-m2-12-anos-170050-170050</t>
  </si>
  <si>
    <t xml:space="preserve">Torch-applied: gas torch → human review of labor.</t>
  </si>
  <si>
    <t xml:space="preserve">ROF-M04</t>
  </si>
  <si>
    <t xml:space="preserve">IMPAC Sello primer/sealer</t>
  </si>
  <si>
    <t xml:space="preserve">IMPAC Sello (sellador)</t>
  </si>
  <si>
    <t xml:space="preserve">19 L pail; ≈60–80 m² per unit (70 m² assumed)</t>
  </si>
  <si>
    <t xml:space="preserve">https://www.homedepot.com.mx/p/impac-sellador-acrilico-para-impermeabilizacion-en-losas-y-muros-alta-adherencia-cubeta-19-l-sello-149341</t>
  </si>
  <si>
    <t xml:space="preserve">URL captured 2026-10-26; price matched listing ($959).</t>
  </si>
  <si>
    <t xml:space="preserve">ROF-M05</t>
  </si>
  <si>
    <t xml:space="preserve">Fester Acritón primer/sealer 19 L</t>
  </si>
  <si>
    <t xml:space="preserve">19 L pail; up to ≈95 m² per unit</t>
  </si>
  <si>
    <t xml:space="preserve">https://www.homedepot.com.mx/p/fester-sellador-acrilico-para-preparacion-de-superficie-alta-adherencia-19-l-1627607-239163</t>
  </si>
  <si>
    <t xml:space="preserve">URL captured 2026-10-26; price matched listing ($1,699).</t>
  </si>
  <si>
    <t xml:space="preserve">HND-M01</t>
  </si>
  <si>
    <t xml:space="preserve">Handyman</t>
  </si>
  <si>
    <t xml:space="preserve">Wallvista TV wall mount (fixed/tilt, small–mid screens)</t>
  </si>
  <si>
    <t xml:space="preserve">Soporte de pared para TV Wallvista</t>
  </si>
  <si>
    <t xml:space="preserve">size range per listing</t>
  </si>
  <si>
    <t xml:space="preserve">https://www.homedepot.com.mx/p/wallvista-soporte-inclinable-37-a-90-pulgadas-hasta-60-kg-para-tv-en-pared-wi90-241035</t>
  </si>
  <si>
    <t xml:space="preserve">Model captured 2026-10-26: Wallvista WI90 tilt 37–90 in, $197 is a PROMO price (regular $397); fixed WF32 13–43 in is $97 promo / $147 regular. Re-check weekly.</t>
  </si>
  <si>
    <t xml:space="preserve">HND-M02</t>
  </si>
  <si>
    <t xml:space="preserve">Truper TVSA-70 tilting TV mount</t>
  </si>
  <si>
    <t xml:space="preserve">Soporte inclinable para TV Truper TVSA-70</t>
  </si>
  <si>
    <t xml:space="preserve">up to 70 in per model name</t>
  </si>
  <si>
    <t xml:space="preserve">Distribuidor Truper</t>
  </si>
  <si>
    <t xml:space="preserve">https://distribuidortruper.mx/categoria-producto/soportes-para-t-v/</t>
  </si>
  <si>
    <t xml:space="preserve">HND-M03</t>
  </si>
  <si>
    <t xml:space="preserve">Truper TVSM-65 articulated TV mount</t>
  </si>
  <si>
    <t xml:space="preserve">Soporte articulado para TV Truper TVSM-65</t>
  </si>
  <si>
    <t xml:space="preserve">up to 65 in per model name</t>
  </si>
  <si>
    <t xml:space="preserve">HND-M04</t>
  </si>
  <si>
    <t xml:space="preserve">Comex acrylic sealant 300 ml (as-needed)</t>
  </si>
  <si>
    <t xml:space="preserve">Sellador acrílico Comex 300 ml</t>
  </si>
  <si>
    <t xml:space="preserve">Comex</t>
  </si>
  <si>
    <t xml:space="preserve">https://comex-pc.myshopify.com/products/sellador-acrilico</t>
  </si>
  <si>
    <t xml:space="preserve">LCK-M01</t>
  </si>
  <si>
    <t xml:space="preserve">Locksmith</t>
  </si>
  <si>
    <t xml:space="preserve">Phillips Gamma privacy knob lock</t>
  </si>
  <si>
    <t xml:space="preserve">Pomo Phillips Gamma baño/recámara</t>
  </si>
  <si>
    <t xml:space="preserve">privacy knob</t>
  </si>
  <si>
    <t xml:space="preserve">https://www.homedepot.com.mx/p/phillips-pomo-gamma-bano-recamara-lb-mx89167-110268</t>
  </si>
  <si>
    <t xml:space="preserve">LCK-M02</t>
  </si>
  <si>
    <t xml:space="preserve">Phillips Ikal privacy knob lock</t>
  </si>
  <si>
    <t xml:space="preserve">Pomo Phillips Ikal</t>
  </si>
  <si>
    <t xml:space="preserve">privacy knob, reversible, gray satin (MX7234)</t>
  </si>
  <si>
    <t xml:space="preserve">https://www.homedepot.com.mx/p/phillips-pomo-cilindrico-recamara-reversible-gris-satin-mx7234-236790</t>
  </si>
  <si>
    <t xml:space="preserve">URL captured 2026-10-26; price matched listing ($197). Shown OUT OF STOCK online 2026-10-26; Monterrey store stock not verified.</t>
  </si>
  <si>
    <t xml:space="preserve">LCK-M03</t>
  </si>
  <si>
    <t xml:space="preserve">Phillips Arcadia reversible lever, satin nickel</t>
  </si>
  <si>
    <t xml:space="preserve">Perilla Phillips Arcadia reversible níquel satinado</t>
  </si>
  <si>
    <t xml:space="preserve">bedroom lever</t>
  </si>
  <si>
    <t xml:space="preserve">https://www.homedepot.com.mx/p/phillips-perilla-para-recamara-arcadia-reversible-niquel-satinado-mx89108-117453</t>
  </si>
  <si>
    <t xml:space="preserve">LCK-M04</t>
  </si>
  <si>
    <t xml:space="preserve">No materials (labor-only service)</t>
  </si>
  <si>
    <t xml:space="preserve">Sin materiales (solo servicio)</t>
  </si>
  <si>
    <t xml:space="preserve">lockout opening</t>
  </si>
  <si>
    <t xml:space="preserve">n/a</t>
  </si>
  <si>
    <t xml:space="preserve">Placeholder so the task appears in totals; 0 by definition.</t>
  </si>
  <si>
    <t xml:space="preserve">FLR-M30</t>
  </si>
  <si>
    <t xml:space="preserve">HDX black polyethylene film cal. 400, 6 × 15.2 m</t>
  </si>
  <si>
    <t xml:space="preserve">Rollo de plástico para construcción HDX polietileno negro calibre 400 6 x 15.2 m</t>
  </si>
  <si>
    <t xml:space="preserve">≈91 m² roll; cal. 400 (thinner than 6-mil)</t>
  </si>
  <si>
    <t xml:space="preserve">roll 91 m²</t>
  </si>
  <si>
    <t xml:space="preserve">https://www.homedepot.com.mx/p/hdx-rollo-de-plastico-para-construccion-6-x-152-m-polietileno-negro-calibre-400-b42050thd-208723</t>
  </si>
  <si>
    <t xml:space="preserve">Sold as construction plastic; confirm adequacy as laminate vapor barrier (pro to confirm).</t>
  </si>
  <si>
    <t xml:space="preserve">FLR-M31</t>
  </si>
  <si>
    <t xml:space="preserve">Moisture-barrier film for floors, 6 mil, 120 m² (with seam tape)</t>
  </si>
  <si>
    <t xml:space="preserve">Película barrera de humedad para pisos 120 m²</t>
  </si>
  <si>
    <t xml:space="preserve">6 mil (0.15 mm), 120 m²</t>
  </si>
  <si>
    <t xml:space="preserve">roll 120 m²</t>
  </si>
  <si>
    <t xml:space="preserve">Mega Central</t>
  </si>
  <si>
    <t xml:space="preserve">https://megacentral.com.mx/product/pelicula-barrera-humedad-pisos-mlm-3689199432/</t>
  </si>
  <si>
    <t xml:space="preserve">Listing appears sourced from a marketplace (MLM id); confirm seller 4.5+ stars / 20+ reviews or official store.</t>
  </si>
  <si>
    <t xml:space="preserve">GRD-M24</t>
  </si>
  <si>
    <t xml:space="preserve">Hanes black landscape fabric roll, 0.475 kg</t>
  </si>
  <si>
    <t xml:space="preserve">Rollo de tela de paisaje negro Hanes 0.475 kg</t>
  </si>
  <si>
    <t xml:space="preserve">coverage (m²) to confirm</t>
  </si>
  <si>
    <t xml:space="preserve">https://www.homedepot.com.mx/p/hanes-rollo-de-tela-de-paisaje-negro-0475-kg-46185-162811</t>
  </si>
  <si>
    <t xml:space="preserve">Budget-tier fabric component of former GRD-M18 line total.</t>
  </si>
  <si>
    <t xml:space="preserve">GRD-M25</t>
  </si>
  <si>
    <t xml:space="preserve">Landscape fabric staples (budget, derived)</t>
  </si>
  <si>
    <t xml:space="preserve">Grapas para malla antihierba</t>
  </si>
  <si>
    <t xml:space="preserve">quantity per former budget kit</t>
  </si>
  <si>
    <t xml:space="preserve">DERIVED: former GRD-M18 line total $297 − Hanes fabric $225. No MX staple listing found (US HD prices only); price on next check.</t>
  </si>
  <si>
    <t xml:space="preserve">PNT-K01</t>
  </si>
  <si>
    <t xml:space="preserve">Berel Kalos-Tone vinyl-acrylic paint 19 L</t>
  </si>
  <si>
    <t xml:space="preserve">Pintura Berel Kalos-Tone 19 L</t>
  </si>
  <si>
    <t xml:space="preserve">19 L; 6–7 m²/L</t>
  </si>
  <si>
    <t xml:space="preserve">https://www.homedepot.com.mx/p/berel-kalos-tone-pintura-berel-kalos-tone-vinil-acrilica-interior-exterior-19l-color-blanco-mate-kalos-tone-702054</t>
  </si>
  <si>
    <t xml:space="preserve">captured 2026-10-24</t>
  </si>
  <si>
    <t xml:space="preserve">Not used in tasks since 2026-10-24 (Budget switched to Durex Master, PNT-K11/K12); kept for history.</t>
  </si>
  <si>
    <t xml:space="preserve">PNT-K02</t>
  </si>
  <si>
    <t xml:space="preserve">Berel Kalos-Tone vinyl-acrylic paint 4 L</t>
  </si>
  <si>
    <t xml:space="preserve">Pintura Berel Kalos-Tone 4 L</t>
  </si>
  <si>
    <t xml:space="preserve">4 L</t>
  </si>
  <si>
    <t xml:space="preserve">gallon 4 L</t>
  </si>
  <si>
    <t xml:space="preserve">https://www.homedepot.com.mx/p/berel-kalos-tone-pintura-berel-kalos-tone-vinil-acrilica-interior-exterior-4l-color-blanco-mate-kalos-tone-652802</t>
  </si>
  <si>
    <t xml:space="preserve">PNT-K11</t>
  </si>
  <si>
    <t xml:space="preserve">Comex Durex Master vinyl-acrylic paint 19 L</t>
  </si>
  <si>
    <t xml:space="preserve">Pintura Comex Durex Master 19 L (colores claros)</t>
  </si>
  <si>
    <t xml:space="preserve">19 L; 7–8 m²/L (carta técnica rev. 14, 2023-08-22)</t>
  </si>
  <si>
    <t xml:space="preserve">Comex dealer price list (Jan 2026)</t>
  </si>
  <si>
    <t xml:space="preserve">https://mvcomex.com.mx/wp-content/uploads/2026/06/Precios-Comex-Junio-2026.pdf</t>
  </si>
  <si>
    <t xml:space="preserve">Coverage verified: https://max.ppg.com/adaptivemedia/rendition?id=c60e4da1186493724c124e36f99c8a56925ff79c ; 1 L $109 at Comex Power Center matches the list. Monterrey shelf stock not verified (sold through Comex stores).</t>
  </si>
  <si>
    <t xml:space="preserve">PNT-K12</t>
  </si>
  <si>
    <t xml:space="preserve">Comex Durex Master vinyl-acrylic paint 4 L</t>
  </si>
  <si>
    <t xml:space="preserve">Pintura Comex Durex Master 4 L</t>
  </si>
  <si>
    <t xml:space="preserve">PNT-K03</t>
  </si>
  <si>
    <t xml:space="preserve">Berel Berelinte vinyl-acrylic paint 19 L</t>
  </si>
  <si>
    <t xml:space="preserve">Pintura Berel Berelinte 19 L</t>
  </si>
  <si>
    <t xml:space="preserve">19 L; 8–10 m²/L</t>
  </si>
  <si>
    <t xml:space="preserve">https://www.homedepot.com.mx/p/berelinte-pintura-vinil-acrilica-berel-base-pastel-blanco-19-l-berelinte-7-103911</t>
  </si>
  <si>
    <t xml:space="preserve">PNT-K04</t>
  </si>
  <si>
    <t xml:space="preserve">Berel Berelinte vinyl-acrylic paint 4 L</t>
  </si>
  <si>
    <t xml:space="preserve">Pintura Berel Berelinte 4 L</t>
  </si>
  <si>
    <t xml:space="preserve">https://www.homedepot.com.mx/p/berelinte-pintura-berel-berelinte-vinil-acrilica-interior-exterior-4l-base-tint-satinado-berelinte-199195</t>
  </si>
  <si>
    <t xml:space="preserve">PNT-K05</t>
  </si>
  <si>
    <t xml:space="preserve">Comex Vinimex Total acrylic paint 4 L</t>
  </si>
  <si>
    <t xml:space="preserve">Pintura Comex Vinimex Total 4 L</t>
  </si>
  <si>
    <t xml:space="preserve">4 L; 12–14 m²/L</t>
  </si>
  <si>
    <t xml:space="preserve">Comex Pinturas Maravilla</t>
  </si>
  <si>
    <t xml:space="preserve">https://www.maravilla.com.mx/product-page/vinimex-total-ultralavable-4-lts</t>
  </si>
  <si>
    <t xml:space="preserve">SUBSTITUTE STORE 2026-10-26: Comex Power Center Vinimex Total listing removed (404, not in store catalog). Same product 4 L at Comex Pinturas Maravilla $990.50, matching the Comex dealer list (Jan 2026) $990.50. Coverage 12–14 m²/L per listing.</t>
  </si>
  <si>
    <t xml:space="preserve">PNT-K06</t>
  </si>
  <si>
    <t xml:space="preserve">Comex 5x1 Clásico vinyl sealer 4 L</t>
  </si>
  <si>
    <t xml:space="preserve">Sellador vinílico Comex 5x1 Clásico 4 L</t>
  </si>
  <si>
    <t xml:space="preserve">4 L (diluted per label)</t>
  </si>
  <si>
    <t xml:space="preserve">https://www.maravilla.com.mx/product-page/real-flex-2</t>
  </si>
  <si>
    <t xml:space="preserve">PNT-K07</t>
  </si>
  <si>
    <t xml:space="preserve">Comex 5x1 Reforzado vinyl sealer 4 L</t>
  </si>
  <si>
    <t xml:space="preserve">Sellador vinílico Comex 5x1 Reforzado 4 L</t>
  </si>
  <si>
    <t xml:space="preserve">PNT-K08</t>
  </si>
  <si>
    <t xml:space="preserve">Roller cover 9 in, 3/4 nap (economy)</t>
  </si>
  <si>
    <t xml:space="preserve">Felpa para rodillo 9" 3/4</t>
  </si>
  <si>
    <t xml:space="preserve">9 × 3/4 in</t>
  </si>
  <si>
    <t xml:space="preserve">https://www.homedepot.com.mx/p/unbranded-rodillo-muros-y-techos-felpa-sintetica-9-pulgadas-antidesprendimiento-195488</t>
  </si>
  <si>
    <t xml:space="preserve">PNT-K09</t>
  </si>
  <si>
    <t xml:space="preserve">HDX roller cover 9 in, high coverage</t>
  </si>
  <si>
    <t xml:space="preserve">Felpa HDX 9" alta cobertura</t>
  </si>
  <si>
    <t xml:space="preserve">https://www.homedepot.com.mx/p/hdx-rodillo-uso-general-felpa-sintetica-9-pulgadas-alta-cobertura-uso-general-236559</t>
  </si>
  <si>
    <t xml:space="preserve">PNT-K10</t>
  </si>
  <si>
    <t xml:space="preserve">Truper masking tape 1 in × 50 m</t>
  </si>
  <si>
    <t xml:space="preserve">Cinta masking Truper 1" × 50 m</t>
  </si>
  <si>
    <t xml:space="preserve">1 in × 50 m</t>
  </si>
  <si>
    <t xml:space="preserve">ToolTown</t>
  </si>
  <si>
    <t xml:space="preserve">https://www.tooltown.mx/products/cinta-masking-tape-1-12591</t>
  </si>
  <si>
    <t xml:space="preserve">SUBSTITUTE STORE 2026-10-26: SignaStore page gone (404). Same Truper MSK-1 (12591) 1 in × 50 m at ToolTown $38.00.</t>
  </si>
  <si>
    <t xml:space="preserve">HVC-K01</t>
  </si>
  <si>
    <t xml:space="preserve">Cluxer evaporator/coil cleaner 3.75 L</t>
  </si>
  <si>
    <t xml:space="preserve">Limpiador para evaporadores Cluxer 3.75 L</t>
  </si>
  <si>
    <t xml:space="preserve">3.75 L</t>
  </si>
  <si>
    <t xml:space="preserve">jug</t>
  </si>
  <si>
    <t xml:space="preserve">https://www.homedepot.com.mx/p/cluxer-limpiador-para-evaporadores-de-aire-acondicionado-y-refrigeracion-375-l-cxcoil-4-134850</t>
  </si>
  <si>
    <t xml:space="preserve">HVC-K02</t>
  </si>
  <si>
    <t xml:space="preserve">Foam Plus minisplit coil cleaner aerosol</t>
  </si>
  <si>
    <t xml:space="preserve">Limpiador aerosol para serpentines Foam Plus</t>
  </si>
  <si>
    <t xml:space="preserve">aerosol</t>
  </si>
  <si>
    <t xml:space="preserve">Casa Myers</t>
  </si>
  <si>
    <t xml:space="preserve">https://www.casamyers.com.mx/item/29000540</t>
  </si>
  <si>
    <t xml:space="preserve">HVC-K03</t>
  </si>
  <si>
    <t xml:space="preserve">Cluxer wall bracket for condenser, with level</t>
  </si>
  <si>
    <t xml:space="preserve">Base de pared con nivel para condensadora Cluxer</t>
  </si>
  <si>
    <t xml:space="preserve">39 × 79 × 45.5 cm</t>
  </si>
  <si>
    <t xml:space="preserve">https://www.homedepot.com.mx/p/cluxer-base-de-pared-con-nivel-para-condensadora-de-minisplit-39-x-79-x-455-cm-blanco-cluxer-cxacb109-134809</t>
  </si>
  <si>
    <t xml:space="preserve">'Before' price $565 shown; not verified.</t>
  </si>
  <si>
    <t xml:space="preserve">HVC-K04</t>
  </si>
  <si>
    <t xml:space="preserve">Interconnect cable + drain hose (as-needed)</t>
  </si>
  <si>
    <t xml:space="preserve">Cable de interconexión y manguera de drenaje</t>
  </si>
  <si>
    <t xml:space="preserve">per unit spec and run</t>
  </si>
  <si>
    <t xml:space="preserve">Unpriced: specify per unit manual on site.</t>
  </si>
  <si>
    <t xml:space="preserve">ELC-K01</t>
  </si>
  <si>
    <t xml:space="preserve">3M Temflex 1700 electrical tape 19 mm × 18.2 m</t>
  </si>
  <si>
    <t xml:space="preserve">Cinta aislante 3M Temflex 1700</t>
  </si>
  <si>
    <t xml:space="preserve">19 mm × 18.2 m</t>
  </si>
  <si>
    <t xml:space="preserve">https://www.homedepot.com.mx/p/3m-cinta-aislante-electrica-de-vinil-negra-para-aislamiento-electrico-191-cm-x-182-m-1700-1pk-bb40-163587</t>
  </si>
  <si>
    <t xml:space="preserve">ELC-K02</t>
  </si>
  <si>
    <t xml:space="preserve">Volteck polarized duplex outlet</t>
  </si>
  <si>
    <t xml:space="preserve">Contacto dúplex polarizado Volteck</t>
  </si>
  <si>
    <t xml:space="preserve">15 A</t>
  </si>
  <si>
    <t xml:space="preserve">https://www.tooltown.mx/collections/contactos-duplex</t>
  </si>
  <si>
    <t xml:space="preserve">ELC-K03</t>
  </si>
  <si>
    <t xml:space="preserve">Volteck single switch</t>
  </si>
  <si>
    <t xml:space="preserve">Apagador sencillo Volteck</t>
  </si>
  <si>
    <t xml:space="preserve">Ferreteras La Casa</t>
  </si>
  <si>
    <t xml:space="preserve">https://ferreteraslacasa.com/collections/artefactos-el-ctricos-l-nea-classic</t>
  </si>
  <si>
    <t xml:space="preserve">ELC-K04</t>
  </si>
  <si>
    <t xml:space="preserve">Volteck 1-gang wall plate</t>
  </si>
  <si>
    <t xml:space="preserve">Placa 1 ventana Volteck</t>
  </si>
  <si>
    <t xml:space="preserve">polycarbonate</t>
  </si>
  <si>
    <t xml:space="preserve">ELC-K05</t>
  </si>
  <si>
    <t xml:space="preserve">Schneider GFCI duplex with plate, black</t>
  </si>
  <si>
    <t xml:space="preserve">Contacto dúplex GFCI con placa Schneider</t>
  </si>
  <si>
    <t xml:space="preserve">GFCI 15 A</t>
  </si>
  <si>
    <t xml:space="preserve">https://www.homedepot.com.mx/p/marisio-black-contacto-duplex-gfci-con-placa-negro-schneider-electric-mwd60787-217822</t>
  </si>
  <si>
    <t xml:space="preserve">ELC-K06</t>
  </si>
  <si>
    <t xml:space="preserve">Leviton duplex outlet with plate</t>
  </si>
  <si>
    <t xml:space="preserve">Contacto dúplex con placa Leviton</t>
  </si>
  <si>
    <t xml:space="preserve">15 A + plate</t>
  </si>
  <si>
    <t xml:space="preserve">https://www.homedepot.com.mx/p/leviton-tradicional-contacto-duplex-con-placa-de-plastico-blanco-2h30c0-234964</t>
  </si>
  <si>
    <t xml:space="preserve">ELC-K07</t>
  </si>
  <si>
    <t xml:space="preserve">Decora single switch</t>
  </si>
  <si>
    <t xml:space="preserve">Apagador sencillo Decora</t>
  </si>
  <si>
    <t xml:space="preserve">https://www.homedepot.com.mx/p/decora-interruptor-sencillo-120-277-v-blanco-5601-949663</t>
  </si>
  <si>
    <t xml:space="preserve">Model confirmed 2026-10-26: Decora 5601 single switch, $79.</t>
  </si>
  <si>
    <t xml:space="preserve">ELC-K08</t>
  </si>
  <si>
    <t xml:space="preserve">Estévez Gamma GFCI duplex with plate</t>
  </si>
  <si>
    <t xml:space="preserve">Contacto dúplex GFCI Estévez Gamma con placa</t>
  </si>
  <si>
    <t xml:space="preserve">https://www.homedepot.com.mx/p/estevez-gamma-contacto-duplex-con-falla-a-tierra-y-placa-de-pared-incluida-gris-titanio-mate-hc-e63329-r-235496</t>
  </si>
  <si>
    <t xml:space="preserve">ELC-K09</t>
  </si>
  <si>
    <t xml:space="preserve">Bticino Quinziño GFCI duplex, child-safe</t>
  </si>
  <si>
    <t xml:space="preserve">Contacto dúplex ICFT Bticino con protección infantil</t>
  </si>
  <si>
    <t xml:space="preserve">Bticino México (official)</t>
  </si>
  <si>
    <t xml:space="preserve">https://www.bticinomexico.com/products/contacto-duplex-icft-con-proteccion-infantil-15a-125v-3m-blanco-quinzino-go-bticino</t>
  </si>
  <si>
    <t xml:space="preserve">ELC-K10</t>
  </si>
  <si>
    <t xml:space="preserve">IUSA THW-LS 10 AWG cable, 100 m</t>
  </si>
  <si>
    <t xml:space="preserve">Cable IUSA THW-LS 10 AWG 100 m</t>
  </si>
  <si>
    <t xml:space="preserve">10 AWG, 100 m</t>
  </si>
  <si>
    <t xml:space="preserve">reel 100 m</t>
  </si>
  <si>
    <t xml:space="preserve">https://www.homedepot.com.mx/p/iusa-cable-iusa-thwls-thhwls-10-awg-color-blanco-en-carrete-de-100-m-168595-168595</t>
  </si>
  <si>
    <t xml:space="preserve">220 V circuit conductor: high-load electrical, human review.</t>
  </si>
  <si>
    <t xml:space="preserve">ELC-K11</t>
  </si>
  <si>
    <t xml:space="preserve">Conduit PVC 3/4 in light, 3 m</t>
  </si>
  <si>
    <t xml:space="preserve">Tubo conduit ligero 19 mm (3/4)</t>
  </si>
  <si>
    <t xml:space="preserve">3 m</t>
  </si>
  <si>
    <t xml:space="preserve">https://www.homedepot.com.mx/p/rymco-tubo-conduit-ligero-ro-de-19-mm-3-4-aboc-tpvc-0500-lig-207570</t>
  </si>
  <si>
    <t xml:space="preserve">ELC-K12</t>
  </si>
  <si>
    <t xml:space="preserve">Wire nuts (as-needed)</t>
  </si>
  <si>
    <t xml:space="preserve">Conectores de resorte</t>
  </si>
  <si>
    <t xml:space="preserve">Unpriced: no matching listing found 2026-10-24.</t>
  </si>
  <si>
    <t xml:space="preserve">PLM-K01</t>
  </si>
  <si>
    <t xml:space="preserve">Fluidmaster 100AK133 complete toilet repair kit</t>
  </si>
  <si>
    <t xml:space="preserve">Juego de reparación completo Fluidmaster</t>
  </si>
  <si>
    <t xml:space="preserve">fill valve + flush valve + lever</t>
  </si>
  <si>
    <t xml:space="preserve">https://www.homedepot.com.mx/p/fluidmaster-juego-de-reparacion-completo-para-sanitario-7-8-de-pulgada-negro-fluidmaster-100ak133-658278</t>
  </si>
  <si>
    <t xml:space="preserve">PLM-K02</t>
  </si>
  <si>
    <t xml:space="preserve">Coflex PS-A001C complete toilet repair kit, 2 in</t>
  </si>
  <si>
    <t xml:space="preserve">Juego de reparación completo Coflex PS-A001C</t>
  </si>
  <si>
    <t xml:space="preserve">2-piece toilets, 2 in flush</t>
  </si>
  <si>
    <t xml:space="preserve">https://www.homedepot.com.mx/p/coflex-juego-de-reparacion-completo-para-sanitarios-de-2-piezas-2-pulgadas-blanco-coflex-ps-a001c-722269</t>
  </si>
  <si>
    <t xml:space="preserve">PLM-K03</t>
  </si>
  <si>
    <t xml:space="preserve">Coflex angle stop valve 1/2 × 3/8 brass</t>
  </si>
  <si>
    <t xml:space="preserve">Válvula angular Coflex 1/2" × 3/8"</t>
  </si>
  <si>
    <t xml:space="preserve">1/2 × 3/8 in</t>
  </si>
  <si>
    <t xml:space="preserve">https://www.homedepot.com.mx/p/coflex-valvula-angular-manual-1-2-x-3-8-de-laton-if-108-290970</t>
  </si>
  <si>
    <t xml:space="preserve">PLM-K04</t>
  </si>
  <si>
    <t xml:space="preserve">Coflex teflon tape 1/2 in × 6.6 m</t>
  </si>
  <si>
    <t xml:space="preserve">Cinta selladora Coflex 1/2" × 6.6 m</t>
  </si>
  <si>
    <t xml:space="preserve">1/2 in × 6.6 m</t>
  </si>
  <si>
    <t xml:space="preserve">Home Depot Pro</t>
  </si>
  <si>
    <t xml:space="preserve">https://pro.homedepot.com.mx/pro/plomeria/reparacion-y-reemplazo-de-plomeria/herramientas-para-plomeria-reparacion-y-remplazo-de-plomeria/cinta-selladora-1-2-pulgada-x-660-m-amarillo-coflex-154609</t>
  </si>
  <si>
    <t xml:space="preserve">PLM-K05</t>
  </si>
  <si>
    <t xml:space="preserve">Coflex LL-40 steel supply line 0.4 m 1/2 in</t>
  </si>
  <si>
    <t xml:space="preserve">Manguera flexible Coflex acero 0.4 m 1/2"</t>
  </si>
  <si>
    <t xml:space="preserve">1/2 × 1/2 in, 40 cm</t>
  </si>
  <si>
    <t xml:space="preserve">https://www.homedepot.com.mx/p/coflex-manguera-flexible-para-agua-de-acero-04-m-1-2-ll-40-199007</t>
  </si>
  <si>
    <t xml:space="preserve">PLM-K06</t>
  </si>
  <si>
    <t xml:space="preserve">Coflex AB-I40 stainless supply line 0.4 m</t>
  </si>
  <si>
    <t xml:space="preserve">Manguera flexible Coflex acero inoxidable 0.4 m</t>
  </si>
  <si>
    <t xml:space="preserve">https://www.homedepot.com.mx/p/coflex-manguera-flexible-para-agua-de-acero-04m-1-2-x-1-2-ab-i40-199010</t>
  </si>
  <si>
    <t xml:space="preserve">PLM-K07</t>
  </si>
  <si>
    <t xml:space="preserve">Coflex VB-I80 water-heater flex connector 0.8 m</t>
  </si>
  <si>
    <t xml:space="preserve">Manguera flexible para boiler Coflex 0.8 m</t>
  </si>
  <si>
    <t xml:space="preserve">1/2 in, 80 cm, to 90 °C</t>
  </si>
  <si>
    <t xml:space="preserve">https://www.homedepot.com.mx/p/coflex-manguera-flexible-para-boiler-de-pvc-08m-1-2-vb-i80-112401</t>
  </si>
  <si>
    <t xml:space="preserve">Water lines only; gas connector stays PLM-M13 (flagged).</t>
  </si>
  <si>
    <t xml:space="preserve">PLM-K08</t>
  </si>
  <si>
    <t xml:space="preserve">Coflex PVC washer supply hose 1.8 m 3/4</t>
  </si>
  <si>
    <t xml:space="preserve">Manguera flexible para lavadora Coflex 1.8 m</t>
  </si>
  <si>
    <t xml:space="preserve">3/4 in, 1.8 m</t>
  </si>
  <si>
    <t xml:space="preserve">https://www.homedepot.com.mx/p/coflex-manguera-flexible-para-agua-de-pvc-18m-3-4-vwb-a180-516106</t>
  </si>
  <si>
    <t xml:space="preserve">PLM-K09</t>
  </si>
  <si>
    <t xml:space="preserve">Coflex washer angle valve 1/2 × 3/4</t>
  </si>
  <si>
    <t xml:space="preserve">Llave angular para lavadora Coflex 1/2 × 3/4</t>
  </si>
  <si>
    <t xml:space="preserve">1/2 × 3/4 in</t>
  </si>
  <si>
    <t xml:space="preserve">https://pro.homedepot.com.mx/pro/plomeria/tuberias-y-conexiones/valvulas-y-llaves/llave-de-lavadora-ang-1-2-x-3-4-146516</t>
  </si>
  <si>
    <t xml:space="preserve">CLN-K01</t>
  </si>
  <si>
    <t xml:space="preserve">Cleaning</t>
  </si>
  <si>
    <t xml:space="preserve">Pinol El Original pine cleaner 5.1 L</t>
  </si>
  <si>
    <t xml:space="preserve">Limpiador Pinol 5.1 L</t>
  </si>
  <si>
    <t xml:space="preserve">5.1 L</t>
  </si>
  <si>
    <t xml:space="preserve">Walmart Súper</t>
  </si>
  <si>
    <t xml:space="preserve">https://super.walmart.com.mx/content/limpieza-del-hogar/3680090</t>
  </si>
  <si>
    <t xml:space="preserve">captured 2026-10-25</t>
  </si>
  <si>
    <t xml:space="preserve">Compatible chemistry: kit contains NO chlorine bleach and NO ammonia products; never mix cleaners. Online price ($134 list).</t>
  </si>
  <si>
    <t xml:space="preserve">CLN-K02</t>
  </si>
  <si>
    <t xml:space="preserve">Fabuloso antibacterial multipurpose cleaner 5 L</t>
  </si>
  <si>
    <t xml:space="preserve">Limpiador multiusos Fabuloso antibacterial 5 L</t>
  </si>
  <si>
    <t xml:space="preserve">5 L</t>
  </si>
  <si>
    <t xml:space="preserve">Compatible chemistry: kit contains NO chlorine bleach and NO ammonia products; never mix cleaners. </t>
  </si>
  <si>
    <t xml:space="preserve">CLN-K03</t>
  </si>
  <si>
    <t xml:space="preserve">Fabuloso Ultra Frescura antiviral cleaner 5 L</t>
  </si>
  <si>
    <t xml:space="preserve">Limpiador Fabuloso Ultra Frescura antiviral 5 L</t>
  </si>
  <si>
    <t xml:space="preserve">Walmart</t>
  </si>
  <si>
    <t xml:space="preserve">https://www.walmart.com.mx/ip/limpiador-multiusos-liquido-fabuloso-ultra-frescura-antiviral-y-antibacterial-limon-5-l/00750954668272</t>
  </si>
  <si>
    <t xml:space="preserve">CLN-K04</t>
  </si>
  <si>
    <t xml:space="preserve">Real Clean degreaser 5 L</t>
  </si>
  <si>
    <t xml:space="preserve">Desengrasante Real Clean 5 L</t>
  </si>
  <si>
    <t xml:space="preserve">https://super.walmart.com.mx/content/limpieza-para-el-hogar/lavatrastes-y-lavavajillas/3680090_120113</t>
  </si>
  <si>
    <t xml:space="preserve">CLN-K05</t>
  </si>
  <si>
    <t xml:space="preserve">Mr Músculo kitchen degreaser 650 ml</t>
  </si>
  <si>
    <t xml:space="preserve">Desengrasante Mr Músculo cocina 650 ml</t>
  </si>
  <si>
    <t xml:space="preserve">650 ml trigger</t>
  </si>
  <si>
    <t xml:space="preserve">bottle</t>
  </si>
  <si>
    <t xml:space="preserve">CLN-K06</t>
  </si>
  <si>
    <t xml:space="preserve">Mr Músculo Platinum kitchen degreaser 650 ml</t>
  </si>
  <si>
    <t xml:space="preserve">Desengrasante Mr Músculo Platinum 650 ml</t>
  </si>
  <si>
    <t xml:space="preserve">Amazon México</t>
  </si>
  <si>
    <t xml:space="preserve">https://www.amazon.com.mx/dp/B0BN4JJWTG</t>
  </si>
  <si>
    <t xml:space="preserve">Compatible chemistry: kit contains NO chlorine bleach and NO ammonia products; never mix cleaners. Sold by Amazon (list $75.50).</t>
  </si>
  <si>
    <t xml:space="preserve">CLN-K07</t>
  </si>
  <si>
    <t xml:space="preserve">Mr Músculo daily shower cleaner 650 ml</t>
  </si>
  <si>
    <t xml:space="preserve">Limpiador Mr Músculo regadera 650 ml</t>
  </si>
  <si>
    <t xml:space="preserve">650 ml</t>
  </si>
  <si>
    <t xml:space="preserve">CLN-K08</t>
  </si>
  <si>
    <t xml:space="preserve">Zep shower and tile cleaner 946 ml</t>
  </si>
  <si>
    <t xml:space="preserve">Limpiador Zep regadera y azulejos 946 ml</t>
  </si>
  <si>
    <t xml:space="preserve">946 ml</t>
  </si>
  <si>
    <t xml:space="preserve">https://www.homedepot.com.mx/p/zep-limpiador-regaderay-azulejos-shkmxstt32pfb-842221</t>
  </si>
  <si>
    <t xml:space="preserve">CLN-K09</t>
  </si>
  <si>
    <t xml:space="preserve">Windex ammonia-free glass cleaner 500 ml</t>
  </si>
  <si>
    <t xml:space="preserve">Limpiavidrios Windex sin amoníaco 500 ml</t>
  </si>
  <si>
    <t xml:space="preserve">500 ml</t>
  </si>
  <si>
    <t xml:space="preserve">Compatible chemistry: kit contains NO chlorine bleach and NO ammonia products; never mix cleaners. Ammonia-free variant only.</t>
  </si>
  <si>
    <t xml:space="preserve">CLN-K10</t>
  </si>
  <si>
    <t xml:space="preserve">Great Value large microfiber cloth</t>
  </si>
  <si>
    <t xml:space="preserve">Paño multiusos grande Great Value</t>
  </si>
  <si>
    <t xml:space="preserve">1 pc</t>
  </si>
  <si>
    <t xml:space="preserve">Counted as consumed per visit (wear).</t>
  </si>
  <si>
    <t xml:space="preserve">CLN-K11</t>
  </si>
  <si>
    <t xml:space="preserve">Lysol multipurpose disinfectant 5 L</t>
  </si>
  <si>
    <t xml:space="preserve">Desinfectante multiusos Lysol 5 L</t>
  </si>
  <si>
    <t xml:space="preserve">https://www.walmart.com.mx/c/ftp/lysol-detergentes-y-limpieza</t>
  </si>
  <si>
    <t xml:space="preserve">Compatible chemistry: kit contains NO chlorine bleach and NO ammonia products; never mix cleaners. Category-page price; confirm variant.</t>
  </si>
  <si>
    <t xml:space="preserve">CLN-K12</t>
  </si>
  <si>
    <t xml:space="preserve">Easy-Off oven cleaner paste 238 g</t>
  </si>
  <si>
    <t xml:space="preserve">Limpiador de hornos Easy-Off pasta 238 g</t>
  </si>
  <si>
    <t xml:space="preserve">238 g</t>
  </si>
  <si>
    <t xml:space="preserve">https://www.walmart.com.mx/ip/limpiador-de-hornos-easy-off-en-pasta-238-g/00750105877011</t>
  </si>
  <si>
    <t xml:space="preserve">Compatible chemistry: kit contains NO chlorine bleach and NO ammonia products; never mix cleaners. Caustic: use alone, ventilate, gloves.</t>
  </si>
  <si>
    <t xml:space="preserve">CLN-K13</t>
  </si>
  <si>
    <t xml:space="preserve">Nature's Miracle carpet shampoo 1.89 L (extractor)</t>
  </si>
  <si>
    <t xml:space="preserve">Shampoo para alfombras Nature's Miracle 1.89 L</t>
  </si>
  <si>
    <t xml:space="preserve">1.89 L, for extraction machine</t>
  </si>
  <si>
    <t xml:space="preserve">https://www.amazon.com.mx/gp/bestsellers/kitchen/9725371011</t>
  </si>
  <si>
    <t xml:space="preserve">Compatible chemistry: kit contains NO chlorine bleach and NO ammonia products; never mix cleaners. Bestseller-list price; confirm listing.</t>
  </si>
  <si>
    <t xml:space="preserve">CLN-K14</t>
  </si>
  <si>
    <t xml:space="preserve">Nature's Miracle enzymatic stain and odor cleaner 3.7 L</t>
  </si>
  <si>
    <t xml:space="preserve">Limpiador enzimático Nature's Miracle 3.7 L</t>
  </si>
  <si>
    <t xml:space="preserve">3.7 L</t>
  </si>
  <si>
    <t xml:space="preserve">Petco México</t>
  </si>
  <si>
    <t xml:space="preserve">https://www.petco.com.mx/App/Mascotas/Perro/Nature%27s-Miracle-Limpiador-Enzim%C3%A1tico-Concentrado-para-Manchas-y-Olores-Dif%C3%ADciles-de-Perro%2C-3-7-L/p/101353</t>
  </si>
  <si>
    <t xml:space="preserve">Compatible chemistry: kit contains NO chlorine bleach and NO ammonia products; never mix cleaners. Do not combine with disinfectants on the same spot (kills enzymes).</t>
  </si>
  <si>
    <t xml:space="preserve">CLN-F01</t>
  </si>
  <si>
    <t xml:space="preserve">Window cleaning above ground floor (work at height)</t>
  </si>
  <si>
    <t xml:space="preserve">Limpieza de ventanas en altura</t>
  </si>
  <si>
    <t xml:space="preserve">NOM-009-STPS</t>
  </si>
  <si>
    <t xml:space="preserve">Work at height: human review (NOM-009-STPS); not bookable from the catalog.</t>
  </si>
  <si>
    <t xml:space="preserve">CLN-F02</t>
  </si>
  <si>
    <t xml:space="preserve">Mold / biohazard cleanup</t>
  </si>
  <si>
    <t xml:space="preserve">Limpieza de moho / riesgo biológico</t>
  </si>
  <si>
    <t xml:space="preserve">out of scope</t>
  </si>
  <si>
    <t xml:space="preserve">OUT OF SCOPE: human review; refer out.</t>
  </si>
  <si>
    <t xml:space="preserve">Line_ID</t>
  </si>
  <si>
    <t xml:space="preserve">Task_ID</t>
  </si>
  <si>
    <t xml:space="preserve">Job</t>
  </si>
  <si>
    <t xml:space="preserve">Tier</t>
  </si>
  <si>
    <t xml:space="preserve">Item (lookup)</t>
  </si>
  <si>
    <t xml:space="preserve">Qty_Used</t>
  </si>
  <si>
    <t xml:space="preserve">Qty_Basis</t>
  </si>
  <si>
    <t xml:space="preserve">Unit_Price_MXN</t>
  </si>
  <si>
    <t xml:space="preserve">Line_Type</t>
  </si>
  <si>
    <t xml:space="preserve">Line_Cost_MXN</t>
  </si>
  <si>
    <t xml:space="preserve">Flag (lookup)</t>
  </si>
  <si>
    <t xml:space="preserve">Job_Name_ES</t>
  </si>
  <si>
    <t xml:space="preserve">Job_Name_KO (machine-translated, needs native review)</t>
  </si>
  <si>
    <t xml:space="preserve">Review_Trigger (base / as-needed / none)</t>
  </si>
  <si>
    <t xml:space="preserve">L0001</t>
  </si>
  <si>
    <t xml:space="preserve">FIXX-PNT-001</t>
  </si>
  <si>
    <t xml:space="preserve">Living room repaint, 43 m², 2 coats</t>
  </si>
  <si>
    <t xml:space="preserve">Budget</t>
  </si>
  <si>
    <t xml:space="preserve">1 cartridge if needed</t>
  </si>
  <si>
    <t xml:space="preserve">as-needed</t>
  </si>
  <si>
    <t xml:space="preserve">Unpriced.</t>
  </si>
  <si>
    <t xml:space="preserve">Pintura de sala, 43 m², 2 manos</t>
  </si>
  <si>
    <r>
      <rPr>
        <sz val="11"/>
        <color theme="1"/>
        <rFont val="Noto Sans CJK SC"/>
        <family val="2"/>
      </rPr>
      <t xml:space="preserve">거실 도장</t>
    </r>
    <r>
      <rPr>
        <sz val="11"/>
        <color theme="1"/>
        <rFont val="Calibri"/>
        <family val="2"/>
        <charset val="1"/>
      </rPr>
      <t xml:space="preserve">, 43 m², 2</t>
    </r>
    <r>
      <rPr>
        <sz val="11"/>
        <color theme="1"/>
        <rFont val="Noto Sans CJK SC"/>
        <family val="2"/>
      </rPr>
      <t xml:space="preserve">회 도포</t>
    </r>
  </si>
  <si>
    <t xml:space="preserve">L0002</t>
  </si>
  <si>
    <t xml:space="preserve">Standard</t>
  </si>
  <si>
    <t xml:space="preserve">L0003</t>
  </si>
  <si>
    <t xml:space="preserve">Premium</t>
  </si>
  <si>
    <t xml:space="preserve">L0004</t>
  </si>
  <si>
    <t xml:space="preserve">FIXX-HVC-001</t>
  </si>
  <si>
    <t xml:space="preserve">Minisplit install kit, all-copper line set (minisplit unit excluded)</t>
  </si>
  <si>
    <t xml:space="preserve">1 t</t>
  </si>
  <si>
    <t xml:space="preserve">per extra meter beyond kit; multiply by meters needed</t>
  </si>
  <si>
    <t xml:space="preserve">Kit de instalación de minisplit con línea de cobre (sin equipo)</t>
  </si>
  <si>
    <r>
      <rPr>
        <sz val="11"/>
        <color theme="1"/>
        <rFont val="Noto Sans CJK SC"/>
        <family val="2"/>
      </rPr>
      <t xml:space="preserve">미니스플릿 설치 키트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동관 포함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본체 제외</t>
    </r>
    <r>
      <rPr>
        <sz val="11"/>
        <color theme="1"/>
        <rFont val="Calibri"/>
        <family val="2"/>
        <charset val="1"/>
      </rPr>
      <t xml:space="preserve">)</t>
    </r>
  </si>
  <si>
    <t xml:space="preserve">L0005</t>
  </si>
  <si>
    <t xml:space="preserve">as-needed refrigerant</t>
  </si>
  <si>
    <t xml:space="preserve">flagged</t>
  </si>
  <si>
    <t xml:space="preserve">Flagged as-needed reference line; unpriced.</t>
  </si>
  <si>
    <t xml:space="preserve">L0006</t>
  </si>
  <si>
    <t xml:space="preserve">FIXX-HVC-002</t>
  </si>
  <si>
    <t xml:space="preserve">Minisplit maintenance (tier = unit tonnage)</t>
  </si>
  <si>
    <t xml:space="preserve">as-needed refrigerant top-up</t>
  </si>
  <si>
    <t xml:space="preserve">Mantenimiento de minisplit (nivel = tonelaje)</t>
  </si>
  <si>
    <r>
      <rPr>
        <sz val="11"/>
        <color theme="1"/>
        <rFont val="Noto Sans CJK SC"/>
        <family val="2"/>
      </rPr>
      <t xml:space="preserve">미니스플릿 유지보수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등급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Noto Sans CJK SC"/>
        <family val="2"/>
      </rPr>
      <t xml:space="preserve">톤수</t>
    </r>
    <r>
      <rPr>
        <sz val="11"/>
        <color theme="1"/>
        <rFont val="Calibri"/>
        <family val="2"/>
        <charset val="1"/>
      </rPr>
      <t xml:space="preserve">)</t>
    </r>
  </si>
  <si>
    <t xml:space="preserve">L0007</t>
  </si>
  <si>
    <t xml:space="preserve">1.5 t</t>
  </si>
  <si>
    <t xml:space="preserve">L0008</t>
  </si>
  <si>
    <t xml:space="preserve">L0009</t>
  </si>
  <si>
    <t xml:space="preserve">L0010</t>
  </si>
  <si>
    <t xml:space="preserve">2 t</t>
  </si>
  <si>
    <t xml:space="preserve">L0011</t>
  </si>
  <si>
    <t xml:space="preserve">L0012</t>
  </si>
  <si>
    <t xml:space="preserve">L0013</t>
  </si>
  <si>
    <t xml:space="preserve">3 t</t>
  </si>
  <si>
    <t xml:space="preserve">L0014</t>
  </si>
  <si>
    <t xml:space="preserve">L0015</t>
  </si>
  <si>
    <t xml:space="preserve">L0016</t>
  </si>
  <si>
    <t xml:space="preserve">FIXX-PLM-001</t>
  </si>
  <si>
    <t xml:space="preserve">Toilet repair</t>
  </si>
  <si>
    <t xml:space="preserve">1 wax ring</t>
  </si>
  <si>
    <t xml:space="preserve">Reparación de WC</t>
  </si>
  <si>
    <t xml:space="preserve">변기 수리</t>
  </si>
  <si>
    <t xml:space="preserve">L0017</t>
  </si>
  <si>
    <t xml:space="preserve">FIXX-PLM-004</t>
  </si>
  <si>
    <t xml:space="preserve">Water heater hookup (heater excluded)</t>
  </si>
  <si>
    <t xml:space="preserve">1 valve</t>
  </si>
  <si>
    <t xml:space="preserve">Conexión de calentador (sin calentador)</t>
  </si>
  <si>
    <r>
      <rPr>
        <sz val="11"/>
        <color theme="1"/>
        <rFont val="Noto Sans CJK SC"/>
        <family val="2"/>
      </rPr>
      <t xml:space="preserve">온수기 연결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온수기 제외</t>
    </r>
    <r>
      <rPr>
        <sz val="11"/>
        <color theme="1"/>
        <rFont val="Calibri"/>
        <family val="2"/>
        <charset val="1"/>
      </rPr>
      <t xml:space="preserve">)</t>
    </r>
  </si>
  <si>
    <t xml:space="preserve">L0018</t>
  </si>
  <si>
    <t xml:space="preserve">1 connector, gas heaters only</t>
  </si>
  <si>
    <t xml:space="preserve">Gas part: human review. ~$244.</t>
  </si>
  <si>
    <t xml:space="preserve">L0019</t>
  </si>
  <si>
    <t xml:space="preserve">FIXX-PLM-006</t>
  </si>
  <si>
    <t xml:space="preserve">Drain cleaning</t>
  </si>
  <si>
    <t xml:space="preserve">1 bottle</t>
  </si>
  <si>
    <t xml:space="preserve">base</t>
  </si>
  <si>
    <t xml:space="preserve">Destape de drenaje</t>
  </si>
  <si>
    <t xml:space="preserve">배수구 청소</t>
  </si>
  <si>
    <t xml:space="preserve">L0020</t>
  </si>
  <si>
    <t xml:space="preserve">1 P-trap</t>
  </si>
  <si>
    <t xml:space="preserve">L0021</t>
  </si>
  <si>
    <t xml:space="preserve">strainers</t>
  </si>
  <si>
    <t xml:space="preserve">L0022</t>
  </si>
  <si>
    <t xml:space="preserve">L0023</t>
  </si>
  <si>
    <t xml:space="preserve">L0024</t>
  </si>
  <si>
    <t xml:space="preserve">L0025</t>
  </si>
  <si>
    <t xml:space="preserve">L0026</t>
  </si>
  <si>
    <t xml:space="preserve">L0027</t>
  </si>
  <si>
    <t xml:space="preserve">L0028</t>
  </si>
  <si>
    <t xml:space="preserve">L0029</t>
  </si>
  <si>
    <t xml:space="preserve">L0030</t>
  </si>
  <si>
    <t xml:space="preserve">L0031</t>
  </si>
  <si>
    <t xml:space="preserve">FIXX-PLM-005</t>
  </si>
  <si>
    <t xml:space="preserve">Washer/dryer hookup (appliances excluded)</t>
  </si>
  <si>
    <t xml:space="preserve">1 set of hoses</t>
  </si>
  <si>
    <t xml:space="preserve">Conexión de lavadora/secadora (sin aparatos)</t>
  </si>
  <si>
    <r>
      <rPr>
        <sz val="11"/>
        <color theme="1"/>
        <rFont val="Noto Sans CJK SC"/>
        <family val="2"/>
      </rPr>
      <t xml:space="preserve">세탁기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건조기 연결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가전 제외</t>
    </r>
    <r>
      <rPr>
        <sz val="11"/>
        <color theme="1"/>
        <rFont val="Calibri"/>
        <family val="2"/>
        <charset val="1"/>
      </rPr>
      <t xml:space="preserve">)</t>
    </r>
  </si>
  <si>
    <t xml:space="preserve">L0032</t>
  </si>
  <si>
    <t xml:space="preserve">L0033</t>
  </si>
  <si>
    <t xml:space="preserve">L0034</t>
  </si>
  <si>
    <t xml:space="preserve">L0035</t>
  </si>
  <si>
    <t xml:space="preserve">FIXX-ELC-003</t>
  </si>
  <si>
    <t xml:space="preserve">Ceiling fan install (fan excluded)</t>
  </si>
  <si>
    <t xml:space="preserve">fan support option</t>
  </si>
  <si>
    <t xml:space="preserve">Drywall option. Mutually exclusive options; pick ONE after pro confirms slab type. Flagged subtotal sums all three.</t>
  </si>
  <si>
    <t xml:space="preserve">Instalación de ventilador de techo (sin ventilador)</t>
  </si>
  <si>
    <r>
      <rPr>
        <sz val="11"/>
        <color theme="1"/>
        <rFont val="Noto Sans CJK SC"/>
        <family val="2"/>
      </rPr>
      <t xml:space="preserve">천장 선풍기 설치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선풍기 제외</t>
    </r>
    <r>
      <rPr>
        <sz val="11"/>
        <color theme="1"/>
        <rFont val="Calibri"/>
        <family val="2"/>
        <charset val="1"/>
      </rPr>
      <t xml:space="preserve">)</t>
    </r>
  </si>
  <si>
    <t xml:space="preserve">L0036</t>
  </si>
  <si>
    <t xml:space="preserve">Slab option. Mutually exclusive options; pick ONE after pro confirms slab type. Flagged subtotal sums all three.</t>
  </si>
  <si>
    <t xml:space="preserve">L0037</t>
  </si>
  <si>
    <t xml:space="preserve">L0038</t>
  </si>
  <si>
    <t xml:space="preserve">FIXX-ELC-005</t>
  </si>
  <si>
    <t xml:space="preserve">Short-circuit repair</t>
  </si>
  <si>
    <t xml:space="preserve">1 breaker if needed</t>
  </si>
  <si>
    <t xml:space="preserve">Breaker: human review.</t>
  </si>
  <si>
    <t xml:space="preserve">Reparación de cortocircuito</t>
  </si>
  <si>
    <t xml:space="preserve">단락 수리</t>
  </si>
  <si>
    <t xml:space="preserve">L0039</t>
  </si>
  <si>
    <t xml:space="preserve">L0040</t>
  </si>
  <si>
    <t xml:space="preserve">L0041</t>
  </si>
  <si>
    <t xml:space="preserve">L0042</t>
  </si>
  <si>
    <t xml:space="preserve">L0043</t>
  </si>
  <si>
    <t xml:space="preserve">L0044</t>
  </si>
  <si>
    <t xml:space="preserve">L0045</t>
  </si>
  <si>
    <t xml:space="preserve">L0046</t>
  </si>
  <si>
    <t xml:space="preserve">L0047</t>
  </si>
  <si>
    <t xml:space="preserve">FIXX-ELC-004</t>
  </si>
  <si>
    <t xml:space="preserve">Minisplit 220 V circuit (tier = unit tonnage)</t>
  </si>
  <si>
    <t xml:space="preserve">1 breaker (GE THQL default)</t>
  </si>
  <si>
    <t xml:space="preserve">High-load breaker: human review; confirm amperage vs nameplate.</t>
  </si>
  <si>
    <t xml:space="preserve">Circuito 220 V para minisplit (nivel = tonelaje)</t>
  </si>
  <si>
    <r>
      <rPr>
        <sz val="11"/>
        <color theme="1"/>
        <rFont val="Noto Sans CJK SC"/>
        <family val="2"/>
      </rPr>
      <t xml:space="preserve">미니스플릿 </t>
    </r>
    <r>
      <rPr>
        <sz val="11"/>
        <color theme="1"/>
        <rFont val="Calibri"/>
        <family val="2"/>
        <charset val="1"/>
      </rPr>
      <t xml:space="preserve">220 V </t>
    </r>
    <r>
      <rPr>
        <sz val="11"/>
        <color theme="1"/>
        <rFont val="Noto Sans CJK SC"/>
        <family val="2"/>
      </rPr>
      <t xml:space="preserve">회로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등급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Noto Sans CJK SC"/>
        <family val="2"/>
      </rPr>
      <t xml:space="preserve">톤수</t>
    </r>
    <r>
      <rPr>
        <sz val="11"/>
        <color theme="1"/>
        <rFont val="Calibri"/>
        <family val="2"/>
        <charset val="1"/>
      </rPr>
      <t xml:space="preserve">)</t>
    </r>
  </si>
  <si>
    <t xml:space="preserve">L0048</t>
  </si>
  <si>
    <t xml:space="preserve">L0049</t>
  </si>
  <si>
    <t xml:space="preserve">L0050</t>
  </si>
  <si>
    <t xml:space="preserve">L0051</t>
  </si>
  <si>
    <t xml:space="preserve">FIXX-PST-001</t>
  </si>
  <si>
    <t xml:space="preserve">Cockroach / scorpion treatment</t>
  </si>
  <si>
    <t xml:space="preserve">line total</t>
  </si>
  <si>
    <t xml:space="preserve">reference</t>
  </si>
  <si>
    <t xml:space="preserve">REFERENCE ONLY-COFEPRIS: pesticides not supplied via platform without human review.</t>
  </si>
  <si>
    <t xml:space="preserve">Control de cucarachas / alacranes</t>
  </si>
  <si>
    <r>
      <rPr>
        <sz val="11"/>
        <color theme="1"/>
        <rFont val="Noto Sans CJK SC"/>
        <family val="2"/>
      </rPr>
      <t xml:space="preserve">바퀴벌레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CJK SC"/>
        <family val="2"/>
      </rPr>
      <t xml:space="preserve">전갈 방제</t>
    </r>
  </si>
  <si>
    <t xml:space="preserve">L0052</t>
  </si>
  <si>
    <t xml:space="preserve">L0053</t>
  </si>
  <si>
    <t xml:space="preserve">L0054</t>
  </si>
  <si>
    <t xml:space="preserve">FIXX-PST-002</t>
  </si>
  <si>
    <t xml:space="preserve">Termite treatment (assumed 40 m perimeter)</t>
  </si>
  <si>
    <t xml:space="preserve">Tratamiento contra termitas (perímetro supuesto 40 m)</t>
  </si>
  <si>
    <r>
      <rPr>
        <sz val="11"/>
        <color theme="1"/>
        <rFont val="Noto Sans CJK SC"/>
        <family val="2"/>
      </rPr>
      <t xml:space="preserve">흰개미 방제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둘레 </t>
    </r>
    <r>
      <rPr>
        <sz val="11"/>
        <color theme="1"/>
        <rFont val="Calibri"/>
        <family val="2"/>
        <charset val="1"/>
      </rPr>
      <t xml:space="preserve">40 m </t>
    </r>
    <r>
      <rPr>
        <sz val="11"/>
        <color theme="1"/>
        <rFont val="Noto Sans CJK SC"/>
        <family val="2"/>
      </rPr>
      <t xml:space="preserve">가정</t>
    </r>
    <r>
      <rPr>
        <sz val="11"/>
        <color theme="1"/>
        <rFont val="Calibri"/>
        <family val="2"/>
        <charset val="1"/>
      </rPr>
      <t xml:space="preserve">)</t>
    </r>
  </si>
  <si>
    <t xml:space="preserve">L0055</t>
  </si>
  <si>
    <t xml:space="preserve">L0056</t>
  </si>
  <si>
    <t xml:space="preserve">L0057</t>
  </si>
  <si>
    <t xml:space="preserve">FIXX-PST-003</t>
  </si>
  <si>
    <t xml:space="preserve">Rodent control</t>
  </si>
  <si>
    <t xml:space="preserve">Control de roedores</t>
  </si>
  <si>
    <t xml:space="preserve">설치류 방제</t>
  </si>
  <si>
    <t xml:space="preserve">L0058</t>
  </si>
  <si>
    <t xml:space="preserve">L0059</t>
  </si>
  <si>
    <t xml:space="preserve">L0060</t>
  </si>
  <si>
    <t xml:space="preserve">FIXX-GRD-001</t>
  </si>
  <si>
    <t xml:space="preserve">Routine lawn care, 50 m² lawn + 10 m² beds (generic lawn; pro confirms grass type)</t>
  </si>
  <si>
    <t xml:space="preserve">0.25 of 10 kg bag (2.5 kg)</t>
  </si>
  <si>
    <t xml:space="preserve">Mantenimiento de jardín, 50 m² de pasto + 10 m² de arriates</t>
  </si>
  <si>
    <r>
      <rPr>
        <sz val="11"/>
        <color theme="1"/>
        <rFont val="Noto Sans CJK SC"/>
        <family val="2"/>
      </rPr>
      <t xml:space="preserve">정기 정원 관리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잔디 </t>
    </r>
    <r>
      <rPr>
        <sz val="11"/>
        <color theme="1"/>
        <rFont val="Calibri"/>
        <family val="2"/>
        <charset val="1"/>
      </rPr>
      <t xml:space="preserve">50 m² + </t>
    </r>
    <r>
      <rPr>
        <sz val="11"/>
        <color theme="1"/>
        <rFont val="Noto Sans CJK SC"/>
        <family val="2"/>
      </rPr>
      <t xml:space="preserve">화단 </t>
    </r>
    <r>
      <rPr>
        <sz val="11"/>
        <color theme="1"/>
        <rFont val="Calibri"/>
        <family val="2"/>
        <charset val="1"/>
      </rPr>
      <t xml:space="preserve">10 m²</t>
    </r>
  </si>
  <si>
    <t xml:space="preserve">L0061</t>
  </si>
  <si>
    <t xml:space="preserve">3 bags</t>
  </si>
  <si>
    <t xml:space="preserve">L0062</t>
  </si>
  <si>
    <t xml:space="preserve">10 m of 78 m spool</t>
  </si>
  <si>
    <t xml:space="preserve">L0063</t>
  </si>
  <si>
    <t xml:space="preserve">5 of 40 bags</t>
  </si>
  <si>
    <t xml:space="preserve">L0064</t>
  </si>
  <si>
    <t xml:space="preserve">9 bags ≈ 500 L mulch</t>
  </si>
  <si>
    <t xml:space="preserve">L0065</t>
  </si>
  <si>
    <t xml:space="preserve">5 m² sod patch</t>
  </si>
  <si>
    <t xml:space="preserve">L0066</t>
  </si>
  <si>
    <t xml:space="preserve">unit price reference</t>
  </si>
  <si>
    <t xml:space="preserve">Pesticide reference only (COFEPRIS); qty not set.</t>
  </si>
  <si>
    <t xml:space="preserve">L0067</t>
  </si>
  <si>
    <t xml:space="preserve">unpriced</t>
  </si>
  <si>
    <t xml:space="preserve">Only JAR/URB RSCO-labelled herbicides.</t>
  </si>
  <si>
    <t xml:space="preserve">L0068</t>
  </si>
  <si>
    <t xml:space="preserve">0.5 of 5 kg bag (2.5 kg)</t>
  </si>
  <si>
    <t xml:space="preserve">L0069</t>
  </si>
  <si>
    <t xml:space="preserve">L0070</t>
  </si>
  <si>
    <t xml:space="preserve">10 m of 12 m pack</t>
  </si>
  <si>
    <t xml:space="preserve">L0071</t>
  </si>
  <si>
    <t xml:space="preserve">5 of 20 bags</t>
  </si>
  <si>
    <t xml:space="preserve">L0072</t>
  </si>
  <si>
    <t xml:space="preserve">L0073</t>
  </si>
  <si>
    <t xml:space="preserve">L0074</t>
  </si>
  <si>
    <t xml:space="preserve">L0075</t>
  </si>
  <si>
    <t xml:space="preserve">L0076</t>
  </si>
  <si>
    <t xml:space="preserve">L0077</t>
  </si>
  <si>
    <t xml:space="preserve">2 bags</t>
  </si>
  <si>
    <t xml:space="preserve">L0078</t>
  </si>
  <si>
    <t xml:space="preserve">L0079</t>
  </si>
  <si>
    <t xml:space="preserve">L0080</t>
  </si>
  <si>
    <t xml:space="preserve">L0081</t>
  </si>
  <si>
    <t xml:space="preserve">L0082</t>
  </si>
  <si>
    <t xml:space="preserve">L0083</t>
  </si>
  <si>
    <t xml:space="preserve">L0084</t>
  </si>
  <si>
    <t xml:space="preserve">L0085</t>
  </si>
  <si>
    <t xml:space="preserve">FIXX-GRD-002</t>
  </si>
  <si>
    <t xml:space="preserve">Weed clearing, 50 m²</t>
  </si>
  <si>
    <t xml:space="preserve">25 m of 78 m spool</t>
  </si>
  <si>
    <t xml:space="preserve">Deshierbe, 50 m²</t>
  </si>
  <si>
    <r>
      <rPr>
        <sz val="11"/>
        <color theme="1"/>
        <rFont val="Noto Sans CJK SC"/>
        <family val="2"/>
      </rPr>
      <t xml:space="preserve">잡초 제거</t>
    </r>
    <r>
      <rPr>
        <sz val="11"/>
        <color theme="1"/>
        <rFont val="Calibri"/>
        <family val="2"/>
        <charset val="1"/>
      </rPr>
      <t xml:space="preserve">, 50 m²</t>
    </r>
  </si>
  <si>
    <t xml:space="preserve">L0086</t>
  </si>
  <si>
    <t xml:space="preserve">10 of 40 bags</t>
  </si>
  <si>
    <t xml:space="preserve">L0087</t>
  </si>
  <si>
    <t xml:space="preserve">1 roll (coverage to confirm)</t>
  </si>
  <si>
    <t xml:space="preserve">L0088</t>
  </si>
  <si>
    <t xml:space="preserve">staples (derived)</t>
  </si>
  <si>
    <t xml:space="preserve">L0089</t>
  </si>
  <si>
    <t xml:space="preserve">25 m of 56 m spool</t>
  </si>
  <si>
    <t xml:space="preserve">L0090</t>
  </si>
  <si>
    <t xml:space="preserve">10 of 20 bags</t>
  </si>
  <si>
    <t xml:space="preserve">L0091</t>
  </si>
  <si>
    <t xml:space="preserve">L0092</t>
  </si>
  <si>
    <t xml:space="preserve">25 m of 253 m spool</t>
  </si>
  <si>
    <t xml:space="preserve">L0093</t>
  </si>
  <si>
    <t xml:space="preserve">L0094</t>
  </si>
  <si>
    <t xml:space="preserve">L0095</t>
  </si>
  <si>
    <t xml:space="preserve">FIXX-GRD-003</t>
  </si>
  <si>
    <t xml:space="preserve">Trimming / pruning</t>
  </si>
  <si>
    <t xml:space="preserve">6 of 40 bags</t>
  </si>
  <si>
    <t xml:space="preserve">Poda / recorte</t>
  </si>
  <si>
    <r>
      <rPr>
        <sz val="11"/>
        <color theme="1"/>
        <rFont val="Noto Sans CJK SC"/>
        <family val="2"/>
      </rPr>
      <t xml:space="preserve">가지치기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CJK SC"/>
        <family val="2"/>
      </rPr>
      <t xml:space="preserve">다듬기</t>
    </r>
  </si>
  <si>
    <t xml:space="preserve">L0096</t>
  </si>
  <si>
    <t xml:space="preserve">20 of 100 ties</t>
  </si>
  <si>
    <t xml:space="preserve">L0097</t>
  </si>
  <si>
    <t xml:space="preserve">1 container</t>
  </si>
  <si>
    <t xml:space="preserve">L0098</t>
  </si>
  <si>
    <t xml:space="preserve">6 of 20 bags</t>
  </si>
  <si>
    <t xml:space="preserve">L0099</t>
  </si>
  <si>
    <t xml:space="preserve">20 ties (pack size assumed 100)</t>
  </si>
  <si>
    <t xml:space="preserve">L0100</t>
  </si>
  <si>
    <t xml:space="preserve">L0101</t>
  </si>
  <si>
    <t xml:space="preserve">L0102</t>
  </si>
  <si>
    <t xml:space="preserve">L0103</t>
  </si>
  <si>
    <t xml:space="preserve">L0104</t>
  </si>
  <si>
    <t xml:space="preserve">FIXX-FLR-001</t>
  </si>
  <si>
    <t xml:space="preserve">Tile installation, 20 m² (covering = homeowner choice; budget = ceramic only; default 60×60)</t>
  </si>
  <si>
    <t xml:space="preserve">7 bags</t>
  </si>
  <si>
    <t xml:space="preserve">Instalación de piso cerámico, 20 m² (piso a elección del cliente)</t>
  </si>
  <si>
    <r>
      <rPr>
        <sz val="11"/>
        <color theme="1"/>
        <rFont val="Noto Sans CJK SC"/>
        <family val="2"/>
      </rPr>
      <t xml:space="preserve">타일 시공</t>
    </r>
    <r>
      <rPr>
        <sz val="11"/>
        <color theme="1"/>
        <rFont val="Calibri"/>
        <family val="2"/>
        <charset val="1"/>
      </rPr>
      <t xml:space="preserve">, 20 m² (</t>
    </r>
    <r>
      <rPr>
        <sz val="11"/>
        <color theme="1"/>
        <rFont val="Noto Sans CJK SC"/>
        <family val="2"/>
      </rPr>
      <t xml:space="preserve">바닥재는 고객 선택</t>
    </r>
    <r>
      <rPr>
        <sz val="11"/>
        <color theme="1"/>
        <rFont val="Calibri"/>
        <family val="2"/>
        <charset val="1"/>
      </rPr>
      <t xml:space="preserve">)</t>
    </r>
  </si>
  <si>
    <t xml:space="preserve">L0105</t>
  </si>
  <si>
    <t xml:space="preserve">1 bag(s)</t>
  </si>
  <si>
    <t xml:space="preserve">L0106</t>
  </si>
  <si>
    <t xml:space="preserve">1 pack</t>
  </si>
  <si>
    <t xml:space="preserve">L0107</t>
  </si>
  <si>
    <t xml:space="preserve">L0108</t>
  </si>
  <si>
    <t xml:space="preserve">L0109</t>
  </si>
  <si>
    <t xml:space="preserve">L0110</t>
  </si>
  <si>
    <t xml:space="preserve">L0111</t>
  </si>
  <si>
    <t xml:space="preserve">2 bag(s)</t>
  </si>
  <si>
    <t xml:space="preserve">L0112</t>
  </si>
  <si>
    <t xml:space="preserve">L0113</t>
  </si>
  <si>
    <t xml:space="preserve">FIXX-FLR-002</t>
  </si>
  <si>
    <t xml:space="preserve">Tile repair</t>
  </si>
  <si>
    <t xml:space="preserve">Reparación de piso cerámico</t>
  </si>
  <si>
    <t xml:space="preserve">타일 수리</t>
  </si>
  <si>
    <t xml:space="preserve">L0114</t>
  </si>
  <si>
    <t xml:space="preserve">L0115</t>
  </si>
  <si>
    <t xml:space="preserve">L0116</t>
  </si>
  <si>
    <t xml:space="preserve">FIXX-FLR-003</t>
  </si>
  <si>
    <t xml:space="preserve">Floating floor installation, 20 m² (covering = homeowner choice)</t>
  </si>
  <si>
    <t xml:space="preserve">21 m² of 90 m² roll (20 m² + 5%)</t>
  </si>
  <si>
    <t xml:space="preserve">Instalación de piso flotante, 20 m² (piso a elección del cliente)</t>
  </si>
  <si>
    <r>
      <rPr>
        <sz val="11"/>
        <color theme="1"/>
        <rFont val="Noto Sans CJK SC"/>
        <family val="2"/>
      </rPr>
      <t xml:space="preserve">강마루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플로팅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시공</t>
    </r>
    <r>
      <rPr>
        <sz val="11"/>
        <color theme="1"/>
        <rFont val="Calibri"/>
        <family val="2"/>
        <charset val="1"/>
      </rPr>
      <t xml:space="preserve">, 20 m² (</t>
    </r>
    <r>
      <rPr>
        <sz val="11"/>
        <color theme="1"/>
        <rFont val="Noto Sans CJK SC"/>
        <family val="2"/>
      </rPr>
      <t xml:space="preserve">바닥재는 고객 선택</t>
    </r>
    <r>
      <rPr>
        <sz val="11"/>
        <color theme="1"/>
        <rFont val="Calibri"/>
        <family val="2"/>
        <charset val="1"/>
      </rPr>
      <t xml:space="preserve">)</t>
    </r>
  </si>
  <si>
    <t xml:space="preserve">L0117</t>
  </si>
  <si>
    <t xml:space="preserve">21 m² of 91.2 m² roll</t>
  </si>
  <si>
    <t xml:space="preserve">L0118</t>
  </si>
  <si>
    <t xml:space="preserve">18 m of 25 m pack</t>
  </si>
  <si>
    <t xml:space="preserve">L0119</t>
  </si>
  <si>
    <t xml:space="preserve">L0120</t>
  </si>
  <si>
    <t xml:space="preserve">L0121</t>
  </si>
  <si>
    <t xml:space="preserve">L0122</t>
  </si>
  <si>
    <t xml:space="preserve">L0123</t>
  </si>
  <si>
    <t xml:space="preserve">21 m² of 120 m² roll</t>
  </si>
  <si>
    <t xml:space="preserve">L0124</t>
  </si>
  <si>
    <t xml:space="preserve">8 pc</t>
  </si>
  <si>
    <t xml:space="preserve">L0125</t>
  </si>
  <si>
    <t xml:space="preserve">L0126</t>
  </si>
  <si>
    <t xml:space="preserve">L0127</t>
  </si>
  <si>
    <t xml:space="preserve">L0128</t>
  </si>
  <si>
    <t xml:space="preserve">L0129</t>
  </si>
  <si>
    <t xml:space="preserve">L0130</t>
  </si>
  <si>
    <t xml:space="preserve">L0131</t>
  </si>
  <si>
    <t xml:space="preserve">L0132</t>
  </si>
  <si>
    <t xml:space="preserve">L0133</t>
  </si>
  <si>
    <t xml:space="preserve">L0134</t>
  </si>
  <si>
    <t xml:space="preserve">FIXX-CON-001</t>
  </si>
  <si>
    <t xml:space="preserve">Crack / patch repair</t>
  </si>
  <si>
    <t xml:space="preserve">1 cartridge</t>
  </si>
  <si>
    <t xml:space="preserve">Reparación de grietas / resanes en concreto</t>
  </si>
  <si>
    <r>
      <rPr>
        <sz val="11"/>
        <color theme="1"/>
        <rFont val="Noto Sans CJK SC"/>
        <family val="2"/>
      </rPr>
      <t xml:space="preserve">균열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CJK SC"/>
        <family val="2"/>
      </rPr>
      <t xml:space="preserve">보수 작업</t>
    </r>
  </si>
  <si>
    <t xml:space="preserve">L0135</t>
  </si>
  <si>
    <t xml:space="preserve">2 units</t>
  </si>
  <si>
    <t xml:space="preserve">L0136</t>
  </si>
  <si>
    <t xml:space="preserve">1 unit</t>
  </si>
  <si>
    <t xml:space="preserve">L0137</t>
  </si>
  <si>
    <t xml:space="preserve">L0138</t>
  </si>
  <si>
    <t xml:space="preserve">L0139</t>
  </si>
  <si>
    <t xml:space="preserve">L0140</t>
  </si>
  <si>
    <t xml:space="preserve">L0141</t>
  </si>
  <si>
    <t xml:space="preserve">L0142</t>
  </si>
  <si>
    <t xml:space="preserve">L0143</t>
  </si>
  <si>
    <t xml:space="preserve">FIXX-CON-002</t>
  </si>
  <si>
    <t xml:space="preserve">Slab, 10 m² × 8 cm (non-structural)</t>
  </si>
  <si>
    <t xml:space="preserve">6 bags (hand-mix; dosage to check)</t>
  </si>
  <si>
    <t xml:space="preserve">Firme de concreto, 10 m² × 8 cm (no estructural)</t>
  </si>
  <si>
    <r>
      <rPr>
        <sz val="11"/>
        <color theme="1"/>
        <rFont val="Noto Sans CJK SC"/>
        <family val="2"/>
      </rPr>
      <t xml:space="preserve">콘크리트 바닥</t>
    </r>
    <r>
      <rPr>
        <sz val="11"/>
        <color theme="1"/>
        <rFont val="Calibri"/>
        <family val="2"/>
        <charset val="1"/>
      </rPr>
      <t xml:space="preserve">, 10 m² × 8 cm (</t>
    </r>
    <r>
      <rPr>
        <sz val="11"/>
        <color theme="1"/>
        <rFont val="Noto Sans CJK SC"/>
        <family val="2"/>
      </rPr>
      <t xml:space="preserve">비구조</t>
    </r>
    <r>
      <rPr>
        <sz val="11"/>
        <color theme="1"/>
        <rFont val="Calibri"/>
        <family val="2"/>
        <charset val="1"/>
      </rPr>
      <t xml:space="preserve">)</t>
    </r>
  </si>
  <si>
    <t xml:space="preserve">L0144</t>
  </si>
  <si>
    <t xml:space="preserve">L0145</t>
  </si>
  <si>
    <t xml:space="preserve">L0146</t>
  </si>
  <si>
    <t xml:space="preserve">L0147</t>
  </si>
  <si>
    <t xml:space="preserve">Structural: human review; qty not set (engineer to specify).</t>
  </si>
  <si>
    <t xml:space="preserve">L0148</t>
  </si>
  <si>
    <t xml:space="preserve">L0149</t>
  </si>
  <si>
    <t xml:space="preserve">L0150</t>
  </si>
  <si>
    <t xml:space="preserve">L0151</t>
  </si>
  <si>
    <t xml:space="preserve">$242 + IVA → 280.72; computed 3,147.32 vs stated 3,147 (IVA rounding).</t>
  </si>
  <si>
    <t xml:space="preserve">L0152</t>
  </si>
  <si>
    <t xml:space="preserve">L0153</t>
  </si>
  <si>
    <t xml:space="preserve">L0154</t>
  </si>
  <si>
    <t xml:space="preserve">L0155</t>
  </si>
  <si>
    <t xml:space="preserve">L0156</t>
  </si>
  <si>
    <t xml:space="preserve">L0157</t>
  </si>
  <si>
    <t xml:space="preserve">L0158</t>
  </si>
  <si>
    <t xml:space="preserve">L0159</t>
  </si>
  <si>
    <t xml:space="preserve">73 bags × 25 kg</t>
  </si>
  <si>
    <t xml:space="preserve">L0160</t>
  </si>
  <si>
    <t xml:space="preserve">L0161</t>
  </si>
  <si>
    <t xml:space="preserve">L0162</t>
  </si>
  <si>
    <t xml:space="preserve">L0163</t>
  </si>
  <si>
    <t xml:space="preserve">L0164</t>
  </si>
  <si>
    <t xml:space="preserve">L0165</t>
  </si>
  <si>
    <t xml:space="preserve">L0166</t>
  </si>
  <si>
    <t xml:space="preserve">FIXX-CON-003</t>
  </si>
  <si>
    <t xml:space="preserve">Concrete sealing, 20 m²</t>
  </si>
  <si>
    <t xml:space="preserve">Sellado de concreto, 20 m²</t>
  </si>
  <si>
    <r>
      <rPr>
        <sz val="11"/>
        <color theme="1"/>
        <rFont val="Noto Sans CJK SC"/>
        <family val="2"/>
      </rPr>
      <t xml:space="preserve">콘크리트 실링</t>
    </r>
    <r>
      <rPr>
        <sz val="11"/>
        <color theme="1"/>
        <rFont val="Calibri"/>
        <family val="2"/>
        <charset val="1"/>
      </rPr>
      <t xml:space="preserve">, 20 m²</t>
    </r>
  </si>
  <si>
    <t xml:space="preserve">L0167</t>
  </si>
  <si>
    <t xml:space="preserve">L0168</t>
  </si>
  <si>
    <t xml:space="preserve">L0169</t>
  </si>
  <si>
    <t xml:space="preserve">FIXX-CAR-001</t>
  </si>
  <si>
    <t xml:space="preserve">Interior door rehang / hinge replacement, 1 door (door excluded; 3 hinges)</t>
  </si>
  <si>
    <t xml:space="preserve">2 packs (4 hinges; 3 used)</t>
  </si>
  <si>
    <t xml:space="preserve">ASSUMPTION: reference job = 1 standard interior door, 3 hinges.</t>
  </si>
  <si>
    <t xml:space="preserve">Reajuste de puerta / cambio de bisagras, 1 puerta</t>
  </si>
  <si>
    <r>
      <rPr>
        <sz val="11"/>
        <color theme="1"/>
        <rFont val="Noto Sans CJK SC"/>
        <family val="2"/>
      </rPr>
      <t xml:space="preserve">실내 문 재설치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CJK SC"/>
        <family val="2"/>
      </rPr>
      <t xml:space="preserve">경첩 교체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문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개</t>
    </r>
  </si>
  <si>
    <t xml:space="preserve">L0170</t>
  </si>
  <si>
    <t xml:space="preserve">1 plug kit if frame screws strip</t>
  </si>
  <si>
    <t xml:space="preserve">L0171</t>
  </si>
  <si>
    <t xml:space="preserve">1 bag of 3 incl. screws</t>
  </si>
  <si>
    <t xml:space="preserve">L0172</t>
  </si>
  <si>
    <t xml:space="preserve">L0173</t>
  </si>
  <si>
    <t xml:space="preserve">L0174</t>
  </si>
  <si>
    <t xml:space="preserve">L0175</t>
  </si>
  <si>
    <t xml:space="preserve">FIXX-APL-001</t>
  </si>
  <si>
    <t xml:space="preserve">Washer repair visit (parts as-needed after diagnosis)</t>
  </si>
  <si>
    <t xml:space="preserve">¼ can (prorated consumable)</t>
  </si>
  <si>
    <t xml:space="preserve">ASSUMPTION: ¼ can per visit. Tiers = same product at different stores.</t>
  </si>
  <si>
    <t xml:space="preserve">Visita de reparación de lavadora (refacciones aparte)</t>
  </si>
  <si>
    <r>
      <rPr>
        <sz val="11"/>
        <color theme="1"/>
        <rFont val="Noto Sans CJK SC"/>
        <family val="2"/>
      </rPr>
      <t xml:space="preserve">세탁기 수리 방문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부품 별도</t>
    </r>
    <r>
      <rPr>
        <sz val="11"/>
        <color theme="1"/>
        <rFont val="Calibri"/>
        <family val="2"/>
        <charset val="1"/>
      </rPr>
      <t xml:space="preserve">)</t>
    </r>
  </si>
  <si>
    <t xml:space="preserve">L0176</t>
  </si>
  <si>
    <t xml:space="preserve">model-specific parts</t>
  </si>
  <si>
    <t xml:space="preserve">Unpriced; quoted after diagnosis.</t>
  </si>
  <si>
    <t xml:space="preserve">L0177</t>
  </si>
  <si>
    <t xml:space="preserve">FIXX-APL-002</t>
  </si>
  <si>
    <t xml:space="preserve">Refrigerator repair visit (parts as-needed; sealed-system work flagged)</t>
  </si>
  <si>
    <t xml:space="preserve">Visita de reparación de refrigerador (refacciones aparte)</t>
  </si>
  <si>
    <r>
      <rPr>
        <sz val="11"/>
        <color theme="1"/>
        <rFont val="Noto Sans CJK SC"/>
        <family val="2"/>
      </rPr>
      <t xml:space="preserve">냉장고 수리 방문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부품 별도</t>
    </r>
    <r>
      <rPr>
        <sz val="11"/>
        <color theme="1"/>
        <rFont val="Calibri"/>
        <family val="2"/>
        <charset val="1"/>
      </rPr>
      <t xml:space="preserve">)</t>
    </r>
  </si>
  <si>
    <t xml:space="preserve">L0178</t>
  </si>
  <si>
    <t xml:space="preserve">L0179</t>
  </si>
  <si>
    <t xml:space="preserve">refrigerant if sealed system opened</t>
  </si>
  <si>
    <t xml:space="preserve">Refrigerant: human review.</t>
  </si>
  <si>
    <t xml:space="preserve">L0180</t>
  </si>
  <si>
    <t xml:space="preserve">L0181</t>
  </si>
  <si>
    <t xml:space="preserve">L0182</t>
  </si>
  <si>
    <t xml:space="preserve">L0183</t>
  </si>
  <si>
    <t xml:space="preserve">L0184</t>
  </si>
  <si>
    <t xml:space="preserve">L0185</t>
  </si>
  <si>
    <t xml:space="preserve">L0186</t>
  </si>
  <si>
    <t xml:space="preserve">L0187</t>
  </si>
  <si>
    <t xml:space="preserve">L0188</t>
  </si>
  <si>
    <t xml:space="preserve">L0189</t>
  </si>
  <si>
    <t xml:space="preserve">L0190</t>
  </si>
  <si>
    <t xml:space="preserve">FIXX-ROF-001</t>
  </si>
  <si>
    <t xml:space="preserve">Roof waterproofing, 50 m² flat slab (ASSUMPTION: area); budget/standard acrylic, premium SBS membrane</t>
  </si>
  <si>
    <t xml:space="preserve">3 pails (57 m² at 1 m²/L, 2 coats)</t>
  </si>
  <si>
    <t xml:space="preserve">Impermeabilización de azotea, 50 m²</t>
  </si>
  <si>
    <r>
      <rPr>
        <sz val="11"/>
        <color theme="1"/>
        <rFont val="Noto Sans CJK SC"/>
        <family val="2"/>
      </rPr>
      <t xml:space="preserve">옥상 방수</t>
    </r>
    <r>
      <rPr>
        <sz val="11"/>
        <color theme="1"/>
        <rFont val="Calibri"/>
        <family val="2"/>
        <charset val="1"/>
      </rPr>
      <t xml:space="preserve">, 50 m²</t>
    </r>
  </si>
  <si>
    <t xml:space="preserve">L0191</t>
  </si>
  <si>
    <t xml:space="preserve">50 of ~70 m² per unit</t>
  </si>
  <si>
    <t xml:space="preserve">L0192</t>
  </si>
  <si>
    <t xml:space="preserve">3 pails (57 m²)</t>
  </si>
  <si>
    <t xml:space="preserve">L0193</t>
  </si>
  <si>
    <t xml:space="preserve">L0194</t>
  </si>
  <si>
    <t xml:space="preserve">6 rolls (50 m² + ~10% overlap, ASSUMPTION)</t>
  </si>
  <si>
    <t xml:space="preserve">L0195</t>
  </si>
  <si>
    <t xml:space="preserve">50 of ~95 m² per unit</t>
  </si>
  <si>
    <t xml:space="preserve">L0196</t>
  </si>
  <si>
    <t xml:space="preserve">FIXX-HND-001</t>
  </si>
  <si>
    <t xml:space="preserve">TV wall mount, 1 TV (TV excluded; budget/standard tilt ≤70 in, premium articulated)</t>
  </si>
  <si>
    <t xml:space="preserve">1 mount</t>
  </si>
  <si>
    <t xml:space="preserve">Instalación de TV en pared, 1 TV</t>
  </si>
  <si>
    <r>
      <rPr>
        <sz val="11"/>
        <color theme="1"/>
        <rFont val="Calibri"/>
        <family val="2"/>
        <charset val="1"/>
      </rPr>
      <t xml:space="preserve">TV </t>
    </r>
    <r>
      <rPr>
        <sz val="11"/>
        <color theme="1"/>
        <rFont val="Noto Sans CJK SC"/>
        <family val="2"/>
      </rPr>
      <t xml:space="preserve">벽걸이 설치</t>
    </r>
    <r>
      <rPr>
        <sz val="11"/>
        <color theme="1"/>
        <rFont val="Calibri"/>
        <family val="2"/>
        <charset val="1"/>
      </rPr>
      <t xml:space="preserve">, TV 1</t>
    </r>
    <r>
      <rPr>
        <sz val="11"/>
        <color theme="1"/>
        <rFont val="Noto Sans CJK SC"/>
        <family val="2"/>
      </rPr>
      <t xml:space="preserve">대</t>
    </r>
  </si>
  <si>
    <t xml:space="preserve">L0197</t>
  </si>
  <si>
    <t xml:space="preserve">1 plug/screw kit</t>
  </si>
  <si>
    <t xml:space="preserve">Masonry/block wall assumed; drywall needs toggle anchors (not priced).</t>
  </si>
  <si>
    <t xml:space="preserve">L0198</t>
  </si>
  <si>
    <t xml:space="preserve">FIXX-HND-002</t>
  </si>
  <si>
    <t xml:space="preserve">Small-jobs visit (hang shelves/curtain rods/mirrors, up to ~2 h)</t>
  </si>
  <si>
    <t xml:space="preserve">ASSUMPTION: one kit per visit.</t>
  </si>
  <si>
    <t xml:space="preserve">Visita de trabajos menores (repisas, cortineros, espejos)</t>
  </si>
  <si>
    <r>
      <rPr>
        <sz val="11"/>
        <color theme="1"/>
        <rFont val="Noto Sans CJK SC"/>
        <family val="2"/>
      </rPr>
      <t xml:space="preserve">소규모 작업 방문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선반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커튼봉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거울</t>
    </r>
    <r>
      <rPr>
        <sz val="11"/>
        <color theme="1"/>
        <rFont val="Calibri"/>
        <family val="2"/>
        <charset val="1"/>
      </rPr>
      <t xml:space="preserve">)</t>
    </r>
  </si>
  <si>
    <t xml:space="preserve">L0199</t>
  </si>
  <si>
    <t xml:space="preserve">L0200</t>
  </si>
  <si>
    <t xml:space="preserve">L0201</t>
  </si>
  <si>
    <t xml:space="preserve">L0202</t>
  </si>
  <si>
    <t xml:space="preserve">L0203</t>
  </si>
  <si>
    <t xml:space="preserve">L0204</t>
  </si>
  <si>
    <t xml:space="preserve">L0205</t>
  </si>
  <si>
    <t xml:space="preserve">L0206</t>
  </si>
  <si>
    <t xml:space="preserve">L0207</t>
  </si>
  <si>
    <t xml:space="preserve">L0208</t>
  </si>
  <si>
    <t xml:space="preserve">FIXX-LCK-001</t>
  </si>
  <si>
    <t xml:space="preserve">Interior knob/lever lock replacement, 1 door</t>
  </si>
  <si>
    <t xml:space="preserve">1 lock</t>
  </si>
  <si>
    <t xml:space="preserve">Cambio de chapa interior, 1 puerta</t>
  </si>
  <si>
    <r>
      <rPr>
        <sz val="11"/>
        <color theme="1"/>
        <rFont val="Noto Sans CJK SC"/>
        <family val="2"/>
      </rPr>
      <t xml:space="preserve">실내 도어락 교체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문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개</t>
    </r>
  </si>
  <si>
    <t xml:space="preserve">L0209</t>
  </si>
  <si>
    <t xml:space="preserve">FIXX-LCK-002</t>
  </si>
  <si>
    <t xml:space="preserve">Residential lockout opening (no lock change)</t>
  </si>
  <si>
    <t xml:space="preserve">Labor-only service.</t>
  </si>
  <si>
    <t xml:space="preserve">Apertura de puerta residencial (sin cambio de chapa)</t>
  </si>
  <si>
    <r>
      <rPr>
        <sz val="11"/>
        <color theme="1"/>
        <rFont val="Noto Sans CJK SC"/>
        <family val="2"/>
      </rPr>
      <t xml:space="preserve">주택 문 열림 서비스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잠금장치 교체 없음</t>
    </r>
    <r>
      <rPr>
        <sz val="11"/>
        <color theme="1"/>
        <rFont val="Calibri"/>
        <family val="2"/>
        <charset val="1"/>
      </rPr>
      <t xml:space="preserve">)</t>
    </r>
  </si>
  <si>
    <t xml:space="preserve">L0210</t>
  </si>
  <si>
    <t xml:space="preserve">L0211</t>
  </si>
  <si>
    <t xml:space="preserve">L0212</t>
  </si>
  <si>
    <t xml:space="preserve">L0213</t>
  </si>
  <si>
    <t xml:space="preserve">L0214</t>
  </si>
  <si>
    <t xml:space="preserve">1 × 19 L</t>
  </si>
  <si>
    <t xml:space="preserve">ASSUMPTION: paint qty = 43 m² × 2 coats at low label coverage derated 50%; sandpaper and patching compound as-needed (unpriced).</t>
  </si>
  <si>
    <t xml:space="preserve">L0215</t>
  </si>
  <si>
    <t xml:space="preserve">2 × 4 L (24.6 L needed: 86 m² at 7 m²/L derated 50% = 3.5 m²/L)</t>
  </si>
  <si>
    <t xml:space="preserve">L0216</t>
  </si>
  <si>
    <t xml:space="preserve">1 × 4 L sealer diluted per label</t>
  </si>
  <si>
    <t xml:space="preserve">L0217</t>
  </si>
  <si>
    <t xml:space="preserve">2 roller covers</t>
  </si>
  <si>
    <t xml:space="preserve">L0218</t>
  </si>
  <si>
    <t xml:space="preserve">2 rolls masking</t>
  </si>
  <si>
    <t xml:space="preserve">L0219</t>
  </si>
  <si>
    <t xml:space="preserve">20 m² of plastic sheeting</t>
  </si>
  <si>
    <t xml:space="preserve">L0220</t>
  </si>
  <si>
    <t xml:space="preserve">L0221</t>
  </si>
  <si>
    <t xml:space="preserve">1 × 4 L (21.5 L needed: 86 m² at 4 m²/L)</t>
  </si>
  <si>
    <t xml:space="preserve">L0222</t>
  </si>
  <si>
    <t xml:space="preserve">L0223</t>
  </si>
  <si>
    <t xml:space="preserve">L0224</t>
  </si>
  <si>
    <t xml:space="preserve">L0225</t>
  </si>
  <si>
    <t xml:space="preserve">L0226</t>
  </si>
  <si>
    <t xml:space="preserve">4 × 4 L (14.3 L needed: 86 m² at 6 m²/L)</t>
  </si>
  <si>
    <t xml:space="preserve">L0227</t>
  </si>
  <si>
    <t xml:space="preserve">1 × 4 L reinforced sealer</t>
  </si>
  <si>
    <t xml:space="preserve">L0228</t>
  </si>
  <si>
    <t xml:space="preserve">3 roller covers</t>
  </si>
  <si>
    <t xml:space="preserve">L0229</t>
  </si>
  <si>
    <t xml:space="preserve">3 rolls masking</t>
  </si>
  <si>
    <t xml:space="preserve">L0230</t>
  </si>
  <si>
    <t xml:space="preserve">L0231</t>
  </si>
  <si>
    <t xml:space="preserve">0.25 of 3.75 L jug (condenser)</t>
  </si>
  <si>
    <t xml:space="preserve">ASSUMPTION: cleaner share scales with tonnage.</t>
  </si>
  <si>
    <t xml:space="preserve">L0232</t>
  </si>
  <si>
    <t xml:space="preserve">1 can (evaporator)</t>
  </si>
  <si>
    <t xml:space="preserve">L0233</t>
  </si>
  <si>
    <t xml:space="preserve">0.1 roll tape</t>
  </si>
  <si>
    <t xml:space="preserve">L0234</t>
  </si>
  <si>
    <t xml:space="preserve">1 line-set kit</t>
  </si>
  <si>
    <t xml:space="preserve">ASSUMPTION: ¼+⅜ copper kit for 1–1.5 t (marketplace item, flagged marketplace)</t>
  </si>
  <si>
    <t xml:space="preserve">L0235</t>
  </si>
  <si>
    <t xml:space="preserve">1 wall bracket</t>
  </si>
  <si>
    <t xml:space="preserve">L0236</t>
  </si>
  <si>
    <t xml:space="preserve">L0237</t>
  </si>
  <si>
    <t xml:space="preserve">0.25 roll tape</t>
  </si>
  <si>
    <t xml:space="preserve">L0238</t>
  </si>
  <si>
    <t xml:space="preserve">interconnect cable + drain hose</t>
  </si>
  <si>
    <t xml:space="preserve">L0239</t>
  </si>
  <si>
    <t xml:space="preserve">0.3 of 3.75 L jug (condenser)</t>
  </si>
  <si>
    <t xml:space="preserve">L0240</t>
  </si>
  <si>
    <t xml:space="preserve">L0241</t>
  </si>
  <si>
    <t xml:space="preserve">L0242</t>
  </si>
  <si>
    <t xml:space="preserve">L0243</t>
  </si>
  <si>
    <t xml:space="preserve">L0244</t>
  </si>
  <si>
    <t xml:space="preserve">L0245</t>
  </si>
  <si>
    <t xml:space="preserve">L0246</t>
  </si>
  <si>
    <t xml:space="preserve">L0247</t>
  </si>
  <si>
    <t xml:space="preserve">0.4 of 3.75 L jug (condenser)</t>
  </si>
  <si>
    <t xml:space="preserve">L0248</t>
  </si>
  <si>
    <t xml:space="preserve">L0249</t>
  </si>
  <si>
    <t xml:space="preserve">L0250</t>
  </si>
  <si>
    <t xml:space="preserve">ASSUMPTION: ⅜+⅝ copper coil kit for 2–3 t; length/all-copper to confirm</t>
  </si>
  <si>
    <t xml:space="preserve">L0251</t>
  </si>
  <si>
    <t xml:space="preserve">L0252</t>
  </si>
  <si>
    <t xml:space="preserve">L0253</t>
  </si>
  <si>
    <t xml:space="preserve">L0254</t>
  </si>
  <si>
    <t xml:space="preserve">L0255</t>
  </si>
  <si>
    <t xml:space="preserve">0.5 of 3.75 L jug (condenser)</t>
  </si>
  <si>
    <t xml:space="preserve">L0256</t>
  </si>
  <si>
    <t xml:space="preserve">L0257</t>
  </si>
  <si>
    <t xml:space="preserve">L0258</t>
  </si>
  <si>
    <t xml:space="preserve">L0259</t>
  </si>
  <si>
    <t xml:space="preserve">L0260</t>
  </si>
  <si>
    <t xml:space="preserve">L0261</t>
  </si>
  <si>
    <t xml:space="preserve">L0262</t>
  </si>
  <si>
    <t xml:space="preserve">L0263</t>
  </si>
  <si>
    <t xml:space="preserve">1 kit</t>
  </si>
  <si>
    <t xml:space="preserve">ASSUMPTION: typical component list for this job; drain hose/fittings as found on site.</t>
  </si>
  <si>
    <t xml:space="preserve">L0264</t>
  </si>
  <si>
    <t xml:space="preserve">¼ roll teflon</t>
  </si>
  <si>
    <t xml:space="preserve">L0265</t>
  </si>
  <si>
    <t xml:space="preserve">L0266</t>
  </si>
  <si>
    <t xml:space="preserve">L0267</t>
  </si>
  <si>
    <t xml:space="preserve">L0268</t>
  </si>
  <si>
    <t xml:space="preserve">1 angle stop</t>
  </si>
  <si>
    <t xml:space="preserve">L0269</t>
  </si>
  <si>
    <t xml:space="preserve">L0270</t>
  </si>
  <si>
    <t xml:space="preserve">FIXX-PLM-002</t>
  </si>
  <si>
    <t xml:space="preserve">Single-lever faucet install (faucet excluded)</t>
  </si>
  <si>
    <t xml:space="preserve">2 supply lines</t>
  </si>
  <si>
    <t xml:space="preserve">Instalación de monomando (sin llave)</t>
  </si>
  <si>
    <r>
      <rPr>
        <sz val="11"/>
        <color theme="1"/>
        <rFont val="Noto Sans CJK SC"/>
        <family val="2"/>
      </rPr>
      <t xml:space="preserve">싱글레버 수전 설치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수전 제외</t>
    </r>
    <r>
      <rPr>
        <sz val="11"/>
        <color theme="1"/>
        <rFont val="Calibri"/>
        <family val="2"/>
        <charset val="1"/>
      </rPr>
      <t xml:space="preserve">)</t>
    </r>
  </si>
  <si>
    <t xml:space="preserve">L0271</t>
  </si>
  <si>
    <t xml:space="preserve">L0272</t>
  </si>
  <si>
    <t xml:space="preserve">2 stainless supply lines</t>
  </si>
  <si>
    <t xml:space="preserve">L0273</t>
  </si>
  <si>
    <t xml:space="preserve">L0274</t>
  </si>
  <si>
    <t xml:space="preserve">L0275</t>
  </si>
  <si>
    <t xml:space="preserve">2 angle stops</t>
  </si>
  <si>
    <t xml:space="preserve">L0276</t>
  </si>
  <si>
    <t xml:space="preserve">L0277</t>
  </si>
  <si>
    <t xml:space="preserve">FIXX-PLM-003</t>
  </si>
  <si>
    <t xml:space="preserve">Two-handle faucet (supply lines only)</t>
  </si>
  <si>
    <t xml:space="preserve">Mezcladora de dos manerales (solo mangueras)</t>
  </si>
  <si>
    <r>
      <rPr>
        <sz val="11"/>
        <color theme="1"/>
        <rFont val="Noto Sans CJK SC"/>
        <family val="2"/>
      </rPr>
      <t xml:space="preserve">투핸들 수전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급수 호스만</t>
    </r>
    <r>
      <rPr>
        <sz val="11"/>
        <color theme="1"/>
        <rFont val="Calibri"/>
        <family val="2"/>
        <charset val="1"/>
      </rPr>
      <t xml:space="preserve">)</t>
    </r>
  </si>
  <si>
    <t xml:space="preserve">L0278</t>
  </si>
  <si>
    <t xml:space="preserve">L0279</t>
  </si>
  <si>
    <t xml:space="preserve">L0280</t>
  </si>
  <si>
    <t xml:space="preserve">2 flex connectors (hot/cold)</t>
  </si>
  <si>
    <t xml:space="preserve">L0281</t>
  </si>
  <si>
    <t xml:space="preserve">½ roll teflon</t>
  </si>
  <si>
    <t xml:space="preserve">L0282</t>
  </si>
  <si>
    <t xml:space="preserve">L0283</t>
  </si>
  <si>
    <t xml:space="preserve">L0284</t>
  </si>
  <si>
    <t xml:space="preserve">L0285</t>
  </si>
  <si>
    <t xml:space="preserve">L0286</t>
  </si>
  <si>
    <t xml:space="preserve">2 hoses</t>
  </si>
  <si>
    <t xml:space="preserve">L0287</t>
  </si>
  <si>
    <t xml:space="preserve">1 valve (cold only)</t>
  </si>
  <si>
    <t xml:space="preserve">L0288</t>
  </si>
  <si>
    <t xml:space="preserve">L0289</t>
  </si>
  <si>
    <t xml:space="preserve">L0290</t>
  </si>
  <si>
    <t xml:space="preserve">2 valves</t>
  </si>
  <si>
    <t xml:space="preserve">L0291</t>
  </si>
  <si>
    <t xml:space="preserve">L0292</t>
  </si>
  <si>
    <t xml:space="preserve">2 valves (premium hoses = PLM-M17)</t>
  </si>
  <si>
    <t xml:space="preserve">L0293</t>
  </si>
  <si>
    <t xml:space="preserve">L0294</t>
  </si>
  <si>
    <t xml:space="preserve">FIXX-ELC-001</t>
  </si>
  <si>
    <t xml:space="preserve">Outlets / switches / GFCI</t>
  </si>
  <si>
    <t xml:space="preserve">1 duplex</t>
  </si>
  <si>
    <t xml:space="preserve">ASSUMPTION: kit = 1 duplex + 1 switch + 1 GFCI + plates</t>
  </si>
  <si>
    <t xml:space="preserve">Contactos / apagadores / GFCI</t>
  </si>
  <si>
    <r>
      <rPr>
        <sz val="11"/>
        <color theme="1"/>
        <rFont val="Noto Sans CJK SC"/>
        <family val="2"/>
      </rPr>
      <t xml:space="preserve">콘센트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CJK SC"/>
        <family val="2"/>
      </rPr>
      <t xml:space="preserve">스위치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CJK SC"/>
        <family val="2"/>
      </rPr>
      <t xml:space="preserve">누전차단 콘센트</t>
    </r>
  </si>
  <si>
    <t xml:space="preserve">L0295</t>
  </si>
  <si>
    <t xml:space="preserve">1 switch</t>
  </si>
  <si>
    <t xml:space="preserve">L0296</t>
  </si>
  <si>
    <t xml:space="preserve">1 GFCI w/ plate</t>
  </si>
  <si>
    <t xml:space="preserve">L0297</t>
  </si>
  <si>
    <t xml:space="preserve">2 plates</t>
  </si>
  <si>
    <t xml:space="preserve">L0298</t>
  </si>
  <si>
    <t xml:space="preserve">1 duplex w/ plate</t>
  </si>
  <si>
    <t xml:space="preserve">L0299</t>
  </si>
  <si>
    <t xml:space="preserve">L0300</t>
  </si>
  <si>
    <t xml:space="preserve">L0301</t>
  </si>
  <si>
    <t xml:space="preserve">1 plate</t>
  </si>
  <si>
    <t xml:space="preserve">L0302</t>
  </si>
  <si>
    <t xml:space="preserve">L0303</t>
  </si>
  <si>
    <t xml:space="preserve">L0304</t>
  </si>
  <si>
    <t xml:space="preserve">1 GFCI</t>
  </si>
  <si>
    <t xml:space="preserve">L0305</t>
  </si>
  <si>
    <t xml:space="preserve">L0306</t>
  </si>
  <si>
    <t xml:space="preserve">FIXX-ELC-002</t>
  </si>
  <si>
    <t xml:space="preserve">Light fixture install (fixture excluded)</t>
  </si>
  <si>
    <t xml:space="preserve">0.2 roll tape</t>
  </si>
  <si>
    <t xml:space="preserve">ASSUMPTION: tape only; wire nuts as-needed (unpriced)</t>
  </si>
  <si>
    <t xml:space="preserve">Instalación de luminaria (sin luminaria)</t>
  </si>
  <si>
    <r>
      <rPr>
        <sz val="11"/>
        <color theme="1"/>
        <rFont val="Noto Sans CJK SC"/>
        <family val="2"/>
      </rPr>
      <t xml:space="preserve">조명기구 설치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조명 제외</t>
    </r>
    <r>
      <rPr>
        <sz val="11"/>
        <color theme="1"/>
        <rFont val="Calibri"/>
        <family val="2"/>
        <charset val="1"/>
      </rPr>
      <t xml:space="preserve">)</t>
    </r>
  </si>
  <si>
    <t xml:space="preserve">L0307</t>
  </si>
  <si>
    <t xml:space="preserve">wire nuts</t>
  </si>
  <si>
    <t xml:space="preserve">L0308</t>
  </si>
  <si>
    <t xml:space="preserve">L0309</t>
  </si>
  <si>
    <t xml:space="preserve">L0310</t>
  </si>
  <si>
    <t xml:space="preserve">L0311</t>
  </si>
  <si>
    <t xml:space="preserve">L0312</t>
  </si>
  <si>
    <t xml:space="preserve">L0313</t>
  </si>
  <si>
    <t xml:space="preserve">L0314</t>
  </si>
  <si>
    <t xml:space="preserve">L0315</t>
  </si>
  <si>
    <t xml:space="preserve">L0316</t>
  </si>
  <si>
    <t xml:space="preserve">L0317</t>
  </si>
  <si>
    <t xml:space="preserve">L0318</t>
  </si>
  <si>
    <t xml:space="preserve">0.5 roll tape</t>
  </si>
  <si>
    <t xml:space="preserve">L0319</t>
  </si>
  <si>
    <t xml:space="preserve">L0320</t>
  </si>
  <si>
    <t xml:space="preserve">L0321</t>
  </si>
  <si>
    <t xml:space="preserve">L0322</t>
  </si>
  <si>
    <t xml:space="preserve">L0323</t>
  </si>
  <si>
    <t xml:space="preserve">L0324</t>
  </si>
  <si>
    <t xml:space="preserve">30 m of 100 m reel (2 conductors + ground × 10 m)</t>
  </si>
  <si>
    <t xml:space="preserve">ASSUMPTION: 10 m run, 10 AWG for all tonnages.</t>
  </si>
  <si>
    <t xml:space="preserve">L0325</t>
  </si>
  <si>
    <t xml:space="preserve">4 × 3 m conduit</t>
  </si>
  <si>
    <t xml:space="preserve">L0326</t>
  </si>
  <si>
    <t xml:space="preserve">L0327</t>
  </si>
  <si>
    <t xml:space="preserve">L0328</t>
  </si>
  <si>
    <t xml:space="preserve">L0329</t>
  </si>
  <si>
    <t xml:space="preserve">L0330</t>
  </si>
  <si>
    <t xml:space="preserve">L0331</t>
  </si>
  <si>
    <t xml:space="preserve">L0332</t>
  </si>
  <si>
    <t xml:space="preserve">FIXX-CLN-001</t>
  </si>
  <si>
    <t xml:space="preserve">Standard home cleaning (tier = home size)</t>
  </si>
  <si>
    <t xml:space="preserve">≤60 m²</t>
  </si>
  <si>
    <t xml:space="preserve">Standard kit × size 1 × intensity 1</t>
  </si>
  <si>
    <t xml:space="preserve">ASSUMPTION: Standard chemicals kit used in quotes; Budget/Premium kit options in Decisions_Open. No bleach, no ammonia.</t>
  </si>
  <si>
    <t xml:space="preserve">Limpieza general de casa (nivel = tamaño de la vivienda)</t>
  </si>
  <si>
    <r>
      <rPr>
        <sz val="11"/>
        <color theme="1"/>
        <rFont val="Noto Sans CJK SC"/>
        <family val="2"/>
      </rPr>
      <t xml:space="preserve">일반 가정 청소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등급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Noto Sans CJK SC"/>
        <family val="2"/>
      </rPr>
      <t xml:space="preserve">주택 면적</t>
    </r>
    <r>
      <rPr>
        <sz val="11"/>
        <color theme="1"/>
        <rFont val="Calibri"/>
        <family val="2"/>
        <charset val="1"/>
      </rPr>
      <t xml:space="preserve">)</t>
    </r>
  </si>
  <si>
    <t xml:space="preserve">L0333</t>
  </si>
  <si>
    <t xml:space="preserve">L0334</t>
  </si>
  <si>
    <t xml:space="preserve">L0335</t>
  </si>
  <si>
    <t xml:space="preserve">L0336</t>
  </si>
  <si>
    <t xml:space="preserve">L0337</t>
  </si>
  <si>
    <t xml:space="preserve">L0338</t>
  </si>
  <si>
    <t xml:space="preserve">oven interior: 1 paste; add-on labor $250</t>
  </si>
  <si>
    <t xml:space="preserve">Add-on labor approved by Eduardo 2026-10-25 (see Labor_Rates 'Add-on' rows).</t>
  </si>
  <si>
    <t xml:space="preserve">L0339</t>
  </si>
  <si>
    <t xml:space="preserve">fridge interior: 0.5 L disinfectant; add-on labor $200</t>
  </si>
  <si>
    <t xml:space="preserve">L0340</t>
  </si>
  <si>
    <t xml:space="preserve">balcony/patio: 1 L pine cleaner; add-on labor $250</t>
  </si>
  <si>
    <t xml:space="preserve">L0341</t>
  </si>
  <si>
    <t xml:space="preserve">odor / pet-stain: 0.37 L enzymatic; add-on labor $250</t>
  </si>
  <si>
    <t xml:space="preserve">L0342</t>
  </si>
  <si>
    <t xml:space="preserve">61–100 m²</t>
  </si>
  <si>
    <t xml:space="preserve">Standard kit × size 1.5 × intensity 1</t>
  </si>
  <si>
    <t xml:space="preserve">L0343</t>
  </si>
  <si>
    <t xml:space="preserve">L0344</t>
  </si>
  <si>
    <t xml:space="preserve">L0345</t>
  </si>
  <si>
    <t xml:space="preserve">L0346</t>
  </si>
  <si>
    <t xml:space="preserve">L0347</t>
  </si>
  <si>
    <t xml:space="preserve">L0348</t>
  </si>
  <si>
    <t xml:space="preserve">L0349</t>
  </si>
  <si>
    <t xml:space="preserve">L0350</t>
  </si>
  <si>
    <t xml:space="preserve">L0351</t>
  </si>
  <si>
    <t xml:space="preserve">L0352</t>
  </si>
  <si>
    <t xml:space="preserve">101–150 m²</t>
  </si>
  <si>
    <t xml:space="preserve">Standard kit × size 2 × intensity 1</t>
  </si>
  <si>
    <t xml:space="preserve">L0353</t>
  </si>
  <si>
    <t xml:space="preserve">L0354</t>
  </si>
  <si>
    <t xml:space="preserve">L0355</t>
  </si>
  <si>
    <t xml:space="preserve">L0356</t>
  </si>
  <si>
    <t xml:space="preserve">L0357</t>
  </si>
  <si>
    <t xml:space="preserve">L0358</t>
  </si>
  <si>
    <t xml:space="preserve">L0359</t>
  </si>
  <si>
    <t xml:space="preserve">L0360</t>
  </si>
  <si>
    <t xml:space="preserve">L0361</t>
  </si>
  <si>
    <t xml:space="preserve">L0362</t>
  </si>
  <si>
    <t xml:space="preserve">FIXX-CLN-002</t>
  </si>
  <si>
    <t xml:space="preserve">Deep cleaning (tier = home size)</t>
  </si>
  <si>
    <t xml:space="preserve">Standard kit × size 1 × intensity 1.5</t>
  </si>
  <si>
    <t xml:space="preserve">Limpieza profunda (nivel = tamaño de la vivienda)</t>
  </si>
  <si>
    <r>
      <rPr>
        <sz val="11"/>
        <color theme="1"/>
        <rFont val="Noto Sans CJK SC"/>
        <family val="2"/>
      </rPr>
      <t xml:space="preserve">딥 클리닝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등급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Noto Sans CJK SC"/>
        <family val="2"/>
      </rPr>
      <t xml:space="preserve">주택 면적</t>
    </r>
    <r>
      <rPr>
        <sz val="11"/>
        <color theme="1"/>
        <rFont val="Calibri"/>
        <family val="2"/>
        <charset val="1"/>
      </rPr>
      <t xml:space="preserve">)</t>
    </r>
  </si>
  <si>
    <t xml:space="preserve">L0363</t>
  </si>
  <si>
    <t xml:space="preserve">L0364</t>
  </si>
  <si>
    <t xml:space="preserve">L0365</t>
  </si>
  <si>
    <t xml:space="preserve">L0366</t>
  </si>
  <si>
    <t xml:space="preserve">L0367</t>
  </si>
  <si>
    <t xml:space="preserve">L0368</t>
  </si>
  <si>
    <t xml:space="preserve">L0369</t>
  </si>
  <si>
    <t xml:space="preserve">L0370</t>
  </si>
  <si>
    <t xml:space="preserve">L0371</t>
  </si>
  <si>
    <t xml:space="preserve">L0372</t>
  </si>
  <si>
    <t xml:space="preserve">if mold/biohazard found</t>
  </si>
  <si>
    <t xml:space="preserve">OUT OF SCOPE – human review.</t>
  </si>
  <si>
    <t xml:space="preserve">L0373</t>
  </si>
  <si>
    <t xml:space="preserve">Standard kit × size 1.5 × intensity 1.5</t>
  </si>
  <si>
    <t xml:space="preserve">L0374</t>
  </si>
  <si>
    <t xml:space="preserve">L0375</t>
  </si>
  <si>
    <t xml:space="preserve">L0376</t>
  </si>
  <si>
    <t xml:space="preserve">L0377</t>
  </si>
  <si>
    <t xml:space="preserve">L0378</t>
  </si>
  <si>
    <t xml:space="preserve">L0379</t>
  </si>
  <si>
    <t xml:space="preserve">L0380</t>
  </si>
  <si>
    <t xml:space="preserve">L0381</t>
  </si>
  <si>
    <t xml:space="preserve">L0382</t>
  </si>
  <si>
    <t xml:space="preserve">L0383</t>
  </si>
  <si>
    <t xml:space="preserve">L0384</t>
  </si>
  <si>
    <t xml:space="preserve">Standard kit × size 2 × intensity 1.5</t>
  </si>
  <si>
    <t xml:space="preserve">L0385</t>
  </si>
  <si>
    <t xml:space="preserve">L0386</t>
  </si>
  <si>
    <t xml:space="preserve">L0387</t>
  </si>
  <si>
    <t xml:space="preserve">L0388</t>
  </si>
  <si>
    <t xml:space="preserve">L0389</t>
  </si>
  <si>
    <t xml:space="preserve">L0390</t>
  </si>
  <si>
    <t xml:space="preserve">L0391</t>
  </si>
  <si>
    <t xml:space="preserve">L0392</t>
  </si>
  <si>
    <t xml:space="preserve">L0393</t>
  </si>
  <si>
    <t xml:space="preserve">L0394</t>
  </si>
  <si>
    <t xml:space="preserve">L0395</t>
  </si>
  <si>
    <t xml:space="preserve">FIXX-CLN-003</t>
  </si>
  <si>
    <t xml:space="preserve">Move-in / move-out cleaning (tier = home size)</t>
  </si>
  <si>
    <t xml:space="preserve">Limpieza de mudanza, entrada o salida (nivel = tamaño de la vivienda)</t>
  </si>
  <si>
    <r>
      <rPr>
        <sz val="11"/>
        <color theme="1"/>
        <rFont val="Noto Sans CJK SC"/>
        <family val="2"/>
      </rPr>
      <t xml:space="preserve">이사 입주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퇴거 청소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등급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Noto Sans CJK SC"/>
        <family val="2"/>
      </rPr>
      <t xml:space="preserve">주택 면적</t>
    </r>
    <r>
      <rPr>
        <sz val="11"/>
        <color theme="1"/>
        <rFont val="Calibri"/>
        <family val="2"/>
        <charset val="1"/>
      </rPr>
      <t xml:space="preserve">)</t>
    </r>
  </si>
  <si>
    <t xml:space="preserve">L0396</t>
  </si>
  <si>
    <t xml:space="preserve">L0397</t>
  </si>
  <si>
    <t xml:space="preserve">L0398</t>
  </si>
  <si>
    <t xml:space="preserve">L0399</t>
  </si>
  <si>
    <t xml:space="preserve">L0400</t>
  </si>
  <si>
    <t xml:space="preserve">L0401</t>
  </si>
  <si>
    <t xml:space="preserve">L0402</t>
  </si>
  <si>
    <t xml:space="preserve">L0403</t>
  </si>
  <si>
    <t xml:space="preserve">L0404</t>
  </si>
  <si>
    <t xml:space="preserve">L0405</t>
  </si>
  <si>
    <t xml:space="preserve">L0406</t>
  </si>
  <si>
    <t xml:space="preserve">L0407</t>
  </si>
  <si>
    <t xml:space="preserve">L0408</t>
  </si>
  <si>
    <t xml:space="preserve">L0409</t>
  </si>
  <si>
    <t xml:space="preserve">L0410</t>
  </si>
  <si>
    <t xml:space="preserve">L0411</t>
  </si>
  <si>
    <t xml:space="preserve">L0412</t>
  </si>
  <si>
    <t xml:space="preserve">L0413</t>
  </si>
  <si>
    <t xml:space="preserve">L0414</t>
  </si>
  <si>
    <t xml:space="preserve">L0415</t>
  </si>
  <si>
    <t xml:space="preserve">L0416</t>
  </si>
  <si>
    <t xml:space="preserve">L0417</t>
  </si>
  <si>
    <t xml:space="preserve">L0418</t>
  </si>
  <si>
    <t xml:space="preserve">L0419</t>
  </si>
  <si>
    <t xml:space="preserve">L0420</t>
  </si>
  <si>
    <t xml:space="preserve">L0421</t>
  </si>
  <si>
    <t xml:space="preserve">L0422</t>
  </si>
  <si>
    <t xml:space="preserve">L0423</t>
  </si>
  <si>
    <t xml:space="preserve">L0424</t>
  </si>
  <si>
    <t xml:space="preserve">L0425</t>
  </si>
  <si>
    <t xml:space="preserve">L0426</t>
  </si>
  <si>
    <t xml:space="preserve">L0427</t>
  </si>
  <si>
    <t xml:space="preserve">L0428</t>
  </si>
  <si>
    <t xml:space="preserve">FIXX-CLN-004</t>
  </si>
  <si>
    <t xml:space="preserve">Post-construction cleaning (tier = area; ref. 60/100/150 m²)</t>
  </si>
  <si>
    <t xml:space="preserve">Standard kit × size 1 × intensity 2</t>
  </si>
  <si>
    <t xml:space="preserve">Limpieza post-obra (nivel = superficie; ref. 60/100/150 m²)</t>
  </si>
  <si>
    <r>
      <rPr>
        <sz val="11"/>
        <color theme="1"/>
        <rFont val="Noto Sans CJK SC"/>
        <family val="2"/>
      </rPr>
      <t xml:space="preserve">준공 후 청소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등급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Noto Sans CJK SC"/>
        <family val="2"/>
      </rPr>
      <t xml:space="preserve">면적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Noto Sans CJK SC"/>
        <family val="2"/>
      </rPr>
      <t xml:space="preserve">기준 </t>
    </r>
    <r>
      <rPr>
        <sz val="11"/>
        <color theme="1"/>
        <rFont val="Calibri"/>
        <family val="2"/>
        <charset val="1"/>
      </rPr>
      <t xml:space="preserve">60/100/150 m²)</t>
    </r>
  </si>
  <si>
    <t xml:space="preserve">L0429</t>
  </si>
  <si>
    <t xml:space="preserve">L0430</t>
  </si>
  <si>
    <t xml:space="preserve">L0431</t>
  </si>
  <si>
    <t xml:space="preserve">L0432</t>
  </si>
  <si>
    <t xml:space="preserve">L0433</t>
  </si>
  <si>
    <t xml:space="preserve">L0434</t>
  </si>
  <si>
    <t xml:space="preserve">L0435</t>
  </si>
  <si>
    <t xml:space="preserve">Standard kit × size 1.5 × intensity 2</t>
  </si>
  <si>
    <t xml:space="preserve">L0436</t>
  </si>
  <si>
    <t xml:space="preserve">L0437</t>
  </si>
  <si>
    <t xml:space="preserve">L0438</t>
  </si>
  <si>
    <t xml:space="preserve">L0439</t>
  </si>
  <si>
    <t xml:space="preserve">L0440</t>
  </si>
  <si>
    <t xml:space="preserve">L0441</t>
  </si>
  <si>
    <t xml:space="preserve">L0442</t>
  </si>
  <si>
    <t xml:space="preserve">Standard kit × size 2 × intensity 2</t>
  </si>
  <si>
    <t xml:space="preserve">L0443</t>
  </si>
  <si>
    <t xml:space="preserve">L0444</t>
  </si>
  <si>
    <t xml:space="preserve">L0445</t>
  </si>
  <si>
    <t xml:space="preserve">L0446</t>
  </si>
  <si>
    <t xml:space="preserve">L0447</t>
  </si>
  <si>
    <t xml:space="preserve">L0448</t>
  </si>
  <si>
    <t xml:space="preserve">L0449</t>
  </si>
  <si>
    <t xml:space="preserve">FIXX-CLN-005</t>
  </si>
  <si>
    <t xml:space="preserve">Upholstery cleaning, ref. 3-seat sofa (per seat; pro brings extractor)</t>
  </si>
  <si>
    <t xml:space="preserve">3 seats</t>
  </si>
  <si>
    <t xml:space="preserve">ASSUMPTION: extraction machine supplied by the pro (not a FIXX line).</t>
  </si>
  <si>
    <t xml:space="preserve">Lavado de salas, ref. sala de 3 plazas (por plaza; el profesional lleva la extractora)</t>
  </si>
  <si>
    <r>
      <rPr>
        <sz val="11"/>
        <color theme="1"/>
        <rFont val="Noto Sans CJK SC"/>
        <family val="2"/>
      </rPr>
      <t xml:space="preserve">소파 세탁</t>
    </r>
    <r>
      <rPr>
        <sz val="11"/>
        <color theme="1"/>
        <rFont val="Calibri"/>
        <family val="2"/>
        <charset val="1"/>
      </rPr>
      <t xml:space="preserve">, 3</t>
    </r>
    <r>
      <rPr>
        <sz val="11"/>
        <color theme="1"/>
        <rFont val="Noto Sans CJK SC"/>
        <family val="2"/>
      </rPr>
      <t xml:space="preserve">인용 기준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좌석당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Noto Sans CJK SC"/>
        <family val="2"/>
      </rPr>
      <t xml:space="preserve">전문가가 추출기 지참</t>
    </r>
    <r>
      <rPr>
        <sz val="11"/>
        <color theme="1"/>
        <rFont val="Calibri"/>
        <family val="2"/>
        <charset val="1"/>
      </rPr>
      <t xml:space="preserve">)</t>
    </r>
  </si>
  <si>
    <t xml:space="preserve">L0450</t>
  </si>
  <si>
    <t xml:space="preserve">odor / pet-stain; add-on labor $250</t>
  </si>
  <si>
    <t xml:space="preserve">L0451</t>
  </si>
  <si>
    <t xml:space="preserve">FIXX-CLN-006</t>
  </si>
  <si>
    <t xml:space="preserve">Carpet and rug cleaning, ref. 20 m² (per m²)</t>
  </si>
  <si>
    <t xml:space="preserve">20 m²</t>
  </si>
  <si>
    <t xml:space="preserve">ASSUMPTION: extraction machine supplied by the pro.</t>
  </si>
  <si>
    <t xml:space="preserve">Lavado de alfombras y tapetes, ref. 20 m² (por m²)</t>
  </si>
  <si>
    <r>
      <rPr>
        <sz val="11"/>
        <color theme="1"/>
        <rFont val="Noto Sans CJK SC"/>
        <family val="2"/>
      </rPr>
      <t xml:space="preserve">카펫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러그 세탁</t>
    </r>
    <r>
      <rPr>
        <sz val="11"/>
        <color theme="1"/>
        <rFont val="Calibri"/>
        <family val="2"/>
        <charset val="1"/>
      </rPr>
      <t xml:space="preserve">, 20 m² </t>
    </r>
    <r>
      <rPr>
        <sz val="11"/>
        <color theme="1"/>
        <rFont val="Noto Sans CJK SC"/>
        <family val="2"/>
      </rPr>
      <t xml:space="preserve">기준 </t>
    </r>
    <r>
      <rPr>
        <sz val="11"/>
        <color theme="1"/>
        <rFont val="Calibri"/>
        <family val="2"/>
        <charset val="1"/>
      </rPr>
      <t xml:space="preserve">(m²</t>
    </r>
    <r>
      <rPr>
        <sz val="11"/>
        <color theme="1"/>
        <rFont val="Noto Sans CJK SC"/>
        <family val="2"/>
      </rPr>
      <t xml:space="preserve">당</t>
    </r>
    <r>
      <rPr>
        <sz val="11"/>
        <color theme="1"/>
        <rFont val="Calibri"/>
        <family val="2"/>
        <charset val="1"/>
      </rPr>
      <t xml:space="preserve">)</t>
    </r>
  </si>
  <si>
    <t xml:space="preserve">L0452</t>
  </si>
  <si>
    <t xml:space="preserve">L0453</t>
  </si>
  <si>
    <t xml:space="preserve">FIXX-CLN-007</t>
  </si>
  <si>
    <t xml:space="preserve">Window cleaning, ground floor only, ref. 20 m² glass</t>
  </si>
  <si>
    <t xml:space="preserve">20 m² glass, ground floor</t>
  </si>
  <si>
    <t xml:space="preserve">ASSUMPTION: ground-floor glass only.</t>
  </si>
  <si>
    <t xml:space="preserve">Limpieza de ventanas, solo planta baja, ref. 20 m² de vidrio</t>
  </si>
  <si>
    <r>
      <rPr>
        <sz val="11"/>
        <color theme="1"/>
        <rFont val="Noto Sans CJK SC"/>
        <family val="2"/>
      </rPr>
      <t xml:space="preserve">창문 청소</t>
    </r>
    <r>
      <rPr>
        <sz val="11"/>
        <color theme="1"/>
        <rFont val="Calibri"/>
        <family val="2"/>
        <charset val="1"/>
      </rPr>
      <t xml:space="preserve">, 1</t>
    </r>
    <r>
      <rPr>
        <sz val="11"/>
        <color theme="1"/>
        <rFont val="Noto Sans CJK SC"/>
        <family val="2"/>
      </rPr>
      <t xml:space="preserve">층만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유리 </t>
    </r>
    <r>
      <rPr>
        <sz val="11"/>
        <color theme="1"/>
        <rFont val="Calibri"/>
        <family val="2"/>
        <charset val="1"/>
      </rPr>
      <t xml:space="preserve">20 m² </t>
    </r>
    <r>
      <rPr>
        <sz val="11"/>
        <color theme="1"/>
        <rFont val="Noto Sans CJK SC"/>
        <family val="2"/>
      </rPr>
      <t xml:space="preserve">기준</t>
    </r>
  </si>
  <si>
    <t xml:space="preserve">L0454</t>
  </si>
  <si>
    <t xml:space="preserve">L0455</t>
  </si>
  <si>
    <t xml:space="preserve">any glass above ground floor</t>
  </si>
  <si>
    <t xml:space="preserve">Work at height – NOM-009-STPS human review.</t>
  </si>
  <si>
    <t xml:space="preserve">L0456</t>
  </si>
  <si>
    <t xml:space="preserve">L0457</t>
  </si>
  <si>
    <t xml:space="preserve">L0458</t>
  </si>
  <si>
    <t xml:space="preserve">L0459</t>
  </si>
  <si>
    <t xml:space="preserve">L0460</t>
  </si>
  <si>
    <t xml:space="preserve">L0461</t>
  </si>
  <si>
    <t xml:space="preserve">L0462</t>
  </si>
  <si>
    <t xml:space="preserve">L0463</t>
  </si>
  <si>
    <t xml:space="preserve">L0464</t>
  </si>
  <si>
    <t xml:space="preserve">L0465</t>
  </si>
  <si>
    <t xml:space="preserve">L0466</t>
  </si>
  <si>
    <t xml:space="preserve">L0467</t>
  </si>
  <si>
    <t xml:space="preserve">L0468</t>
  </si>
  <si>
    <t xml:space="preserve">L0469</t>
  </si>
  <si>
    <t xml:space="preserve">L0470</t>
  </si>
  <si>
    <t xml:space="preserve">L0471</t>
  </si>
  <si>
    <t xml:space="preserve">L0472</t>
  </si>
  <si>
    <t xml:space="preserve">L0473</t>
  </si>
  <si>
    <t xml:space="preserve">L0474</t>
  </si>
  <si>
    <t xml:space="preserve">L0475</t>
  </si>
  <si>
    <t xml:space="preserve">Materials_Subtotal (base)</t>
  </si>
  <si>
    <t xml:space="preserve">As-needed (separate)</t>
  </si>
  <si>
    <t xml:space="preserve">Flagged (separate)</t>
  </si>
  <si>
    <t xml:space="preserve">Reference (separate)</t>
  </si>
  <si>
    <t xml:space="preserve">Lines</t>
  </si>
  <si>
    <t xml:space="preserve">Stated_Total (brief)</t>
  </si>
  <si>
    <t xml:space="preserve">Compare_Basis</t>
  </si>
  <si>
    <t xml:space="preserve">Computed_for_Check</t>
  </si>
  <si>
    <t xml:space="preserve">Diff</t>
  </si>
  <si>
    <t xml:space="preserve">Paint + sealer alone: 2,810 / 3,585 / 5,175; consumables line totals derived as the difference.</t>
  </si>
  <si>
    <t xml:space="preserve">Stated as ~$1,042 = 732 (line total) + 310 Beaquicy hoses.</t>
  </si>
  <si>
    <t xml:space="preserve">Flagged column sums three mutually exclusive fan-support options (Southwire $492 / Anclo $60 / Hilti $430); only one applies.</t>
  </si>
  <si>
    <t xml:space="preserve">All lines REFERENCE ONLY-COFEPRIS; stated total compared to reference column, base subtotal is 0 by rule.</t>
  </si>
  <si>
    <t xml:space="preserve">Prorated quantities; differences of &lt; $1 are rounding of the brief's prorated figures.</t>
  </si>
  <si>
    <t xml:space="preserve">Cemex $242 + IVA = 280.72/bag → 3,147.32 vs stated 3,147 (IVA rounding, +0.32).</t>
  </si>
  <si>
    <t xml:space="preserve">Prorated quantities (stated = computed check).</t>
  </si>
  <si>
    <t xml:space="preserve">FIXX materials: task × tier totals (MXN incl. IVA). All values are formulas over 'Tasks'.</t>
  </si>
  <si>
    <t xml:space="preserve">Blank = tier not applicable. Tonnage tasks (tiers = unit tonnage): HVC-001, HVC-002 and ELC-004. Base = materials subtotal; as-needed, flagged and reference shown separately.</t>
  </si>
  <si>
    <t xml:space="preserve">Materials subtotal (base lines only)</t>
  </si>
  <si>
    <t xml:space="preserve">As-needed lines (not in subtotal)</t>
  </si>
  <si>
    <t xml:space="preserve">Flagged lines – human review (not in subtotal)</t>
  </si>
  <si>
    <t xml:space="preserve">Reference lines (not in subtotal)</t>
  </si>
  <si>
    <t xml:space="preserve">Check vs brief</t>
  </si>
  <si>
    <t xml:space="preserve">Task/tier rows with |diff| &gt; $5 (see Task_Subtotals):</t>
  </si>
  <si>
    <t xml:space="preserve">Max absolute diff (MXN):</t>
  </si>
  <si>
    <t xml:space="preserve">Urgency</t>
  </si>
  <si>
    <t xml:space="preserve">Materials_MXN (Summary base)</t>
  </si>
  <si>
    <t xml:space="preserve">Labor_Key</t>
  </si>
  <si>
    <t xml:space="preserve">Typical_Labor_MXN</t>
  </si>
  <si>
    <t xml:space="preserve">Urgency_Multiplier</t>
  </si>
  <si>
    <t xml:space="preserve">Labor_MXN (MAX(typical, wage floor) × multiplier)</t>
  </si>
  <si>
    <t xml:space="preserve">Customer_Total_MXN</t>
  </si>
  <si>
    <t xml:space="preserve">Pro_Payout_MXN (MAX(typical, floor) × multiplier)</t>
  </si>
  <si>
    <t xml:space="preserve">Labor_Flag</t>
  </si>
  <si>
    <t xml:space="preserve">Wage_Floor_Check</t>
  </si>
  <si>
    <t xml:space="preserve">Status</t>
  </si>
  <si>
    <t xml:space="preserve">Review_Status</t>
  </si>
  <si>
    <t xml:space="preserve">Job_Name_KO is machine-translated and needs native Korean review. Review_Status reflects base lines only: PENDING REVIEW when labor is regulated or a regulated line is always included (Tasks.Review_Trigger = base). Regulated as-needed lines (e.g. refrigerant) do not trigger it here; the app re-evaluates when they are selected. Materials = base lines only (as-needed, flagged and reference lines excluded; pest materials are COFEPRIS reference-only so base = 0). Single-task sheet: the per-visit wage floor for multi-job visits is applied in the app, not here. Urgency multiplies labor only. Labor and pro payout = MAX(typical labor, ZSMG wage floor) × urgency multiplier.</t>
  </si>
  <si>
    <t xml:space="preserve">STANDARD</t>
  </si>
  <si>
    <t xml:space="preserve">MEDIUM</t>
  </si>
  <si>
    <t xml:space="preserve">HIGH</t>
  </si>
  <si>
    <t xml:space="preserve">EMERGENCY</t>
  </si>
  <si>
    <t xml:space="preserve">Tier_Scope</t>
  </si>
  <si>
    <t xml:space="preserve">Trade</t>
  </si>
  <si>
    <t xml:space="preserve">Labor_Basis</t>
  </si>
  <si>
    <t xml:space="preserve">Rate_Low</t>
  </si>
  <si>
    <t xml:space="preserve">Rate_Typical</t>
  </si>
  <si>
    <t xml:space="preserve">Rate_High</t>
  </si>
  <si>
    <t xml:space="preserve">Ref_Qty</t>
  </si>
  <si>
    <t xml:space="preserve">Typical_Labor_Ref_Job</t>
  </si>
  <si>
    <t xml:space="preserve">Low_Labor_Ref_Job</t>
  </si>
  <si>
    <t xml:space="preserve">High_Labor_Ref_Job</t>
  </si>
  <si>
    <t xml:space="preserve">Sources</t>
  </si>
  <si>
    <t xml:space="preserve">Source_URLs</t>
  </si>
  <si>
    <t xml:space="preserve">Checked_Date</t>
  </si>
  <si>
    <t xml:space="preserve">Prev_Check_Date</t>
  </si>
  <si>
    <t xml:space="preserve">Prev_Rate_Typical</t>
  </si>
  <si>
    <t xml:space="preserve">Typical_Change_%</t>
  </si>
  <si>
    <t xml:space="preserve">Confidence</t>
  </si>
  <si>
    <t xml:space="preserve">FIXX-PNT-001|All</t>
  </si>
  <si>
    <t xml:space="preserve">All</t>
  </si>
  <si>
    <t xml:space="preserve">Painter</t>
  </si>
  <si>
    <t xml:space="preserve">per m²</t>
  </si>
  <si>
    <t xml:space="preserve">43 m² living room</t>
  </si>
  <si>
    <t xml:space="preserve">Habitissimo (Monterrey)</t>
  </si>
  <si>
    <t xml:space="preserve">Medium</t>
  </si>
  <si>
    <t xml:space="preserve">$80–95/m² → 3,440 low / 4,085 typical for 43 m². Est. 2 days.</t>
  </si>
  <si>
    <t xml:space="preserve">FIXX-HVC-001|1 t</t>
  </si>
  <si>
    <t xml:space="preserve">Home appliance repairer</t>
  </si>
  <si>
    <t xml:space="preserve">per tonnage</t>
  </si>
  <si>
    <t xml:space="preserve">1 install, 1 t unit</t>
  </si>
  <si>
    <t xml:space="preserve">ProAir; QEnergy</t>
  </si>
  <si>
    <t xml:space="preserve">https://proairmty.com</t>
  </si>
  <si>
    <t xml:space="preserve">Minisplit unit and materials excluded. Wage-floor trade mapped to home appliance repairer (no HVAC category).</t>
  </si>
  <si>
    <t xml:space="preserve">FIXX-HVC-001|1.5 t</t>
  </si>
  <si>
    <t xml:space="preserve">1 install, 1.5 t unit</t>
  </si>
  <si>
    <t xml:space="preserve">FIXX-HVC-001|2 t</t>
  </si>
  <si>
    <t xml:space="preserve">1 install, 2 t unit</t>
  </si>
  <si>
    <t xml:space="preserve">FIXX-HVC-001|3 t</t>
  </si>
  <si>
    <t xml:space="preserve">1 install, 3 t unit</t>
  </si>
  <si>
    <t xml:space="preserve">FIXX-HVC-002|1 t</t>
  </si>
  <si>
    <t xml:space="preserve">1 service, 1 t unit</t>
  </si>
  <si>
    <t xml:space="preserve">ProAir; Hogarix (range 600–1,500)</t>
  </si>
  <si>
    <t xml:space="preserve">https://proairmty.com; https://hogarix.mx</t>
  </si>
  <si>
    <t xml:space="preserve">Low/high = Hogarix range 600–1,500 (all tonnages).</t>
  </si>
  <si>
    <t xml:space="preserve">FIXX-HVC-002|1.5 t</t>
  </si>
  <si>
    <t xml:space="preserve">1 service, 1.5 t unit</t>
  </si>
  <si>
    <t xml:space="preserve">FIXX-HVC-002|2 t</t>
  </si>
  <si>
    <t xml:space="preserve">1 service, 2 t unit</t>
  </si>
  <si>
    <t xml:space="preserve">FIXX-HVC-002|3 t</t>
  </si>
  <si>
    <t xml:space="preserve">1 service, 3 t unit</t>
  </si>
  <si>
    <t xml:space="preserve">FIXX-PLM-001|All</t>
  </si>
  <si>
    <t xml:space="preserve">Plumber</t>
  </si>
  <si>
    <t xml:space="preserve">1 toilet</t>
  </si>
  <si>
    <t xml:space="preserve">Plumbing sources (see Labor_Sources)</t>
  </si>
  <si>
    <t xml:space="preserve">FIXX-PLM-002|All</t>
  </si>
  <si>
    <t xml:space="preserve">1 faucet</t>
  </si>
  <si>
    <t xml:space="preserve">Faucet rate applies to single-lever and two-handle.</t>
  </si>
  <si>
    <t xml:space="preserve">FIXX-PLM-003|All</t>
  </si>
  <si>
    <t xml:space="preserve">FIXX-PLM-004|All</t>
  </si>
  <si>
    <t xml:space="preserve">1 heater hookup</t>
  </si>
  <si>
    <t xml:space="preserve">FIXX-PLM-005|All</t>
  </si>
  <si>
    <t xml:space="preserve">1 washer/dryer hookup</t>
  </si>
  <si>
    <t xml:space="preserve">Original source + Directorio Empresas Monterrey washer drain install $482.55–1,930.19/service</t>
  </si>
  <si>
    <t xml:space="preserve">https://monterrey.directorioempresas.mx/empresas/instalaciones-hidraulicas_308</t>
  </si>
  <si>
    <t xml:space="preserve">Second Monterrey source brackets the range; typical = midpoint (965).</t>
  </si>
  <si>
    <t xml:space="preserve">FIXX-PLM-006|All</t>
  </si>
  <si>
    <t xml:space="preserve">1 drain</t>
  </si>
  <si>
    <t xml:space="preserve">FIXX-ELC-001|All</t>
  </si>
  <si>
    <t xml:space="preserve">Electrician</t>
  </si>
  <si>
    <t xml:space="preserve">per point</t>
  </si>
  <si>
    <t xml:space="preserve">1 point (ASSUMPTION: points per reference job to confirm)</t>
  </si>
  <si>
    <t xml:space="preserve">Electrical sources (see Labor_Sources)</t>
  </si>
  <si>
    <t xml:space="preserve">assumption</t>
  </si>
  <si>
    <t xml:space="preserve">Per-point rate; reference quantity defaulted to 1 point.</t>
  </si>
  <si>
    <t xml:space="preserve">FIXX-ELC-002|All</t>
  </si>
  <si>
    <t xml:space="preserve">1 fixture</t>
  </si>
  <si>
    <t xml:space="preserve">FIXX-ELC-003|All</t>
  </si>
  <si>
    <t xml:space="preserve">1 fan</t>
  </si>
  <si>
    <t xml:space="preserve">FIXX-ELC-004|All</t>
  </si>
  <si>
    <t xml:space="preserve">1 circuit (all tonnages)</t>
  </si>
  <si>
    <t xml:space="preserve">Same labor for 1–3 t.</t>
  </si>
  <si>
    <t xml:space="preserve">FIXX-ELC-005|All</t>
  </si>
  <si>
    <t xml:space="preserve">1 repair</t>
  </si>
  <si>
    <t xml:space="preserve">FIXX-PST-001|All</t>
  </si>
  <si>
    <t xml:space="preserve">General</t>
  </si>
  <si>
    <t xml:space="preserve">1 home treatment</t>
  </si>
  <si>
    <t xml:space="preserve">Pest sources (e.g. Fumicity)</t>
  </si>
  <si>
    <t xml:space="preserve">regulated</t>
  </si>
  <si>
    <t xml:space="preserve">Pesticide application: human review (COFEPRIS). Flag set 2026-10-24 for consistency with PST-002.</t>
  </si>
  <si>
    <t xml:space="preserve">FIXX-PST-002|All</t>
  </si>
  <si>
    <t xml:space="preserve">termite treatment, typical home (40 m perimeter assumed)</t>
  </si>
  <si>
    <t xml:space="preserve">Habitissimo Monterrey termite treatment avg $3,582 (from $480); PestGone Monterrey from $1,000, avg $4,500–7,000; fumigar.com.mx ≈$300/linear m</t>
  </si>
  <si>
    <t xml:space="preserve">https://www.habitissimo.com.mx/presupuesto/tratamiento-de-termitas/nuevo-leon/monterrey; https://pestgone.com.mx/cuanto-cuesta-la-fumigacion-de-termitas-en-monterrey/; https://fumigar.com.mx/cuanto-cuesta-una-fumigacion-contra-termitas-en-monterrey/</t>
  </si>
  <si>
    <t xml:space="preserve">Pesticide application: human review (COFEPRIS). Old single-source typical $1,289 (bait stations) replaced. Per-m rate × 40 m ≈ $12,000 sits above this range.</t>
  </si>
  <si>
    <t xml:space="preserve">FIXX-PST-003|All</t>
  </si>
  <si>
    <t xml:space="preserve">1 home</t>
  </si>
  <si>
    <t xml:space="preserve">Rodenticide/pesticide use: human review (COFEPRIS). Flag set 2026-10-24 for consistency with PST-002.</t>
  </si>
  <si>
    <t xml:space="preserve">FIXX-GRD-001|All</t>
  </si>
  <si>
    <t xml:space="preserve">50 m² lawn + 10 m² beds</t>
  </si>
  <si>
    <t xml:space="preserve">Gardening sources (see Labor_Sources)</t>
  </si>
  <si>
    <t xml:space="preserve">FIXX-GRD-002|All</t>
  </si>
  <si>
    <t xml:space="preserve">50 m², ~4 h</t>
  </si>
  <si>
    <t xml:space="preserve">No source</t>
  </si>
  <si>
    <t xml:space="preserve">Low</t>
  </si>
  <si>
    <t xml:space="preserve">ASSUMPTION: $64–107/h × 4 h; typical = midpoint ≈ 342.</t>
  </si>
  <si>
    <t xml:space="preserve">FIXX-GRD-003|All</t>
  </si>
  <si>
    <t xml:space="preserve">1 hedge/trim job</t>
  </si>
  <si>
    <t xml:space="preserve">Original source + Cronoshare Monterrey shrub/hedge pruning $66–182 per visit</t>
  </si>
  <si>
    <t xml:space="preserve">https://www.cronoshare.com.mx/servicios/jardineros/nuevo-leon/monterrey</t>
  </si>
  <si>
    <t xml:space="preserve">divergent sources</t>
  </si>
  <si>
    <t xml:space="preserve">Second Monterrey source is much lower ($66–182); kept original figures pending a third source.</t>
  </si>
  <si>
    <t xml:space="preserve">FIXX-FLR-001|All</t>
  </si>
  <si>
    <t xml:space="preserve">Tile setter</t>
  </si>
  <si>
    <t xml:space="preserve">Flooring sources (see Labor_Sources)</t>
  </si>
  <si>
    <t xml:space="preserve">FIXX-FLR-002|All</t>
  </si>
  <si>
    <t xml:space="preserve">1 small repair (3–5 tiles, ASSUMPTION ≈1 day)</t>
  </si>
  <si>
    <t xml:space="preserve">Hogarix Monterrey floor install minimum project $1,500; Habitissimo Monterrey 'reparar pisos' minimum $2,500; Cronoshare Monterrey tile labor $137–231/m² + removal/leveling $90–130/m²</t>
  </si>
  <si>
    <t xml:space="preserve">https://hogarix.mx/servicios?category=instalacion-pisos; https://www.habitissimo.com.mx/presupuesto/reparar-pisos/nuevo-leon/monterrey; https://www.cronoshare.com.mx/servicios/colocar-loseta-azulejo/nuevo-leon/monterrey</t>
  </si>
  <si>
    <t xml:space="preserve">Small repairs are billed at the Monterrey minimum job: low = Hogarix minimum, high = Habitissimo minimum, typical = midpoint. Per-m² rates (~$227–361/m² incl. removal) are far below the minimum for 1–2 m².</t>
  </si>
  <si>
    <t xml:space="preserve">FIXX-FLR-003|All</t>
  </si>
  <si>
    <t xml:space="preserve">Carpenter (obra negra)</t>
  </si>
  <si>
    <t xml:space="preserve">Wage-floor trade mapped to carpenter (obra negra); confirm.</t>
  </si>
  <si>
    <t xml:space="preserve">FIXX-CON-001|All</t>
  </si>
  <si>
    <t xml:space="preserve">Mason / albañil</t>
  </si>
  <si>
    <t xml:space="preserve">National data</t>
  </si>
  <si>
    <t xml:space="preserve">national data</t>
  </si>
  <si>
    <t xml:space="preserve">National figures, not Monterrey-specific.</t>
  </si>
  <si>
    <t xml:space="preserve">FIXX-CON-002|All</t>
  </si>
  <si>
    <t xml:space="preserve">10 m² slab (labor only)</t>
  </si>
  <si>
    <t xml:space="preserve">Kotiza 2026 (firme $180–250/m², ex. $210); Directorio Empresas Monterrey colado $193–376/m²; Habitissimo Monterrey firme minimum job $1,500; OneEstimate/CMIC yield 20–25 m²/day, Monterrey factor 1.05–1.10</t>
  </si>
  <si>
    <t xml:space="preserve">https://kotiza.mx/cotizacion-de-mano-de-obra; https://monterrey.directorioempresas.mx/empresas/concreto_346; https://oneestimate.ai/en/blog/rendimientos-mano-obra-construccion-mexico</t>
  </si>
  <si>
    <t xml:space="preserve">Labor only → 1,800 / 2,100 / 2,500 for 10 m²; all above the Habitissimo Monterrey $1,500 minimum job and inside the Monterrey directory range. Unchanged figures, now Monterrey-corroborated.</t>
  </si>
  <si>
    <t xml:space="preserve">FIXX-CON-003|All</t>
  </si>
  <si>
    <t xml:space="preserve">20 m² patio</t>
  </si>
  <si>
    <t xml:space="preserve">Directorio Empresas Monterrey: acrylic surface sealing $32.18–128.72/m², concrete surface sealing $32.19–128.77/m²; Habitissimo Monterrey 'sellar piso' minimum job $2,000</t>
  </si>
  <si>
    <t xml:space="preserve">https://monterrey.directorioempresas.mx/empresas/pisos-de-concreto_313; https://monterrey.directorioempresas.mx/empresas/concreto_346; https://www.habitissimo.com.mx/presupuesto/sellar-piso/nuevo-leon/monterrey</t>
  </si>
  <si>
    <t xml:space="preserve">Monterrey range → 644 / 1,600 / 2,574 for 20 m² (typical kept at $80/m², the range midpoint). Habitissimo minimum job $2,000 suggests small patios may be billed at a minimum.</t>
  </si>
  <si>
    <t xml:space="preserve">FIXX-CAR-001|All</t>
  </si>
  <si>
    <t xml:space="preserve">1 door</t>
  </si>
  <si>
    <t xml:space="preserve">Cronoshare Monterrey (door adjustment $150–300; interior door install $240–320/pc)</t>
  </si>
  <si>
    <t xml:space="preserve">https://www.cronoshare.com.mx/servicios/carpinteros/nuevo-leon/monterrey</t>
  </si>
  <si>
    <t xml:space="preserve">ASSUMPTION: rehang ≈ door adjustment/installation. Typical below wage floor → payout raised to floor in Quote_Builder.</t>
  </si>
  <si>
    <t xml:space="preserve">FIXX-APL-001|All</t>
  </si>
  <si>
    <t xml:space="preserve">1 washer repair (parts extra)</t>
  </si>
  <si>
    <t xml:space="preserve">Habitissimo Monterrey ($650–1,700, avg $994); Samsung MX washer labor $2,200 (IVA incl.)</t>
  </si>
  <si>
    <t xml:space="preserve">https://www.habitissimo.com.mx/presupuesto/arreglos-electrodomesticos/nuevo-leon/monterrey; https://www.samsung.com/mx/support/price-list/</t>
  </si>
  <si>
    <t xml:space="preserve">Diagnosis fee separate (Diagnosis_Fees). LG flat washer repair $1,799 incl. parts for reference.</t>
  </si>
  <si>
    <t xml:space="preserve">FIXX-APL-002|All</t>
  </si>
  <si>
    <t xml:space="preserve">1 refrigerator repair (parts extra)</t>
  </si>
  <si>
    <t xml:space="preserve">ProfessNow Monterrey (common repairs $900–3,500); Samsung MX refrigerator labor $2,800 (IVA incl.)</t>
  </si>
  <si>
    <t xml:space="preserve">https://professnow.com/profession/top-10-best-appliance-repair-technician-in-monterrey/; https://www.samsung.com/mx/support/price-list/</t>
  </si>
  <si>
    <t xml:space="preserve">Typical = midpoint. Sealed-system/refrigerant work: human review. LG flat fridge repair $3,699 incl. parts.</t>
  </si>
  <si>
    <t xml:space="preserve">FIXX-ROF-001|Budget</t>
  </si>
  <si>
    <t xml:space="preserve">50 m² acrylic (ASSUMPTION area)</t>
  </si>
  <si>
    <t xml:space="preserve">ContrataBien 2026 (acrylic labor $65–90/m²); installed Monterrey: Proteck $175/m² +IVA, BAFSA $165–200, Directorio $102–193</t>
  </si>
  <si>
    <t xml:space="preserve">https://www.contratabien.mx/guias/impermeabilizacion-costos-garantias-2026; https://www.proteck.com.mx/post/impermeabilizacion-en-monterrey; https://impermeabilizacionesbafsa.com/precio-de-impermeabilizacion/</t>
  </si>
  <si>
    <t xml:space="preserve">Typical = midpoint. Trade mapped to mason (no waterproofer category).</t>
  </si>
  <si>
    <t xml:space="preserve">FIXX-ROF-001|Standard</t>
  </si>
  <si>
    <t xml:space="preserve">FIXX-ROF-001|Premium</t>
  </si>
  <si>
    <t xml:space="preserve">50 m² SBS membrane</t>
  </si>
  <si>
    <t xml:space="preserve">ContrataBien 2026 (membrane labor $90–120/m²); Proteck 4 mm installed $330/m² +IVA</t>
  </si>
  <si>
    <t xml:space="preserve">https://www.contratabien.mx/guias/impermeabilizacion-costos-garantias-2026; https://www.proteck.com.mx/post/impermeabilizacion-en-monterrey</t>
  </si>
  <si>
    <t xml:space="preserve">Torch-applied membrane uses LP gas: human review. Typical = midpoint.</t>
  </si>
  <si>
    <t xml:space="preserve">FIXX-HND-001|Budget</t>
  </si>
  <si>
    <t xml:space="preserve">1 TV ≤ ~55 in, fixed/tilt</t>
  </si>
  <si>
    <t xml:space="preserve">Hogarix Monterrey TV mounting $499–699</t>
  </si>
  <si>
    <t xml:space="preserve">https://hogarix.mx/blog/instalacion-tv-pared</t>
  </si>
  <si>
    <t xml:space="preserve">Typical = midpoint.</t>
  </si>
  <si>
    <t xml:space="preserve">FIXX-HND-001|Standard</t>
  </si>
  <si>
    <t xml:space="preserve">1 TV, tilt mount</t>
  </si>
  <si>
    <t xml:space="preserve">FIXX-HND-001|Premium</t>
  </si>
  <si>
    <t xml:space="preserve">1 large TV / articulated mount</t>
  </si>
  <si>
    <t xml:space="preserve">Hogarix Monterrey $899–1,299</t>
  </si>
  <si>
    <t xml:space="preserve">FIXX-HND-002|All</t>
  </si>
  <si>
    <t xml:space="preserve">1 visit, standard maintenance task</t>
  </si>
  <si>
    <t xml:space="preserve">Hogarix Monterrey maintenance (standard $350–750; minor $150–300)</t>
  </si>
  <si>
    <t xml:space="preserve">https://hogarix.mx/servicios/mantenimiento</t>
  </si>
  <si>
    <t xml:space="preserve">FIXX-LCK-001|All</t>
  </si>
  <si>
    <t xml:space="preserve">1 lock (materials extra)</t>
  </si>
  <si>
    <t xml:space="preserve">cerrajeriaenmonterrey (install from $150); cerrajerocercademi ($550 + materials); Habitissimo Monterrey knob change $1,150</t>
  </si>
  <si>
    <t xml:space="preserve">https://cerrajeriaenmonterrey.com/; https://cerrajerocercademi.com.mx/monterrey-24-horas/; https://www.habitissimo.com.mx/presupuesto/cerrajeros/nuevo-leon/monterrey</t>
  </si>
  <si>
    <t xml:space="preserve">'From' prices. Habitissimo figure may include the lock. No locksmith wage category → General.</t>
  </si>
  <si>
    <t xml:space="preserve">FIXX-LCK-002|All</t>
  </si>
  <si>
    <t xml:space="preserve">1 daytime lockout</t>
  </si>
  <si>
    <t xml:space="preserve">Key Center Monterrey (from $300); cerrajerocercademi (from $450; night $900–1,800)</t>
  </si>
  <si>
    <t xml:space="preserve">https://www.keycentermonterrey.com/blog/cuanto-cuesta-el-servicio-de-cerrajeria-en-monterrey/; https://cerrajerocercademi.com.mx/monterrey-24-horas/</t>
  </si>
  <si>
    <t xml:space="preserve">'From' prices; night rates already ≈ EMERGENCY multiplier.</t>
  </si>
  <si>
    <t xml:space="preserve">FIXX-CLN-001|≤60 m²</t>
  </si>
  <si>
    <t xml:space="preserve">Domestic worker / cleaner</t>
  </si>
  <si>
    <t xml:space="preserve">home ≤60 m²</t>
  </si>
  <si>
    <t xml:space="preserve">Directorio Empresas MTY general $644–1,611; Hogarix basic from $1,199 (2–4 h); Habitissimo MTY avg $2,032 (1-bedroom 3 h $2,240); Handi MTY $650–2,600</t>
  </si>
  <si>
    <t xml:space="preserve">https://monterrey.directorioempresas.mx/empresas/limpieza-de-inmuebles_655; https://hogarix.mx/servicios?category=limpieza; https://www.habitissimo.com.mx/presupuesto/limpieza-casa/nuevo-leon/monterrey; https://handi.mx/precios/costo-limpieza-casa</t>
  </si>
  <si>
    <t xml:space="preserve">ASSUMPTION: market all-in rate 1,100 includes products; labor = market − FIXX Standard kit (156.65). Est. 3 h, 1 pro. </t>
  </si>
  <si>
    <t xml:space="preserve">FIXX-CLN-002|≤60 m²</t>
  </si>
  <si>
    <t xml:space="preserve">Hogarix deep from $1,799 (4–6 h), $1,500–2,500 3–4 bedrooms; Directorio Empresas MTY $1,610–4,829; Habitissimo 3-bed/2-bath 5 h $5,170</t>
  </si>
  <si>
    <t xml:space="preserve">https://hogarix.mx/servicios?category=limpieza; https://monterrey.directorioempresas.mx/empresas/limpieza-de-inmuebles_655; https://www.habitissimo.com.mx/presupuesto/limpieza-casa/nuevo-leon/monterrey</t>
  </si>
  <si>
    <t xml:space="preserve">ASSUMPTION: market all-in rate 1,800 includes products; labor = market − FIXX Standard kit (234.98). Est. 5 h, 1 pro. </t>
  </si>
  <si>
    <t xml:space="preserve">FIXX-CLN-003|≤60 m²</t>
  </si>
  <si>
    <t xml:space="preserve">empty home ≤60 m²</t>
  </si>
  <si>
    <t xml:space="preserve">Hogarix move cleaning $1,200–2,500 (4–8 h); Hogarix blog apt $800–1,500, house $1,500–2,500, large $2,500–4,000; Habitissimo MTY avg $2,032</t>
  </si>
  <si>
    <t xml:space="preserve">https://hogarix.mx/servicios?category=limpieza; https://hogarix.mx/blog/limpieza-despues-mudanza; https://www.habitissimo.com.mx/presupuesto/limpieza-casa/nuevo-leon/monterrey</t>
  </si>
  <si>
    <t xml:space="preserve">ASSUMPTION: market all-in rate 1,500 includes products; labor = market − FIXX Standard kit (234.98). Est. 5 h, 1 pro. </t>
  </si>
  <si>
    <t xml:space="preserve">FIXX-CLN-004|≤60 m²</t>
  </si>
  <si>
    <t xml:space="preserve">60 m² at $40/m²</t>
  </si>
  <si>
    <t xml:space="preserve">manoExperta post-obra $25–45/m² standard, $50–80/m² heavy; Habitissimo MTY limpieza de obra avg $3,767 ($1,500–5,000)</t>
  </si>
  <si>
    <t xml:space="preserve">https://manoexperta.com/limpieza/limpieza-post-obra/precio-promedio-de-limpieza-post-obra-por-metro-cuadrado; https://www.habitissimo.com.mx/presupuesto/limpieza-de-obra/nuevo-leon/monterrey</t>
  </si>
  <si>
    <t xml:space="preserve">ASSUMPTION: market all-in rate 2,400 includes products; labor = market − FIXX Standard kit (313.30). Est. 8 h, 1 pro. Debris removal excluded. Rate $40/m² = upper standard band.</t>
  </si>
  <si>
    <t xml:space="preserve">FIXX-CLN-001|61–100 m²</t>
  </si>
  <si>
    <t xml:space="preserve">home 61–100 m²</t>
  </si>
  <si>
    <t xml:space="preserve">ASSUMPTION: market all-in rate 1,400 includes products; labor = market − FIXX Standard kit (234.98). Est. 4.5 h, 1 pro. </t>
  </si>
  <si>
    <t xml:space="preserve">FIXX-CLN-002|61–100 m²</t>
  </si>
  <si>
    <t xml:space="preserve">ASSUMPTION: market all-in rate 2,500 includes products; labor = market − FIXX Standard kit (352.46). Est. 7 h, 1 pro. </t>
  </si>
  <si>
    <t xml:space="preserve">FIXX-CLN-003|61–100 m²</t>
  </si>
  <si>
    <t xml:space="preserve">empty home 61–100 m²</t>
  </si>
  <si>
    <t xml:space="preserve">ASSUMPTION: market all-in rate 2,200 includes products; labor = market − FIXX Standard kit (352.46). Est. 7 h, 1 pro. </t>
  </si>
  <si>
    <t xml:space="preserve">FIXX-CLN-004|61–100 m²</t>
  </si>
  <si>
    <t xml:space="preserve">100 m² at $40/m²</t>
  </si>
  <si>
    <t xml:space="preserve">ASSUMPTION: market all-in rate 4,000 includes products; labor = market − FIXX Standard kit (469.95). Est. 12 h, 1 pro. Debris removal excluded. Rate $40/m² = upper standard band.</t>
  </si>
  <si>
    <t xml:space="preserve">FIXX-CLN-001|101–150 m²</t>
  </si>
  <si>
    <t xml:space="preserve">home 101–150 m²</t>
  </si>
  <si>
    <t xml:space="preserve">ASSUMPTION: market all-in rate 1,800 includes products; labor = market − FIXX Standard kit (313.30). Est. 6 h, 1 pro. </t>
  </si>
  <si>
    <t xml:space="preserve">FIXX-CLN-002|101–150 m²</t>
  </si>
  <si>
    <t xml:space="preserve">ASSUMPTION: market all-in rate 3,300 includes products; labor = market − FIXX Standard kit (469.95). Est. 9 h, 1 pro. </t>
  </si>
  <si>
    <t xml:space="preserve">FIXX-CLN-003|101–150 m²</t>
  </si>
  <si>
    <t xml:space="preserve">empty home 101–150 m²</t>
  </si>
  <si>
    <t xml:space="preserve">ASSUMPTION: market all-in rate 3,000 includes products; labor = market − FIXX Standard kit (469.95). Est. 9 h, 1 pro. </t>
  </si>
  <si>
    <t xml:space="preserve">FIXX-CLN-004|101–150 m²</t>
  </si>
  <si>
    <t xml:space="preserve">150 m² at $40/m²</t>
  </si>
  <si>
    <t xml:space="preserve">ASSUMPTION: market all-in rate 6,000 includes products; labor = market − FIXX Standard kit (626.60). Est. 16 h, 1 pro. Debris removal excluded. Rate $40/m² = upper standard band.</t>
  </si>
  <si>
    <t xml:space="preserve">FIXX-CLN-005|All</t>
  </si>
  <si>
    <t xml:space="preserve">per seat</t>
  </si>
  <si>
    <t xml:space="preserve">3-seat sofa at $250/seat</t>
  </si>
  <si>
    <t xml:space="preserve">Hogarix 2-seat sofa $450–700, armchair $150–300; Infoanuncios MTY sala from $400, service minimum $350; PlanetaMéxico MTY salas from $350</t>
  </si>
  <si>
    <t xml:space="preserve">https://hogarix.mx/servicios?category=limpieza-alfombras; https://mx.infoanuncios.com/lavado-de-alfombras-y-salas-F160FC3011DD3; https://www.planetamexico.com.mx/lavamos-salas-e-interiores-de-autos-colchones-y-mas-F120CC10613D941</t>
  </si>
  <si>
    <t xml:space="preserve">ASSUMPTION: market all-in rate 250 includes products; labor = market − FIXX Standard kit (0.00). Est. 2 h, 1 pro. Per-seat rate $250; min service $350.</t>
  </si>
  <si>
    <t xml:space="preserve">FIXX-CLN-005|Mattress individual</t>
  </si>
  <si>
    <t xml:space="preserve">Mattress individual</t>
  </si>
  <si>
    <t xml:space="preserve">1 mattress individual</t>
  </si>
  <si>
    <t xml:space="preserve">Hogarix mattresses $350–1,200; Infoanuncios matrimonial $350; PlanetaMéxico from $250</t>
  </si>
  <si>
    <t xml:space="preserve">https://hogarix.mx/servicios?category=limpieza-alfombras; https://mx.infoanuncios.com/lavado-de-alfombras-y-salas-F160FC3011DD3</t>
  </si>
  <si>
    <t xml:space="preserve">ASSUMPTION: market all-in rate 300 includes products; labor = market − FIXX Standard kit (0.00). Est. 1 h, 1 pro. Per-piece add-on rate (not a Quote_Builder tier). Materials ≈ Standard sofa kit × 0.5.</t>
  </si>
  <si>
    <t xml:space="preserve">FIXX-CLN-005|Mattress matrimonial</t>
  </si>
  <si>
    <t xml:space="preserve">Mattress matrimonial</t>
  </si>
  <si>
    <t xml:space="preserve">1 mattress matrimonial</t>
  </si>
  <si>
    <t xml:space="preserve">ASSUMPTION: market all-in rate 350 includes products; labor = market − FIXX Standard kit (0.00). Est. 1 h, 1 pro. Per-piece add-on rate (not a Quote_Builder tier). Materials ≈ Standard sofa kit × 0.5.</t>
  </si>
  <si>
    <t xml:space="preserve">FIXX-CLN-005|Mattress queen</t>
  </si>
  <si>
    <t xml:space="preserve">Mattress queen</t>
  </si>
  <si>
    <t xml:space="preserve">1 mattress queen</t>
  </si>
  <si>
    <t xml:space="preserve">ASSUMPTION: market all-in rate 450 includes products; labor = market − FIXX Standard kit (0.00). Est. 1 h, 1 pro. Per-piece add-on rate (not a Quote_Builder tier). Materials ≈ Standard sofa kit × 0.5.</t>
  </si>
  <si>
    <t xml:space="preserve">FIXX-CLN-005|Mattress king</t>
  </si>
  <si>
    <t xml:space="preserve">Mattress king</t>
  </si>
  <si>
    <t xml:space="preserve">1 mattress king</t>
  </si>
  <si>
    <t xml:space="preserve">ASSUMPTION: market all-in rate 550 includes products; labor = market − FIXX Standard kit (0.00). Est. 1 h, 1 pro. Per-piece add-on rate (not a Quote_Builder tier). Materials ≈ Standard sofa kit × 0.5.</t>
  </si>
  <si>
    <t xml:space="preserve">FIXX-CLN-001|Add-on oven interior</t>
  </si>
  <si>
    <t xml:space="preserve">Add-on oven interior</t>
  </si>
  <si>
    <t xml:space="preserve">1 add-on (as-needed line)</t>
  </si>
  <si>
    <t xml:space="preserve">Approved by Eduardo 2026-10-25 (pet stain: Hogarix +$150–350)</t>
  </si>
  <si>
    <t xml:space="preserve">https://hogarix.mx/servicios?category=limpieza-alfombras</t>
  </si>
  <si>
    <t xml:space="preserve">Add-on labor for the matching as-needed line; added to the visit only when selected. Shares the visit-day wage floor with the main job.</t>
  </si>
  <si>
    <t xml:space="preserve">FIXX-CLN-001|Add-on fridge interior</t>
  </si>
  <si>
    <t xml:space="preserve">Add-on fridge interior</t>
  </si>
  <si>
    <t xml:space="preserve">FIXX-CLN-001|Add-on balcony/patio</t>
  </si>
  <si>
    <t xml:space="preserve">Add-on balcony/patio</t>
  </si>
  <si>
    <t xml:space="preserve">FIXX-CLN-001|Add-on odor/pet stain</t>
  </si>
  <si>
    <t xml:space="preserve">Add-on odor/pet stain</t>
  </si>
  <si>
    <t xml:space="preserve">FIXX-CLN-002|Add-on oven interior</t>
  </si>
  <si>
    <t xml:space="preserve">FIXX-CLN-002|Add-on fridge interior</t>
  </si>
  <si>
    <t xml:space="preserve">FIXX-CLN-002|Add-on balcony/patio</t>
  </si>
  <si>
    <t xml:space="preserve">FIXX-CLN-002|Add-on odor/pet stain</t>
  </si>
  <si>
    <t xml:space="preserve">FIXX-CLN-003|Add-on oven interior</t>
  </si>
  <si>
    <t xml:space="preserve">FIXX-CLN-003|Add-on fridge interior</t>
  </si>
  <si>
    <t xml:space="preserve">FIXX-CLN-003|Add-on balcony/patio</t>
  </si>
  <si>
    <t xml:space="preserve">FIXX-CLN-003|Add-on odor/pet stain</t>
  </si>
  <si>
    <t xml:space="preserve">FIXX-CLN-005|Add-on odor/pet stain</t>
  </si>
  <si>
    <t xml:space="preserve">FIXX-CLN-006|Add-on odor/pet stain</t>
  </si>
  <si>
    <t xml:space="preserve">FIXX-CLN-006|All</t>
  </si>
  <si>
    <t xml:space="preserve">20 m² at $40/m²</t>
  </si>
  <si>
    <t xml:space="preserve">Hogarix carpets from $60/m² (min $150); Infoanuncios MTY $20/m²</t>
  </si>
  <si>
    <t xml:space="preserve">ASSUMPTION: market all-in rate 40 includes products; labor = market − FIXX Standard kit (0.00). Est. 2.5 h, 1 pro. Per-m² rate $40 = midpoint of $20–60.</t>
  </si>
  <si>
    <t xml:space="preserve">FIXX-CLN-007|All</t>
  </si>
  <si>
    <t xml:space="preserve">20 m² glass at $55/m²</t>
  </si>
  <si>
    <t xml:space="preserve">APU guide Norte/MTY ground level $40–70/m²; Directorio Empresas MTY vidrios $53.65–160.96/m²</t>
  </si>
  <si>
    <t xml:space="preserve">https://analisisdepreciosunitarios.com/secretaria-de-educacion-publica-sep-39660; https://monterrey.directorioempresas.mx/empresas/limpiezas_642</t>
  </si>
  <si>
    <t xml:space="preserve">ASSUMPTION: market all-in rate 55 includes products; labor = market − FIXX Standard kit (0.00). Est. 3 h, 1 pro. Ground floor only; height work flagged (NOM-009-STPS).</t>
  </si>
  <si>
    <t xml:space="preserve">2026 professional daily minimum wages – Apodaca, N.L. applies the ZSMG schedule (inputs, MXN/day)</t>
  </si>
  <si>
    <t xml:space="preserve">Tasks below floor:</t>
  </si>
  <si>
    <t xml:space="preserve">Daily_Min_MXN</t>
  </si>
  <si>
    <t xml:space="preserve">Spanish</t>
  </si>
  <si>
    <t xml:space="preserve">Tasks with no labor data:</t>
  </si>
  <si>
    <t xml:space="preserve">Pintor</t>
  </si>
  <si>
    <t xml:space="preserve">Plomero</t>
  </si>
  <si>
    <t xml:space="preserve">Electricista</t>
  </si>
  <si>
    <t xml:space="preserve">Colocador de mosaicos y azulejos</t>
  </si>
  <si>
    <t xml:space="preserve">Albañil</t>
  </si>
  <si>
    <t xml:space="preserve">Carpintero de obra negra</t>
  </si>
  <si>
    <t xml:space="preserve">Reparador de aparatos eléctricos para el hogar</t>
  </si>
  <si>
    <t xml:space="preserve">Salario mínimo general</t>
  </si>
  <si>
    <t xml:space="preserve">Persona trabajadora del hogar (CONASAMI 2026, ZSMG)</t>
  </si>
  <si>
    <t xml:space="preserve">Floor = daily minimum × job days rounded UP to a whole day (minimum wage cannot be split by hour). Est_Job_Days (yellow) are inputs.</t>
  </si>
  <si>
    <t xml:space="preserve">Est_Job_Days (input)</t>
  </si>
  <si>
    <t xml:space="preserve">Billable_Days</t>
  </si>
  <si>
    <t xml:space="preserve">Wage_Floor_MXN</t>
  </si>
  <si>
    <t xml:space="preserve">Floor_Check</t>
  </si>
  <si>
    <t xml:space="preserve">Gap_vs_Floor</t>
  </si>
  <si>
    <t xml:space="preserve">Low_Labor_MXN</t>
  </si>
  <si>
    <t xml:space="preserve">Low_vs_Floor (info)</t>
  </si>
  <si>
    <t xml:space="preserve">Add-on: floor applies per visit day</t>
  </si>
  <si>
    <t xml:space="preserve">Urgency_Level</t>
  </si>
  <si>
    <t xml:space="preserve">Multiplier (input)</t>
  </si>
  <si>
    <t xml:space="preserve">Response window</t>
  </si>
  <si>
    <t xml:space="preserve">Description</t>
  </si>
  <si>
    <t xml:space="preserve">Basis / note</t>
  </si>
  <si>
    <t xml:space="preserve">Named cell</t>
  </si>
  <si>
    <t xml:space="preserve">UI_Level</t>
  </si>
  <si>
    <t xml:space="preserve">UI_Option</t>
  </si>
  <si>
    <t xml:space="preserve">Customer_Description</t>
  </si>
  <si>
    <t xml:space="preserve">Scheduled, 3+ days</t>
  </si>
  <si>
    <t xml:space="preserve">Typical market rate</t>
  </si>
  <si>
    <t xml:space="preserve">Baseline (typical market rate).</t>
  </si>
  <si>
    <t xml:space="preserve">Urg_STANDARD</t>
  </si>
  <si>
    <t xml:space="preserve">Scheduled visit in 3+ days at the regular rate.</t>
  </si>
  <si>
    <t xml:space="preserve">24–48 h</t>
  </si>
  <si>
    <t xml:space="preserve">Priority scheduling</t>
  </si>
  <si>
    <t xml:space="preserve">ASSUMPTION: the 15% is a FIXX working assumption, not a published market surcharge.</t>
  </si>
  <si>
    <t xml:space="preserve">Urg_MEDIUM</t>
  </si>
  <si>
    <t xml:space="preserve">Priority visit within 24–48 hours.</t>
  </si>
  <si>
    <t xml:space="preserve">Same day</t>
  </si>
  <si>
    <t xml:space="preserve">Same-day service</t>
  </si>
  <si>
    <t xml:space="preserve">Follows Hogarix's published Monterrey surcharge (+30%). https://hogarix.mx</t>
  </si>
  <si>
    <t xml:space="preserve">Urg_HIGH</t>
  </si>
  <si>
    <t xml:space="preserve">High</t>
  </si>
  <si>
    <t xml:space="preserve">Same-day visit.</t>
  </si>
  <si>
    <t xml:space="preserve">24/7</t>
  </si>
  <si>
    <t xml:space="preserve">Emergency / after-hours</t>
  </si>
  <si>
    <t xml:space="preserve">Follows Hogarix's published Monterrey surcharge (+50%). https://hogarix.mx</t>
  </si>
  <si>
    <t xml:space="preserve">Urg_EMERGENCY</t>
  </si>
  <si>
    <t xml:space="preserve">Emergency</t>
  </si>
  <si>
    <t xml:space="preserve">Turn on Emergency for an urgent visit at any hour, 24/7.</t>
  </si>
  <si>
    <t xml:space="preserve">Multipliers apply to labor only; materials are never marked up by urgency. Yellow cells are inputs.</t>
  </si>
  <si>
    <t xml:space="preserve">APP DEVELOPER NOTE: Show the customer three urgency levels (UI_Level: Standard, Medium, High). Emergency is not a fourth level; it is a toggle shown only inside High (UI_Option = Emergency). High with the toggle off maps to Urgency_Level HIGH; High with the toggle on maps to EMERGENCY. Always send the Urgency_Level value (STANDARD / MEDIUM / HIGH / EMERGENCY) to pricing; all four multipliers stay in use.</t>
  </si>
  <si>
    <t xml:space="preserve">Date</t>
  </si>
  <si>
    <t xml:space="preserve">Price_MXN_incl_IVA</t>
  </si>
  <si>
    <t xml:space="preserve">Source_URL</t>
  </si>
  <si>
    <t xml:space="preserve">Checked_By / Notes</t>
  </si>
  <si>
    <t xml:space="preserve">Seed from brief; URL to fill on next check</t>
  </si>
  <si>
    <t xml:space="preserve">Seed check 2026-10-21 (web)</t>
  </si>
  <si>
    <t xml:space="preserve">https://www.homedepot.com.mx/s/SIKA</t>
  </si>
  <si>
    <t xml:space="preserve">Climahorro</t>
  </si>
  <si>
    <t xml:space="preserve">https://www.climahorro.com.mx/productos/kit-minisplit-de-conexion-bobina-de-cobre-3-8-5-8/</t>
  </si>
  <si>
    <t xml:space="preserve">https://www.homedepot.com.mx/b/electronica-y-tecnologia/audio-y-video/soportes-para-pantalla</t>
  </si>
  <si>
    <t xml:space="preserve">Comex Power Center (official store)</t>
  </si>
  <si>
    <t xml:space="preserve">https://comex-pc.myshopify.com/products/vinimex-total</t>
  </si>
  <si>
    <t xml:space="preserve">SignaStore</t>
  </si>
  <si>
    <t xml:space="preserve">https://signastore.mx/product/cinta-masking-rollo-50m-x-1in-truper/</t>
  </si>
  <si>
    <t xml:space="preserve">https://www.homedepot.com.mx/b/electrico/apagadores-y-conectores</t>
  </si>
  <si>
    <t xml:space="preserve">Biopure Shop</t>
  </si>
  <si>
    <t xml:space="preserve">https://biopureshop.com/products/drain-unblocker-sachets-tarro-250-gr-destapacanos-y-tratamiento-preventivo-para-wcs-trampas-de-grasa-y-alcantarillas</t>
  </si>
  <si>
    <t xml:space="preserve">Re-check 2026-10-24. SUBSTITUTE: Drain Unblocker liquid 1.5 L ($259) out of stock; same-line enzymatic Drain Unblocker sachets jar 250 g $189 in stock. 'Before' price $275 shown; treat as unverified.</t>
  </si>
  <si>
    <t xml:space="preserve">Weekly check 2026-10-26 (web, curl/WebFetch). Offer = display price $565 (the $499 promo has ended); in stock online.</t>
  </si>
  <si>
    <t xml:space="preserve">Weekly check 2026-10-26 (web, curl/WebFetch). Offer = display $2,399; in stock online. Flagged line (220 V conductor).</t>
  </si>
  <si>
    <t xml:space="preserve">Weekly check 2026-10-26 (web, curl/WebFetch). Same SKU JW4188GFG6Q; no compare-at price shown; in stock.</t>
  </si>
  <si>
    <t xml:space="preserve">Weekly check 2026-10-26 (web, curl/WebFetch). Same SKU 110268 (listing title now 'Pomo cilíndrica baño reversible acero latón brillante'); in stock online.</t>
  </si>
  <si>
    <t xml:space="preserve">Weekly check 2026-10-26 (web, curl/WebFetch). SikaTop 122, 30 kg, MX$1,648.00 incl. impuestos.</t>
  </si>
  <si>
    <t xml:space="preserve">Weekly check 2026-10-26 (web, curl/WebFetch). SUBSTITUTE STORE (same product, 4 L): Comex Power Center listing removed. Matches Comex dealer list Jan 2026 ($990.50).</t>
  </si>
  <si>
    <t xml:space="preserve">Weekly check 2026-10-26 (web, curl/WebFetch). SUBSTITUTE STORE (same Truper MSK-1 12591): SignaStore page 404.</t>
  </si>
  <si>
    <t xml:space="preserve">Climas Monterrey</t>
  </si>
  <si>
    <t xml:space="preserve">Weekly check 2026-10-26 (web, curl/WebFetch). SUBSTITUTE: Climahorro Coldtek copper ⅜–⅝ kit $535.05 OUT OF STOCK; Cluxer CXKCU5838 copper ⅜+⅝ 4 m in stock (14) in Monterrey.</t>
  </si>
  <si>
    <t xml:space="preserve">Seed 2026-10-21; URL to fill on next check</t>
  </si>
  <si>
    <t xml:space="preserve">Seed 2026-10-21</t>
  </si>
  <si>
    <t xml:space="preserve">Cronoshare Monterrey (re-check 2026-10-26): 'Reparación y ajuste menor desde $180 por trabajo' (bisagras); interior door install $240–320/pc (unchanged)</t>
  </si>
  <si>
    <t xml:space="preserve">Weekly check 2026-10-26: low 150 → 180 per current Cronoshare text; typical/high unchanged.</t>
  </si>
  <si>
    <t xml:space="preserve">Source</t>
  </si>
  <si>
    <t xml:space="preserve">Coverage (as stated in brief or inferred from name)</t>
  </si>
  <si>
    <t xml:space="preserve">Habitissimo</t>
  </si>
  <si>
    <t xml:space="preserve">https://www.habitissimo.com.mx</t>
  </si>
  <si>
    <t xml:space="preserve">Painting, tile repair minimum, appliance repair, locksmith (Monterrey)</t>
  </si>
  <si>
    <t xml:space="preserve">Kotiza</t>
  </si>
  <si>
    <t xml:space="preserve">https://kotiza.mx/cotizacion-de-mano-de-obra</t>
  </si>
  <si>
    <t xml:space="preserve">Slab labor (national 2026 table), albañil day rates</t>
  </si>
  <si>
    <t xml:space="preserve">ContrataBien</t>
  </si>
  <si>
    <t xml:space="preserve">https://www.contratabien.mx/guias/impermeabilizacion-costos-garantias-2026</t>
  </si>
  <si>
    <t xml:space="preserve">Waterproofing labor; patio-sealing proxy</t>
  </si>
  <si>
    <t xml:space="preserve">Proteck</t>
  </si>
  <si>
    <t xml:space="preserve">https://www.proteck.com.mx/post/impermeabilizacion-en-monterrey</t>
  </si>
  <si>
    <t xml:space="preserve">Roof waterproofing installed (+IVA); free visit</t>
  </si>
  <si>
    <t xml:space="preserve">BAFSA</t>
  </si>
  <si>
    <t xml:space="preserve">https://impermeabilizacionesbafsa.com/precio-de-impermeabilizacion/</t>
  </si>
  <si>
    <t xml:space="preserve">Roof waterproofing installed</t>
  </si>
  <si>
    <t xml:space="preserve">Samsung MX price list</t>
  </si>
  <si>
    <t xml:space="preserve">https://www.samsung.com/mx/support/price-list/</t>
  </si>
  <si>
    <t xml:space="preserve">Appliance diagnosis and labor (IVA incl.)</t>
  </si>
  <si>
    <t xml:space="preserve">LG a tu lado</t>
  </si>
  <si>
    <t xml:space="preserve">https://www.lg.com/mx/soporte/lg-a-tu-lado/servicios-lg-a-tu-lado/</t>
  </si>
  <si>
    <t xml:space="preserve">Appliance flat-rate repairs</t>
  </si>
  <si>
    <t xml:space="preserve">ProfessNow</t>
  </si>
  <si>
    <t xml:space="preserve">https://professnow.com/profession/top-10-best-appliance-repair-technician-in-monterrey/</t>
  </si>
  <si>
    <t xml:space="preserve">Appliance diagnosis/repair ranges</t>
  </si>
  <si>
    <t xml:space="preserve">Fernando Sepúlveda</t>
  </si>
  <si>
    <t xml:space="preserve">https://fernandosepulveda.com.mx/products/mantenimiento-a-lavadoras-en-monterrey</t>
  </si>
  <si>
    <t xml:space="preserve">Washer diagnosis $400 (credited)</t>
  </si>
  <si>
    <t xml:space="preserve">Key Center Monterrey</t>
  </si>
  <si>
    <t xml:space="preserve">https://www.keycentermonterrey.com/blog/cuanto-cuesta-el-servicio-de-cerrajeria-en-monterrey/</t>
  </si>
  <si>
    <t xml:space="preserve">cerrajerocercademi</t>
  </si>
  <si>
    <t xml:space="preserve">https://cerrajerocercademi.com.mx/monterrey-24-horas/</t>
  </si>
  <si>
    <t xml:space="preserve">cerrajeriaenmonterrey</t>
  </si>
  <si>
    <t xml:space="preserve">https://cerrajeriaenmonterrey.com/</t>
  </si>
  <si>
    <t xml:space="preserve">Hogarix (handyman/TV)</t>
  </si>
  <si>
    <t xml:space="preserve">Handyman, TV mounting, electrical diagnosis</t>
  </si>
  <si>
    <t xml:space="preserve">OneEstimate</t>
  </si>
  <si>
    <t xml:space="preserve">https://oneestimate.ai/en/blog/rendimientos-mano-obra-construccion-mexico</t>
  </si>
  <si>
    <t xml:space="preserve">Crew yields (CMIC-based)</t>
  </si>
  <si>
    <t xml:space="preserve">ProAir</t>
  </si>
  <si>
    <t xml:space="preserve">HVAC maintenance and install</t>
  </si>
  <si>
    <t xml:space="preserve">Hogarix</t>
  </si>
  <si>
    <t xml:space="preserve">https://hogarix.mx</t>
  </si>
  <si>
    <t xml:space="preserve">HVAC maintenance range 600–1,500; urgency surcharges</t>
  </si>
  <si>
    <t xml:space="preserve">QEnergy</t>
  </si>
  <si>
    <t xml:space="preserve">HVAC install</t>
  </si>
  <si>
    <t xml:space="preserve">Mas Mantenimiento</t>
  </si>
  <si>
    <t xml:space="preserve">Per-task attribution to confirm</t>
  </si>
  <si>
    <t xml:space="preserve">Cronoshare</t>
  </si>
  <si>
    <t xml:space="preserve">Carpentry; plumbing visit fee; other attribution to confirm</t>
  </si>
  <si>
    <t xml:space="preserve">Directorio Empresas</t>
  </si>
  <si>
    <t xml:space="preserve">https://monterrey.directorioempresas.mx</t>
  </si>
  <si>
    <t xml:space="preserve">Slab and waterproofing ranges; other attribution to confirm</t>
  </si>
  <si>
    <t xml:space="preserve">TuPlomero</t>
  </si>
  <si>
    <t xml:space="preserve">Plumbing (inferred from name)</t>
  </si>
  <si>
    <t xml:space="preserve">Plomero Apodaca</t>
  </si>
  <si>
    <t xml:space="preserve">HomePro</t>
  </si>
  <si>
    <t xml:space="preserve">Handi</t>
  </si>
  <si>
    <t xml:space="preserve">Fumicity</t>
  </si>
  <si>
    <t xml:space="preserve">Pest control (inferred from name)</t>
  </si>
  <si>
    <t xml:space="preserve">AECO</t>
  </si>
  <si>
    <t xml:space="preserve">Prummo</t>
  </si>
  <si>
    <t xml:space="preserve">Fee_Low</t>
  </si>
  <si>
    <t xml:space="preserve">Fee_Typical</t>
  </si>
  <si>
    <t xml:space="preserve">Fee_High</t>
  </si>
  <si>
    <t xml:space="preserve">Credited_to_repair?</t>
  </si>
  <si>
    <t xml:space="preserve">Fee×MEDIUM</t>
  </si>
  <si>
    <t xml:space="preserve">Fee×HIGH</t>
  </si>
  <si>
    <t xml:space="preserve">Fee×EMERGENCY</t>
  </si>
  <si>
    <t xml:space="preserve">varies</t>
  </si>
  <si>
    <t xml:space="preserve">Más Mantenimiento $200–400; TuPlomero from $300; Cronoshare $500–700</t>
  </si>
  <si>
    <t xml:space="preserve">Cronoshare URL in Labor_Sources; others: URL to fill</t>
  </si>
  <si>
    <t xml:space="preserve">Typical = TuPlomero 'from' price.</t>
  </si>
  <si>
    <t xml:space="preserve">not stated</t>
  </si>
  <si>
    <t xml:space="preserve">Hogarix diagnosis $450–900</t>
  </si>
  <si>
    <t xml:space="preserve">yes (Hogarix)</t>
  </si>
  <si>
    <t xml:space="preserve">Hogarix $600 credited; Regio Climatización urgent check $300</t>
  </si>
  <si>
    <t xml:space="preserve">Refrigerant work found on visit → human review.</t>
  </si>
  <si>
    <t xml:space="preserve">yes (Fernando Sepúlveda)</t>
  </si>
  <si>
    <t xml:space="preserve">ProfessNow $300–800; Fernando Sepúlveda washer $400; Samsung $600 washer/range, $800 fridge (IVA incl.)</t>
  </si>
  <si>
    <t xml:space="preserve">https://professnow.com/profession/top-10-best-appliance-repair-technician-in-monterrey/; https://fernandosepulveda.com.mx/products/mantenimiento-a-lavadoras-en-monterrey; https://www.samsung.com/mx/support/price-list/</t>
  </si>
  <si>
    <t xml:space="preserve">Proteck Monterrey: free visit/quote</t>
  </si>
  <si>
    <t xml:space="preserve">Free inspection is market norm per one source.</t>
  </si>
  <si>
    <t xml:space="preserve">Handyman / carpentry</t>
  </si>
  <si>
    <t xml:space="preserve">No published visit fee found</t>
  </si>
  <si>
    <t xml:space="preserve">no data</t>
  </si>
  <si>
    <t xml:space="preserve">Hogarix minor jobs $150–300 is the closest published floor; quote on site.</t>
  </si>
  <si>
    <t xml:space="preserve">Service minimums act as the visit fee (see FIXX-LCK-002)</t>
  </si>
  <si>
    <t xml:space="preserve">Pest / gardening / flooring / concrete / painting</t>
  </si>
  <si>
    <t xml:space="preserve">FIXX POLICY (decided by Eduardo, Oct 22, 2026): the diagnosis/visit fee is always credited toward the repair if the repair is booked. Column E records what each market source does; it does not change FIXX policy.</t>
  </si>
  <si>
    <t xml:space="preserve">Old_Task_ID</t>
  </si>
  <si>
    <t xml:space="preserve">Final_Task_ID</t>
  </si>
  <si>
    <t xml:space="preserve">Change</t>
  </si>
  <si>
    <t xml:space="preserve">FIXX-PNT</t>
  </si>
  <si>
    <t xml:space="preserve">renamed</t>
  </si>
  <si>
    <t xml:space="preserve">unchanged (provisional ID confirmed)</t>
  </si>
  <si>
    <t xml:space="preserve">FIXX-ELC-008</t>
  </si>
  <si>
    <t xml:space="preserve">FIXX-ELC-007</t>
  </si>
  <si>
    <t xml:space="preserve">FIXX-FLR-001b</t>
  </si>
  <si>
    <t xml:space="preserve">#</t>
  </si>
  <si>
    <t xml:space="preserve">Rule</t>
  </si>
  <si>
    <t xml:space="preserve">Detail</t>
  </si>
  <si>
    <t xml:space="preserve">Tiers</t>
  </si>
  <si>
    <t xml:space="preserve">Always quote all three tiers (budget / standard / premium); the homeowner chooses.</t>
  </si>
  <si>
    <t xml:space="preserve">HVAC tiers</t>
  </si>
  <si>
    <t xml:space="preserve">HVAC (and minisplit circuit ELC-007) tiers are by unit tonnage: 1 / 1.5 / 2 / 3 t. Minisplit units are excluded.</t>
  </si>
  <si>
    <t xml:space="preserve">Materials only</t>
  </si>
  <si>
    <t xml:space="preserve">FIXX supplies materials only; pros bring their own tools. Tools are never priced.</t>
  </si>
  <si>
    <t xml:space="preserve">Consumables prorated</t>
  </si>
  <si>
    <t xml:space="preserve">Consumables are prorated to the quantity used per job (Qty_Used × pack price).</t>
  </si>
  <si>
    <t xml:space="preserve">Exclusions</t>
  </si>
  <si>
    <t xml:space="preserve">Fixtures, appliances, minisplit units and the floor covering itself (homeowner choice) are excluded.</t>
  </si>
  <si>
    <t xml:space="preserve">Marketplace sellers</t>
  </si>
  <si>
    <t xml:space="preserve">Marketplace sellers need 4.5+ stars and 20+ reviews, or must be an official store.</t>
  </si>
  <si>
    <t xml:space="preserve">Human review (flagged)</t>
  </si>
  <si>
    <t xml:space="preserve">Flag for human review: pesticides (COFEPRIS – reference only), refrigerants, gas parts, high-load electrical (breakers, 220 V), structural concrete/rebar.</t>
  </si>
  <si>
    <t xml:space="preserve">Fan support</t>
  </si>
  <si>
    <t xml:space="preserve">Ceiling-fan support (fan box vs slab anchors) is always human review after the pro confirms slab type.</t>
  </si>
  <si>
    <t xml:space="preserve">Herbicides</t>
  </si>
  <si>
    <t xml:space="preserve">Only JAR/URB RSCO-labelled herbicides may be referenced.</t>
  </si>
  <si>
    <t xml:space="preserve">Traceability</t>
  </si>
  <si>
    <t xml:space="preserve">Record store, URL and check date for every price; append every check to Price_History (never overwrite).</t>
  </si>
  <si>
    <t xml:space="preserve">Freshness</t>
  </si>
  <si>
    <t xml:space="preserve">Prices older than 7 days (vs TODAY()) are stale and highlighted yellow; re-check weekly.</t>
  </si>
  <si>
    <t xml:space="preserve">Currency</t>
  </si>
  <si>
    <t xml:space="preserve">All prices in MXN including IVA (16%). Prices quoted before IVA are grossed up ×1.16 and marked '+16% added'.</t>
  </si>
  <si>
    <t xml:space="preserve">No purchasing</t>
  </si>
  <si>
    <t xml:space="preserve">Nothing is purchased from this workbook; it is a price reference only.</t>
  </si>
  <si>
    <t xml:space="preserve">Unknown prices</t>
  </si>
  <si>
    <t xml:space="preserve">Never invent prices. If only a line total is known, record it as a 'line total, itemize on next check' item.</t>
  </si>
  <si>
    <t xml:space="preserve">Urgency multipliers (Urgency sheet) apply to labor only: Standard 1.00, Medium 1.15 (assumption), High 1.30 and Emergency 1.50 (Hogarix Monterrey surcharges).</t>
  </si>
  <si>
    <t xml:space="preserve">Urgency in the customer UI</t>
  </si>
  <si>
    <t xml:space="preserve">The customer sees three urgency levels: Standard, Medium and High. Emergency is a toggle inside High and maps to the EMERGENCY multiplier; all four multipliers (1.00 / 1.15 / 1.30 / 1.50) remain. Decided by Eduardo, Oct 22, 2026.</t>
  </si>
  <si>
    <t xml:space="preserve">Pending review trigger</t>
  </si>
  <si>
    <t xml:space="preserve">Pending review applies only when a regulated line is actually in the quote: regulated labor and always-included regulated lines always trigger it; regulated as-needed lines (e.g. refrigerant, gas connector for gas heaters, breaker if needed) trigger it only when selected. Pending-review quotes are priced but cannot be confirmed or booked until a human approves. Decided by Eduardo, Oct 24, 2026.</t>
  </si>
  <si>
    <t xml:space="preserve">Diagnosis fee credit</t>
  </si>
  <si>
    <t xml:space="preserve">The diagnosis/visit fee is always credited toward the repair if the repair is booked. Decided by Eduardo, Oct 22, 2026.</t>
  </si>
  <si>
    <t xml:space="preserve">On-site price changes</t>
  </si>
  <si>
    <t xml:space="preserve">Any on-site price change, of any size, needs the homeowner's in-app approval before work continues. Decided by Eduardo, Oct 22, 2026.</t>
  </si>
  <si>
    <t xml:space="preserve">Per-visit wage floor</t>
  </si>
  <si>
    <t xml:space="preserve">The wage floor applies per visit day: sum market labor for all jobs in the visit, labor = MAX(sum, floor of the highest-floor trade in the visit) × urgency multiplier, allocated to each job in proportion to its market labor. Quote_Builder is single-task; the app applies this. Decided by Eduardo, Oct 22, 2026.</t>
  </si>
  <si>
    <t xml:space="preserve">Labor wage floor</t>
  </si>
  <si>
    <t xml:space="preserve">Typical labor must be ≥ the 2026 ZSMG professional daily minimum × job days rounded up to whole days.</t>
  </si>
  <si>
    <t xml:space="preserve">Labor traceability</t>
  </si>
  <si>
    <t xml:space="preserve">Append every labor check to Labor_History (date, key, low/typical/high, sources, URLs); Labor_Rates pulls the latest record.</t>
  </si>
  <si>
    <t xml:space="preserve">Quotes</t>
  </si>
  <si>
    <t xml:space="preserve">Customer total = materials (base) + MAX(labor, wage floor) × urgency multiplier. Pro payout = MAX(labor, wage floor) × urgency multiplier.</t>
  </si>
  <si>
    <t xml:space="preserve">Floor-raised billing</t>
  </si>
  <si>
    <t xml:space="preserve">When the pro payout is raised to the trade's ZSMG wage floor, the homeowner is billed on the raised payout: customer labor basis = MAX(market labor, wage floor) × urgency multiplier at every urgency level (urgency applies on top of the floor). Decided by Eduardo, Oct 22, 2026.</t>
  </si>
  <si>
    <t xml:space="preserve">Diagnosis fees</t>
  </si>
  <si>
    <t xml:space="preserve">Diagnosis/visit fees (Diagnosis_Fees) apply only when scope is found on site; several sources credit the fee toward the repair. Urgency multiplies the fee like labor (working assumption).</t>
  </si>
  <si>
    <t xml:space="preserve">ID</t>
  </si>
  <si>
    <t xml:space="preserve">Topic</t>
  </si>
  <si>
    <t xml:space="preserve">Affects</t>
  </si>
  <si>
    <t xml:space="preserve">D01</t>
  </si>
  <si>
    <t xml:space="preserve">3 t copper line set</t>
  </si>
  <si>
    <t xml:space="preserve">No priced ⅜ + ¾ copper line set for 3 t installs; current 3 t kit is a line total. Source and price a ⅜+¾ set.  ► UPDATE 2026-10-21: Standard 3 t line sizes are ⅜ + ⅝ (not ⅜ + ¾). Climahorro ⅜–⅝ copper coil kit $520.26 added as HVC-M15 reference; Fernando Sepúlveda ⅜–⅝ $454; Mirage 4 m kit at HD ~$497–510 is Al/Cu. Still open: confirm all-copper + length, then decide whether to replace the $2,098 line total.</t>
  </si>
  <si>
    <t xml:space="preserve">FIXX-HVC-001 / HVC-M08</t>
  </si>
  <si>
    <t xml:space="preserve">Partly resolved</t>
  </si>
  <si>
    <t xml:space="preserve">brief</t>
  </si>
  <si>
    <t xml:space="preserve">D02</t>
  </si>
  <si>
    <t xml:space="preserve">GE distributors in Monterrey</t>
  </si>
  <si>
    <t xml:space="preserve">Identify GE (THQL) breaker distributors in Monterrey as alternatives to Amazon MX.  ► UPDATE 2026-10-21: Monterrey GE breaker distributors found: Electrocontrol Regiomontano (ERSA) and Main Electric (GE/ABB). No public prices; prices require contacting them (not done).</t>
  </si>
  <si>
    <t xml:space="preserve">ELC-M11, ELC-M13</t>
  </si>
  <si>
    <t xml:space="preserve">D03</t>
  </si>
  <si>
    <t xml:space="preserve">Termite perimeter assumption</t>
  </si>
  <si>
    <t xml:space="preserve">Termite quantities assume a 40 m perimeter; confirm typical home perimeter.  ► UPDATE 2026-10-21: Termidor 25 CE / Brido 200 FW labels: 15 L of mix per 3 linear m (5 L/m) in a 30 cm trench → 200 L mix for 40 m. No source for a typical Apodaca home perimeter; 40 m stays an assumption.</t>
  </si>
  <si>
    <t xml:space="preserve">Open</t>
  </si>
  <si>
    <t xml:space="preserve">D04</t>
  </si>
  <si>
    <t xml:space="preserve">Hand-mix dosage check</t>
  </si>
  <si>
    <t xml:space="preserve">Verify cement/aggregate dosage for 10 m² × 8 cm hand-mixed slab (6 bags + 1,212 aggregates) vs 73 premix bags.  ► UPDATE 2026-10-21: Cemex table for f'c 150, ¾ in gravel: 6 bags (300 kg) cement, 33 botes sand, 35 botes gravel per m³ (18 L botes). For 0.8 m³: 4.8 bags → 6 bags OK with waste; sand ≈0.48 m³, gravel ≈0.50 m³ (use these when itemizing the $1,212 aggregates).</t>
  </si>
  <si>
    <t xml:space="preserve">Resolved</t>
  </si>
  <si>
    <t xml:space="preserve">D05</t>
  </si>
  <si>
    <t xml:space="preserve">Urban herbicide unpriced</t>
  </si>
  <si>
    <t xml:space="preserve">Find a JAR/URB RSCO-labelled herbicide and price it.</t>
  </si>
  <si>
    <t xml:space="preserve">D06</t>
  </si>
  <si>
    <t xml:space="preserve">Trimmer line usage per job</t>
  </si>
  <si>
    <t xml:space="preserve">Confirm line consumption (10 m routine lawn, 25 m weed clearing).</t>
  </si>
  <si>
    <t xml:space="preserve">FIXX-GRD-001/002</t>
  </si>
  <si>
    <t xml:space="preserve">D07</t>
  </si>
  <si>
    <t xml:space="preserve">Tile size default 60×60</t>
  </si>
  <si>
    <t xml:space="preserve">Confirm 60×60 as default tile size for adhesive/grout/spacer quantities.</t>
  </si>
  <si>
    <t xml:space="preserve">D08</t>
  </si>
  <si>
    <t xml:space="preserve">Provisional task IDs</t>
  </si>
  <si>
    <t xml:space="preserve">Task IDs PLM-002…006, ELC-002, ELC-003, PST-002, PST-003 were assigned during the build; confirm numbering.  ► UPDATE 2026-10-21: Final IDs applied; see Task_ID_Map (PNT→PNT-001, FLR-001b→FLR-002, FLR-002→FLR-003, ELC-007→ELC-004, ELC-008→ELC-005).</t>
  </si>
  <si>
    <t xml:space="preserve">Tasks</t>
  </si>
  <si>
    <t xml:space="preserve">added in build</t>
  </si>
  <si>
    <t xml:space="preserve">D09</t>
  </si>
  <si>
    <t xml:space="preserve">Unpriced as-needed items</t>
  </si>
  <si>
    <t xml:space="preserve">Caulk, refrigerant, P-trap, strainers and the pesticide reference products have no price yet.  ► UPDATE 2026-10-21: Caulk/P-trap references found (Comex sealant $136 added as HND-M04; Coflex céspol $67–78 at non-HD sellers) but not yet linked to PNT-M07/PLM-M19; refrigerant and pesticides stay unpriced by rule.</t>
  </si>
  <si>
    <t xml:space="preserve">PNT-M07, HVC-M14, PLM-M19/20, PST-M10–14</t>
  </si>
  <si>
    <t xml:space="preserve">D10</t>
  </si>
  <si>
    <t xml:space="preserve">ELC-007 breaker inclusion</t>
  </si>
  <si>
    <t xml:space="preserve">Unclear whether the $949 / $1,296 circuit totals already include the breaker; GE THQL2130 kept as a separate flagged line.</t>
  </si>
  <si>
    <t xml:space="preserve">D11</t>
  </si>
  <si>
    <t xml:space="preserve">Berel 580 reading</t>
  </si>
  <si>
    <t xml:space="preserve">CON-003 premium read as product 'Berel 580' at $1,105; confirm.</t>
  </si>
  <si>
    <t xml:space="preserve">D12</t>
  </si>
  <si>
    <t xml:space="preserve">Line totals to itemize</t>
  </si>
  <si>
    <t xml:space="preserve">All 'line total, itemize on next check' items (painting, HVAC, plumbing, electrical, pest, moisture film, fabric, tile repair, aggregates).  ► UPDATE 2026-10-21: 2026-10-21 pass: moisture film (budget/standard) and landscape fabric (budget) itemized. Pest, outlet, plumbing and tile-repair kits stay line totals: the workbook does not record their component lists, and splitting them would mean guessing contents.</t>
  </si>
  <si>
    <t xml:space="preserve">Prices</t>
  </si>
  <si>
    <t xml:space="preserve">D13</t>
  </si>
  <si>
    <t xml:space="preserve">Store/URL capture</t>
  </si>
  <si>
    <t xml:space="preserve">No URLs were supplied; every item is marked 'URL to fill on next check'.  ► UPDATE 2026-10-21: URLs captured for all new-category items, the 3 t kit, Labor_Sources and 12 older items (2026-10-21, price-matched). Older items without a price-matched listing still need URLs.</t>
  </si>
  <si>
    <t xml:space="preserve">Prices / Price_History</t>
  </si>
  <si>
    <t xml:space="preserve">D14</t>
  </si>
  <si>
    <t xml:space="preserve">Meaning of '773'</t>
  </si>
  <si>
    <t xml:space="preserve">Resolved: '773' was a typo (confirmed by Eduardo, Oct 21, 2026). No action needed.</t>
  </si>
  <si>
    <t xml:space="preserve">closed v3</t>
  </si>
  <si>
    <t xml:space="preserve">D15</t>
  </si>
  <si>
    <t xml:space="preserve">Customer billing for floor-raised jobs</t>
  </si>
  <si>
    <t xml:space="preserve">Confirmed payout rule: market labor, raised to the trade's ZSMG daily minimum only when below it. CAR-001 ($240 &lt; $363.44) is raised. Customer billing question: how to bill the homeowner when the payout is raised.  ► UPDATE 2026-10-21: Decided by Eduardo, Oct 22, 2026: the homeowner is billed on the raised payout; customer labor = pro payout = MAX(market labor, wage floor) × urgency multiplier at every urgency level (Quote_Builder cols J, L); urgency on top of floor also approved Oct 22, 2026.</t>
  </si>
  <si>
    <t xml:space="preserve">added v3</t>
  </si>
  <si>
    <t xml:space="preserve">D16</t>
  </si>
  <si>
    <t xml:space="preserve">Line-total itemization</t>
  </si>
  <si>
    <t xml:space="preserve">Itemized only where component prices are sourced (new categories, HVAC 3 t option). Pest kits, outlet kits, plumbing kits, landscape fabric, moisture film, tile-repair kits and ELC-007 circuit totals remain line totals.</t>
  </si>
  <si>
    <t xml:space="preserve">D17</t>
  </si>
  <si>
    <t xml:space="preserve">Should the diagnosis fee be credited toward the repair?  ► UPDATE 2026-10-21: Decided by Eduardo, Oct 22, 2026: always credited toward the repair if booked.</t>
  </si>
  <si>
    <t xml:space="preserve">Instant quote spec</t>
  </si>
  <si>
    <t xml:space="preserve">added v7</t>
  </si>
  <si>
    <t xml:space="preserve">D18</t>
  </si>
  <si>
    <t xml:space="preserve">On-site change tolerance</t>
  </si>
  <si>
    <t xml:space="preserve">How large an on-site price change may proceed without re-approval?  ► UPDATE 2026-10-21: Decided by Eduardo, Oct 22, 2026: any change, of any size, needs homeowner in-app approval.</t>
  </si>
  <si>
    <t xml:space="preserve">D19</t>
  </si>
  <si>
    <t xml:space="preserve">Floor per task vs per visit</t>
  </si>
  <si>
    <t xml:space="preserve">Does the wage floor apply per task or per visit day for multi-job visits?  ► UPDATE 2026-10-21: Decided by Eduardo, Oct 22, 2026: per visit day. MAX(Σ market labor, highest trade floor) × urgency, allocated proportionally. Applied in the app (Quote_Builder is single-task).</t>
  </si>
  <si>
    <t xml:space="preserve">D20</t>
  </si>
  <si>
    <t xml:space="preserve">Oct-10 base-line refresh</t>
  </si>
  <si>
    <t xml:space="preserve">Of 35 base-line items last checked 2026-10-10, 33 are line-total kits with no recorded component list (painting paint/consumables, HVAC kits, plumbing kits, electrical kits) and cannot be re-checked against a listing without guessing contents; PLM-M17 Beaquicy hoses has no reliable MXN listing (Amazon.com USD only; a Mercado Libre reseller at $1,702 fails the marketplace rule). Only PLM-M18 was refreshed (substitute, $189). Needs kit component lists to complete.</t>
  </si>
  <si>
    <t xml:space="preserve">added v8</t>
  </si>
  <si>
    <t xml:space="preserve">D21</t>
  </si>
  <si>
    <t xml:space="preserve">Kit itemization assumptions (v9)</t>
  </si>
  <si>
    <t xml:space="preserve">33 kit totals itemized 2026-10-24 with labelled component lists (Tasks notes). Check: (a) RESOLVED 2026-10-24 (approved by Eduardo): Budget paint switched from Berel Kalos-Tone to Comex Durex Master (7–8 m²/L, same 50% derate) so tiers are in order; (b) interconnect cable, drain hose, wire nuts, sandpaper and patching compound are unpriced as-needed; (c) 1–1.5 t line set uses a marketplace kit; (d) 220 V run assumed 10 m, 10 AWG for all tonnages.</t>
  </si>
  <si>
    <t xml:space="preserve">Tasks / Prices</t>
  </si>
  <si>
    <t xml:space="preserve">added v9</t>
  </si>
  <si>
    <t xml:space="preserve">D22</t>
  </si>
  <si>
    <t xml:space="preserve">Cleaning (CLN) assumptions v11</t>
  </si>
  <si>
    <t xml:space="preserve">(a) Market cleaning prices are all-in; labor = market − FIXX Standard kit. (b) 1 pro per visit; hours/8 = job days for the wage floor (Domestic worker / cleaner $342.47, CONASAMI 2026). (c) Size tiers use the Standard chemicals kit; Budget/Premium kits are options (CLNKITS). (d) Kit qty = share of container used; Deep/Move ×1.5, Post-construction ×2, size ×1/1.5/2. (e) Post-construction ref. 60/100/150 m² at $40/m², debris removal excluded. (f) RESOLVED 2026-10-25 (approved by Eduardo): add-on labor oven $250, fridge $200, balcony/patio $250, odor/pet stain $250, recorded as Labor_Rates 'Add-on' rows. (g) Mattresses priced per piece in Labor_Rates, not in Quote_Builder. (h) No bleach or ammonia in any kit. (i) CLN-008 water tank excluded by Eduardo.</t>
  </si>
  <si>
    <t xml:space="preserve">FIXX-CLN-001…007</t>
  </si>
  <si>
    <t xml:space="preserve">added v11</t>
  </si>
  <si>
    <t xml:space="preserve">D23</t>
  </si>
  <si>
    <t xml:space="preserve">Cleaning human review</t>
  </si>
  <si>
    <t xml:space="preserve">Work at height (window cleaning above ground floor) needs NOM-009-STPS human review; mold/biohazard cleanup is out of scope (CLN-F01, CLN-F02 flagged lines).</t>
  </si>
  <si>
    <t xml:space="preserve">FIXX-CLN-002/003/004/007</t>
  </si>
  <si>
    <t xml:space="preserve">D24</t>
  </si>
  <si>
    <t xml:space="preserve">New-category assumptions</t>
  </si>
  <si>
    <t xml:space="preserve">Reference jobs assume: 1 door/3 hinges; ¼ can contact cleaner per appliance visit; 50 m² flat roof; masonry wall for TV mount; 1 plug kit per handyman visit.</t>
  </si>
  <si>
    <t xml:space="preserve">CAR/APL/ROF/HND/LCK</t>
  </si>
  <si>
    <t xml:space="preserve">D25</t>
  </si>
  <si>
    <t xml:space="preserve">Weekly check 2026-10-26 open items</t>
  </si>
  <si>
    <t xml:space="preserve">(a) Stock-outs without swap (online OOS at listed store; Monterrey shelf stock not verifiable): ROF-M01 Fester Imperfácil 19 L (HD $1,175; alt. Ferremobil $1,592.59 in stock), LCK-M02 Phillips Ikal (HD $197; alt. Phillips MX7005 $215 in stock), CLN-K06 Mr Músculo Platinum (Amazon now $51.00 but 'no disponible'; not in quotes). (b) HND-M01 $197 is a promo (regular $397). (c) GRD-M10 Stihl 253 m $564 has no store; Stihl store $800 / Ferrepat $725 seen: adopt a store? (d) ELC-K02 Volteck 'polarized duplex' $37 at ToolTown no longer identifiable (Volteck duplexes $18–69); confirm model. (e) HND-001 Standard labor: Hogarix blog lists tilt mounts 50–65 in at $699–899, the workbook uses $499–699 (Hogarix fixed ≤43 in): confirm which applies. (f) Urgency +30%/+50% citation (hogarix.mx) not found on the current homepage; Hogarix service pages now show fixed surcharges (+$150–300 same day, +$300–500 urgent). Multipliers unchanged.</t>
  </si>
  <si>
    <t xml:space="preserve">Prices / Labor_Rates / Urgency</t>
  </si>
  <si>
    <t xml:space="preserve">added v13</t>
  </si>
  <si>
    <t xml:space="preserve">D26</t>
  </si>
  <si>
    <t xml:space="preserve">Medium urgency multiplier</t>
  </si>
  <si>
    <t xml:space="preserve">1.15 is an assumption with no published source; validate.</t>
  </si>
  <si>
    <t xml:space="preserve">added v2</t>
  </si>
  <si>
    <t xml:space="preserve">D27</t>
  </si>
  <si>
    <t xml:space="preserve">ELC-001 points per job</t>
  </si>
  <si>
    <t xml:space="preserve">Labor is per point; reference job defaulted to 1 point. Confirm points in the ELC-001 kit.</t>
  </si>
  <si>
    <t xml:space="preserve">D28</t>
  </si>
  <si>
    <t xml:space="preserve">Labor quotes needed</t>
  </si>
  <si>
    <t xml:space="preserve">No labor for tile repair (FLR-001b), slab (CON-002: Habitissimo is materials-included) and patio sealing (CON-003).  ► UPDATE 2026-10-21: Proxy/cited rates added: tile repair $500/700/2,500 (proxy), slab labor $180–250/m², patio sealing $65–95/m² (proxy). Confidence Low for proxies.</t>
  </si>
  <si>
    <t xml:space="preserve">Quote_Builder</t>
  </si>
  <si>
    <t xml:space="preserve">D29</t>
  </si>
  <si>
    <t xml:space="preserve">Thin labor sources</t>
  </si>
  <si>
    <t xml:space="preserve">Washer/dryer and termites now have Monterrey sources; hedge has two divergent sources; weed clearing is an hourly assumption; concrete crack repair uses national data.</t>
  </si>
  <si>
    <t xml:space="preserve">Labor_Rates</t>
  </si>
  <si>
    <t xml:space="preserve">D30</t>
  </si>
  <si>
    <t xml:space="preserve">Wage-floor trade mapping</t>
  </si>
  <si>
    <t xml:space="preserve">HVAC mapped to home appliance repairer; floating floor to carpenter (obra negra); pest/gardening to general. Confirm.</t>
  </si>
  <si>
    <t xml:space="preserve">Min_Wage_Floor</t>
  </si>
  <si>
    <t xml:space="preserve">D31</t>
  </si>
  <si>
    <t xml:space="preserve">Labor source attribution</t>
  </si>
  <si>
    <t xml:space="preserve">Per-task attribution of Mas Mantenimiento, Cronoshare, Directorio Empresas, HomePro, Handi, AECO, Kotiza, Prummo; most URLs missing.</t>
  </si>
  <si>
    <t xml:space="preserve">Labor_Sources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</si>
</sst>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.00"/>
    <numFmt numFmtId="166" formatCode="yyyy\-mm\-dd"/>
    <numFmt numFmtId="167" formatCode="0"/>
    <numFmt numFmtId="168" formatCode="0.0%"/>
    <numFmt numFmtId="169" formatCode="0.000"/>
    <numFmt numFmtId="170" formatCode="#,##0.00"/>
    <numFmt numFmtId="171" formatCode="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sz val="11"/>
      <color theme="1"/>
      <name val="Noto Sans CJK SC"/>
      <family val="2"/>
    </font>
    <font>
      <b val="true"/>
      <sz val="13"/>
      <name val="Cambria"/>
      <family val="0"/>
      <charset val="1"/>
    </font>
    <font>
      <b val="true"/>
      <sz val="12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A8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A8"/>
          <bgColor rgb="FF000000"/>
        </patternFill>
      </fill>
    </dxf>
    <dxf>
      <fill>
        <patternFill patternType="solid">
          <fgColor rgb="FFFF9999"/>
          <bgColor rgb="FF000000"/>
        </patternFill>
      </fill>
    </dxf>
    <dxf>
      <fill>
        <patternFill>
          <bgColor rgb="FFFF9999"/>
        </patternFill>
      </fill>
    </dxf>
    <dxf>
      <fill>
        <patternFill>
          <bgColor rgb="FFA9D08E"/>
        </patternFill>
      </fill>
    </dxf>
    <dxf>
      <fill>
        <patternFill>
          <bgColor rgb="FFFFF2A8"/>
        </patternFill>
      </fill>
    </dxf>
    <dxf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08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A8"/>
      <rgbColor rgb="FF99CCFF"/>
      <rgbColor rgb="FFFF9999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46"/>
    <col collapsed="false" customWidth="true" hidden="false" outlineLevel="0" max="4" min="4" style="0" width="40"/>
    <col collapsed="false" customWidth="true" hidden="false" outlineLevel="0" max="5" min="5" style="0" width="30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22"/>
    <col collapsed="false" customWidth="true" hidden="false" outlineLevel="0" max="9" min="9" style="0" width="26"/>
    <col collapsed="false" customWidth="true" hidden="false" outlineLevel="0" max="11" min="10" style="0" width="15"/>
    <col collapsed="false" customWidth="true" hidden="false" outlineLevel="0" max="12" min="12" style="0" width="12"/>
    <col collapsed="false" customWidth="true" hidden="false" outlineLevel="0" max="13" min="13" style="0" width="10"/>
    <col collapsed="false" customWidth="true" hidden="false" outlineLevel="0" max="14" min="14" style="0" width="24"/>
    <col collapsed="false" customWidth="true" hidden="false" outlineLevel="0" max="15" min="15" style="0" width="13"/>
    <col collapsed="false" customWidth="true" hidden="false" outlineLevel="0" max="16" min="16" style="0" width="15"/>
    <col collapsed="false" customWidth="true" hidden="false" outlineLevel="0" max="17" min="17" style="0" width="10"/>
    <col collapsed="false" customWidth="true" hidden="false" outlineLevel="0" max="18" min="18" style="0" width="11"/>
    <col collapsed="false" customWidth="true" hidden="false" outlineLevel="0" max="19" min="19" style="0" width="60"/>
  </cols>
  <sheetData>
    <row r="1" customFormat="false" ht="41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/>
      <c r="H2" s="2"/>
      <c r="I2" s="2" t="s">
        <v>25</v>
      </c>
      <c r="J2" s="3" t="n">
        <f aca="false">IF(L2="","",AVERAGEIFS(PH_Price,PH_ItemID,A2,PH_Date,L2))</f>
        <v>2810</v>
      </c>
      <c r="K2" s="2" t="s">
        <v>26</v>
      </c>
      <c r="L2" s="4" t="n">
        <f aca="false">IF(COUNTIF(PH_ItemID,A2)=0,"",SUMPRODUCT(MAX((PH_ItemID=A2)*PH_Date)))</f>
        <v>46305</v>
      </c>
      <c r="M2" s="5" t="n">
        <f aca="true">IF(ISNUMBER(L2),TODAY()-L2,"")</f>
        <v>16</v>
      </c>
      <c r="N2" s="2" t="s">
        <v>27</v>
      </c>
      <c r="O2" s="4" t="str">
        <f aca="false">IF(L2="","",IF(SUMPRODUCT(MAX((PH_ItemID=A2)*(PH_Date&lt;L2)*PH_Date))=0,"",SUMPRODUCT(MAX((PH_ItemID=A2)*(PH_Date&lt;L2)*PH_Date))))</f>
        <v/>
      </c>
      <c r="P2" s="3" t="str">
        <f aca="false">IF(O2="","",AVERAGEIFS(PH_Price,PH_ItemID,A2,PH_Date,O2))</f>
        <v/>
      </c>
      <c r="Q2" s="6" t="str">
        <f aca="false">IF(OR(J2="",P2=""),"",J2/P2-1)</f>
        <v/>
      </c>
      <c r="R2" s="2" t="str">
        <f aca="false">IF(J2="","unpriced",IF(P2="","new",IF(Q2&gt;0.05,"▲ up",IF(Q2&lt;-0.05,"▼ down","► stable"))))</f>
        <v>new</v>
      </c>
      <c r="S2" s="2" t="s">
        <v>28</v>
      </c>
    </row>
    <row r="3" customFormat="false" ht="15" hidden="false" customHeight="false" outlineLevel="0" collapsed="false">
      <c r="A3" s="2" t="s">
        <v>29</v>
      </c>
      <c r="B3" s="2" t="s">
        <v>20</v>
      </c>
      <c r="C3" s="2" t="s">
        <v>30</v>
      </c>
      <c r="D3" s="2" t="s">
        <v>31</v>
      </c>
      <c r="E3" s="2" t="s">
        <v>23</v>
      </c>
      <c r="F3" s="2" t="s">
        <v>24</v>
      </c>
      <c r="G3" s="2"/>
      <c r="H3" s="2"/>
      <c r="I3" s="2" t="s">
        <v>25</v>
      </c>
      <c r="J3" s="3" t="n">
        <f aca="false">IF(L3="","",AVERAGEIFS(PH_Price,PH_ItemID,A3,PH_Date,L3))</f>
        <v>3585</v>
      </c>
      <c r="K3" s="2" t="s">
        <v>26</v>
      </c>
      <c r="L3" s="4" t="n">
        <f aca="false">IF(COUNTIF(PH_ItemID,A3)=0,"",SUMPRODUCT(MAX((PH_ItemID=A3)*PH_Date)))</f>
        <v>46305</v>
      </c>
      <c r="M3" s="5" t="n">
        <f aca="true">IF(ISNUMBER(L3),TODAY()-L3,"")</f>
        <v>16</v>
      </c>
      <c r="N3" s="2" t="s">
        <v>27</v>
      </c>
      <c r="O3" s="4" t="str">
        <f aca="false">IF(L3="","",IF(SUMPRODUCT(MAX((PH_ItemID=A3)*(PH_Date&lt;L3)*PH_Date))=0,"",SUMPRODUCT(MAX((PH_ItemID=A3)*(PH_Date&lt;L3)*PH_Date))))</f>
        <v/>
      </c>
      <c r="P3" s="3" t="str">
        <f aca="false">IF(O3="","",AVERAGEIFS(PH_Price,PH_ItemID,A3,PH_Date,O3))</f>
        <v/>
      </c>
      <c r="Q3" s="6" t="str">
        <f aca="false">IF(OR(J3="",P3=""),"",J3/P3-1)</f>
        <v/>
      </c>
      <c r="R3" s="2" t="str">
        <f aca="false">IF(J3="","unpriced",IF(P3="","new",IF(Q3&gt;0.05,"▲ up",IF(Q3&lt;-0.05,"▼ down","► stable"))))</f>
        <v>new</v>
      </c>
      <c r="S3" s="2" t="s">
        <v>28</v>
      </c>
    </row>
    <row r="4" customFormat="false" ht="15" hidden="false" customHeight="false" outlineLevel="0" collapsed="false">
      <c r="A4" s="2" t="s">
        <v>32</v>
      </c>
      <c r="B4" s="2" t="s">
        <v>20</v>
      </c>
      <c r="C4" s="2" t="s">
        <v>33</v>
      </c>
      <c r="D4" s="2" t="s">
        <v>22</v>
      </c>
      <c r="E4" s="2" t="s">
        <v>23</v>
      </c>
      <c r="F4" s="2" t="s">
        <v>24</v>
      </c>
      <c r="G4" s="2"/>
      <c r="H4" s="2"/>
      <c r="I4" s="2" t="s">
        <v>25</v>
      </c>
      <c r="J4" s="3" t="n">
        <f aca="false">IF(L4="","",AVERAGEIFS(PH_Price,PH_ItemID,A4,PH_Date,L4))</f>
        <v>5175</v>
      </c>
      <c r="K4" s="2" t="s">
        <v>26</v>
      </c>
      <c r="L4" s="4" t="n">
        <f aca="false">IF(COUNTIF(PH_ItemID,A4)=0,"",SUMPRODUCT(MAX((PH_ItemID=A4)*PH_Date)))</f>
        <v>46305</v>
      </c>
      <c r="M4" s="5" t="n">
        <f aca="true">IF(ISNUMBER(L4),TODAY()-L4,"")</f>
        <v>16</v>
      </c>
      <c r="N4" s="2" t="s">
        <v>27</v>
      </c>
      <c r="O4" s="4" t="str">
        <f aca="false">IF(L4="","",IF(SUMPRODUCT(MAX((PH_ItemID=A4)*(PH_Date&lt;L4)*PH_Date))=0,"",SUMPRODUCT(MAX((PH_ItemID=A4)*(PH_Date&lt;L4)*PH_Date))))</f>
        <v/>
      </c>
      <c r="P4" s="3" t="str">
        <f aca="false">IF(O4="","",AVERAGEIFS(PH_Price,PH_ItemID,A4,PH_Date,O4))</f>
        <v/>
      </c>
      <c r="Q4" s="6" t="str">
        <f aca="false">IF(OR(J4="",P4=""),"",J4/P4-1)</f>
        <v/>
      </c>
      <c r="R4" s="2" t="str">
        <f aca="false">IF(J4="","unpriced",IF(P4="","new",IF(Q4&gt;0.05,"▲ up",IF(Q4&lt;-0.05,"▼ down","► stable"))))</f>
        <v>new</v>
      </c>
      <c r="S4" s="2" t="s">
        <v>28</v>
      </c>
    </row>
    <row r="5" customFormat="false" ht="15" hidden="false" customHeight="false" outlineLevel="0" collapsed="false">
      <c r="A5" s="2" t="s">
        <v>34</v>
      </c>
      <c r="B5" s="2" t="s">
        <v>20</v>
      </c>
      <c r="C5" s="2" t="s">
        <v>35</v>
      </c>
      <c r="D5" s="2" t="s">
        <v>36</v>
      </c>
      <c r="E5" s="2" t="s">
        <v>37</v>
      </c>
      <c r="F5" s="2" t="s">
        <v>24</v>
      </c>
      <c r="G5" s="2"/>
      <c r="H5" s="2"/>
      <c r="I5" s="2" t="s">
        <v>25</v>
      </c>
      <c r="J5" s="3" t="n">
        <f aca="false">IF(L5="","",AVERAGEIFS(PH_Price,PH_ItemID,A5,PH_Date,L5))</f>
        <v>943</v>
      </c>
      <c r="K5" s="2" t="s">
        <v>26</v>
      </c>
      <c r="L5" s="4" t="n">
        <f aca="false">IF(COUNTIF(PH_ItemID,A5)=0,"",SUMPRODUCT(MAX((PH_ItemID=A5)*PH_Date)))</f>
        <v>46305</v>
      </c>
      <c r="M5" s="5" t="n">
        <f aca="true">IF(ISNUMBER(L5),TODAY()-L5,"")</f>
        <v>16</v>
      </c>
      <c r="N5" s="2" t="s">
        <v>27</v>
      </c>
      <c r="O5" s="4" t="str">
        <f aca="false">IF(L5="","",IF(SUMPRODUCT(MAX((PH_ItemID=A5)*(PH_Date&lt;L5)*PH_Date))=0,"",SUMPRODUCT(MAX((PH_ItemID=A5)*(PH_Date&lt;L5)*PH_Date))))</f>
        <v/>
      </c>
      <c r="P5" s="3" t="str">
        <f aca="false">IF(O5="","",AVERAGEIFS(PH_Price,PH_ItemID,A5,PH_Date,O5))</f>
        <v/>
      </c>
      <c r="Q5" s="6" t="str">
        <f aca="false">IF(OR(J5="",P5=""),"",J5/P5-1)</f>
        <v/>
      </c>
      <c r="R5" s="2" t="str">
        <f aca="false">IF(J5="","unpriced",IF(P5="","new",IF(Q5&gt;0.05,"▲ up",IF(Q5&lt;-0.05,"▼ down","► stable"))))</f>
        <v>new</v>
      </c>
      <c r="S5" s="2" t="s">
        <v>38</v>
      </c>
    </row>
    <row r="6" customFormat="false" ht="15" hidden="false" customHeight="false" outlineLevel="0" collapsed="false">
      <c r="A6" s="2" t="s">
        <v>39</v>
      </c>
      <c r="B6" s="2" t="s">
        <v>20</v>
      </c>
      <c r="C6" s="2" t="s">
        <v>40</v>
      </c>
      <c r="D6" s="2" t="s">
        <v>36</v>
      </c>
      <c r="E6" s="2" t="s">
        <v>37</v>
      </c>
      <c r="F6" s="2" t="s">
        <v>24</v>
      </c>
      <c r="G6" s="2"/>
      <c r="H6" s="2"/>
      <c r="I6" s="2" t="s">
        <v>25</v>
      </c>
      <c r="J6" s="3" t="n">
        <f aca="false">IF(L6="","",AVERAGEIFS(PH_Price,PH_ItemID,A6,PH_Date,L6))</f>
        <v>1273</v>
      </c>
      <c r="K6" s="2" t="s">
        <v>26</v>
      </c>
      <c r="L6" s="4" t="n">
        <f aca="false">IF(COUNTIF(PH_ItemID,A6)=0,"",SUMPRODUCT(MAX((PH_ItemID=A6)*PH_Date)))</f>
        <v>46305</v>
      </c>
      <c r="M6" s="5" t="n">
        <f aca="true">IF(ISNUMBER(L6),TODAY()-L6,"")</f>
        <v>16</v>
      </c>
      <c r="N6" s="2" t="s">
        <v>27</v>
      </c>
      <c r="O6" s="4" t="str">
        <f aca="false">IF(L6="","",IF(SUMPRODUCT(MAX((PH_ItemID=A6)*(PH_Date&lt;L6)*PH_Date))=0,"",SUMPRODUCT(MAX((PH_ItemID=A6)*(PH_Date&lt;L6)*PH_Date))))</f>
        <v/>
      </c>
      <c r="P6" s="3" t="str">
        <f aca="false">IF(O6="","",AVERAGEIFS(PH_Price,PH_ItemID,A6,PH_Date,O6))</f>
        <v/>
      </c>
      <c r="Q6" s="6" t="str">
        <f aca="false">IF(OR(J6="",P6=""),"",J6/P6-1)</f>
        <v/>
      </c>
      <c r="R6" s="2" t="str">
        <f aca="false">IF(J6="","unpriced",IF(P6="","new",IF(Q6&gt;0.05,"▲ up",IF(Q6&lt;-0.05,"▼ down","► stable"))))</f>
        <v>new</v>
      </c>
      <c r="S6" s="2" t="s">
        <v>41</v>
      </c>
    </row>
    <row r="7" customFormat="false" ht="15" hidden="false" customHeight="false" outlineLevel="0" collapsed="false">
      <c r="A7" s="2" t="s">
        <v>42</v>
      </c>
      <c r="B7" s="2" t="s">
        <v>20</v>
      </c>
      <c r="C7" s="2" t="s">
        <v>43</v>
      </c>
      <c r="D7" s="2" t="s">
        <v>36</v>
      </c>
      <c r="E7" s="2" t="s">
        <v>37</v>
      </c>
      <c r="F7" s="2" t="s">
        <v>24</v>
      </c>
      <c r="G7" s="2"/>
      <c r="H7" s="2"/>
      <c r="I7" s="2" t="s">
        <v>25</v>
      </c>
      <c r="J7" s="3" t="n">
        <f aca="false">IF(L7="","",AVERAGEIFS(PH_Price,PH_ItemID,A7,PH_Date,L7))</f>
        <v>1559</v>
      </c>
      <c r="K7" s="2" t="s">
        <v>26</v>
      </c>
      <c r="L7" s="4" t="n">
        <f aca="false">IF(COUNTIF(PH_ItemID,A7)=0,"",SUMPRODUCT(MAX((PH_ItemID=A7)*PH_Date)))</f>
        <v>46305</v>
      </c>
      <c r="M7" s="5" t="n">
        <f aca="true">IF(ISNUMBER(L7),TODAY()-L7,"")</f>
        <v>16</v>
      </c>
      <c r="N7" s="2" t="s">
        <v>27</v>
      </c>
      <c r="O7" s="4" t="str">
        <f aca="false">IF(L7="","",IF(SUMPRODUCT(MAX((PH_ItemID=A7)*(PH_Date&lt;L7)*PH_Date))=0,"",SUMPRODUCT(MAX((PH_ItemID=A7)*(PH_Date&lt;L7)*PH_Date))))</f>
        <v/>
      </c>
      <c r="P7" s="3" t="str">
        <f aca="false">IF(O7="","",AVERAGEIFS(PH_Price,PH_ItemID,A7,PH_Date,O7))</f>
        <v/>
      </c>
      <c r="Q7" s="6" t="str">
        <f aca="false">IF(OR(J7="",P7=""),"",J7/P7-1)</f>
        <v/>
      </c>
      <c r="R7" s="2" t="str">
        <f aca="false">IF(J7="","unpriced",IF(P7="","new",IF(Q7&gt;0.05,"▲ up",IF(Q7&lt;-0.05,"▼ down","► stable"))))</f>
        <v>new</v>
      </c>
      <c r="S7" s="2" t="s">
        <v>44</v>
      </c>
    </row>
    <row r="8" customFormat="false" ht="15" hidden="false" customHeight="false" outlineLevel="0" collapsed="false">
      <c r="A8" s="2" t="s">
        <v>45</v>
      </c>
      <c r="B8" s="2" t="s">
        <v>20</v>
      </c>
      <c r="C8" s="2" t="s">
        <v>46</v>
      </c>
      <c r="D8" s="2" t="s">
        <v>47</v>
      </c>
      <c r="E8" s="2" t="s">
        <v>48</v>
      </c>
      <c r="F8" s="2" t="s">
        <v>49</v>
      </c>
      <c r="G8" s="2"/>
      <c r="H8" s="2"/>
      <c r="I8" s="2" t="s">
        <v>25</v>
      </c>
      <c r="J8" s="3" t="str">
        <f aca="false">IF(L8="","",AVERAGEIFS(PH_Price,PH_ItemID,A8,PH_Date,L8))</f>
        <v/>
      </c>
      <c r="K8" s="2" t="s">
        <v>26</v>
      </c>
      <c r="L8" s="4" t="str">
        <f aca="false">IF(COUNTIF(PH_ItemID,A8)=0,"",SUMPRODUCT(MAX((PH_ItemID=A8)*PH_Date)))</f>
        <v/>
      </c>
      <c r="M8" s="5" t="str">
        <f aca="true">IF(ISNUMBER(L8),TODAY()-L8,"")</f>
        <v/>
      </c>
      <c r="N8" s="2" t="s">
        <v>27</v>
      </c>
      <c r="O8" s="4" t="str">
        <f aca="false">IF(L8="","",IF(SUMPRODUCT(MAX((PH_ItemID=A8)*(PH_Date&lt;L8)*PH_Date))=0,"",SUMPRODUCT(MAX((PH_ItemID=A8)*(PH_Date&lt;L8)*PH_Date))))</f>
        <v/>
      </c>
      <c r="P8" s="3" t="str">
        <f aca="false">IF(O8="","",AVERAGEIFS(PH_Price,PH_ItemID,A8,PH_Date,O8))</f>
        <v/>
      </c>
      <c r="Q8" s="6" t="str">
        <f aca="false">IF(OR(J8="",P8=""),"",J8/P8-1)</f>
        <v/>
      </c>
      <c r="R8" s="2" t="str">
        <f aca="false">IF(J8="","unpriced",IF(P8="","new",IF(Q8&gt;0.05,"▲ up",IF(Q8&lt;-0.05,"▼ down","► stable"))))</f>
        <v>unpriced</v>
      </c>
      <c r="S8" s="2" t="s">
        <v>50</v>
      </c>
    </row>
    <row r="9" customFormat="false" ht="15" hidden="false" customHeight="false" outlineLevel="0" collapsed="false">
      <c r="A9" s="2" t="s">
        <v>51</v>
      </c>
      <c r="B9" s="2" t="s">
        <v>52</v>
      </c>
      <c r="C9" s="2" t="s">
        <v>53</v>
      </c>
      <c r="D9" s="2" t="s">
        <v>54</v>
      </c>
      <c r="E9" s="2" t="s">
        <v>55</v>
      </c>
      <c r="F9" s="2" t="s">
        <v>24</v>
      </c>
      <c r="G9" s="2"/>
      <c r="H9" s="2"/>
      <c r="I9" s="2" t="s">
        <v>25</v>
      </c>
      <c r="J9" s="3" t="n">
        <f aca="false">IF(L9="","",AVERAGEIFS(PH_Price,PH_ItemID,A9,PH_Date,L9))</f>
        <v>237</v>
      </c>
      <c r="K9" s="2" t="s">
        <v>26</v>
      </c>
      <c r="L9" s="4" t="n">
        <f aca="false">IF(COUNTIF(PH_ItemID,A9)=0,"",SUMPRODUCT(MAX((PH_ItemID=A9)*PH_Date)))</f>
        <v>46305</v>
      </c>
      <c r="M9" s="5" t="n">
        <f aca="true">IF(ISNUMBER(L9),TODAY()-L9,"")</f>
        <v>16</v>
      </c>
      <c r="N9" s="2" t="s">
        <v>27</v>
      </c>
      <c r="O9" s="4" t="str">
        <f aca="false">IF(L9="","",IF(SUMPRODUCT(MAX((PH_ItemID=A9)*(PH_Date&lt;L9)*PH_Date))=0,"",SUMPRODUCT(MAX((PH_ItemID=A9)*(PH_Date&lt;L9)*PH_Date))))</f>
        <v/>
      </c>
      <c r="P9" s="3" t="str">
        <f aca="false">IF(O9="","",AVERAGEIFS(PH_Price,PH_ItemID,A9,PH_Date,O9))</f>
        <v/>
      </c>
      <c r="Q9" s="6" t="str">
        <f aca="false">IF(OR(J9="",P9=""),"",J9/P9-1)</f>
        <v/>
      </c>
      <c r="R9" s="2" t="str">
        <f aca="false">IF(J9="","unpriced",IF(P9="","new",IF(Q9&gt;0.05,"▲ up",IF(Q9&lt;-0.05,"▼ down","► stable"))))</f>
        <v>new</v>
      </c>
      <c r="S9" s="2" t="s">
        <v>28</v>
      </c>
    </row>
    <row r="10" customFormat="false" ht="15" hidden="false" customHeight="false" outlineLevel="0" collapsed="false">
      <c r="A10" s="2" t="s">
        <v>56</v>
      </c>
      <c r="B10" s="2" t="s">
        <v>52</v>
      </c>
      <c r="C10" s="2" t="s">
        <v>57</v>
      </c>
      <c r="D10" s="2" t="s">
        <v>54</v>
      </c>
      <c r="E10" s="2" t="s">
        <v>58</v>
      </c>
      <c r="F10" s="2" t="s">
        <v>24</v>
      </c>
      <c r="G10" s="2"/>
      <c r="H10" s="2"/>
      <c r="I10" s="2" t="s">
        <v>25</v>
      </c>
      <c r="J10" s="3" t="n">
        <f aca="false">IF(L10="","",AVERAGEIFS(PH_Price,PH_ItemID,A10,PH_Date,L10))</f>
        <v>246</v>
      </c>
      <c r="K10" s="2" t="s">
        <v>26</v>
      </c>
      <c r="L10" s="4" t="n">
        <f aca="false">IF(COUNTIF(PH_ItemID,A10)=0,"",SUMPRODUCT(MAX((PH_ItemID=A10)*PH_Date)))</f>
        <v>46305</v>
      </c>
      <c r="M10" s="5" t="n">
        <f aca="true">IF(ISNUMBER(L10),TODAY()-L10,"")</f>
        <v>16</v>
      </c>
      <c r="N10" s="2" t="s">
        <v>27</v>
      </c>
      <c r="O10" s="4" t="str">
        <f aca="false">IF(L10="","",IF(SUMPRODUCT(MAX((PH_ItemID=A10)*(PH_Date&lt;L10)*PH_Date))=0,"",SUMPRODUCT(MAX((PH_ItemID=A10)*(PH_Date&lt;L10)*PH_Date))))</f>
        <v/>
      </c>
      <c r="P10" s="3" t="str">
        <f aca="false">IF(O10="","",AVERAGEIFS(PH_Price,PH_ItemID,A10,PH_Date,O10))</f>
        <v/>
      </c>
      <c r="Q10" s="6" t="str">
        <f aca="false">IF(OR(J10="",P10=""),"",J10/P10-1)</f>
        <v/>
      </c>
      <c r="R10" s="2" t="str">
        <f aca="false">IF(J10="","unpriced",IF(P10="","new",IF(Q10&gt;0.05,"▲ up",IF(Q10&lt;-0.05,"▼ down","► stable"))))</f>
        <v>new</v>
      </c>
      <c r="S10" s="2" t="s">
        <v>28</v>
      </c>
    </row>
    <row r="11" customFormat="false" ht="15" hidden="false" customHeight="false" outlineLevel="0" collapsed="false">
      <c r="A11" s="2" t="s">
        <v>59</v>
      </c>
      <c r="B11" s="2" t="s">
        <v>52</v>
      </c>
      <c r="C11" s="2" t="s">
        <v>60</v>
      </c>
      <c r="D11" s="2" t="s">
        <v>54</v>
      </c>
      <c r="E11" s="2" t="s">
        <v>61</v>
      </c>
      <c r="F11" s="2" t="s">
        <v>24</v>
      </c>
      <c r="G11" s="2"/>
      <c r="H11" s="2"/>
      <c r="I11" s="2" t="s">
        <v>25</v>
      </c>
      <c r="J11" s="3" t="n">
        <f aca="false">IF(L11="","",AVERAGEIFS(PH_Price,PH_ItemID,A11,PH_Date,L11))</f>
        <v>421</v>
      </c>
      <c r="K11" s="2" t="s">
        <v>26</v>
      </c>
      <c r="L11" s="4" t="n">
        <f aca="false">IF(COUNTIF(PH_ItemID,A11)=0,"",SUMPRODUCT(MAX((PH_ItemID=A11)*PH_Date)))</f>
        <v>46305</v>
      </c>
      <c r="M11" s="5" t="n">
        <f aca="true">IF(ISNUMBER(L11),TODAY()-L11,"")</f>
        <v>16</v>
      </c>
      <c r="N11" s="2" t="s">
        <v>27</v>
      </c>
      <c r="O11" s="4" t="str">
        <f aca="false">IF(L11="","",IF(SUMPRODUCT(MAX((PH_ItemID=A11)*(PH_Date&lt;L11)*PH_Date))=0,"",SUMPRODUCT(MAX((PH_ItemID=A11)*(PH_Date&lt;L11)*PH_Date))))</f>
        <v/>
      </c>
      <c r="P11" s="3" t="str">
        <f aca="false">IF(O11="","",AVERAGEIFS(PH_Price,PH_ItemID,A11,PH_Date,O11))</f>
        <v/>
      </c>
      <c r="Q11" s="6" t="str">
        <f aca="false">IF(OR(J11="",P11=""),"",J11/P11-1)</f>
        <v/>
      </c>
      <c r="R11" s="2" t="str">
        <f aca="false">IF(J11="","unpriced",IF(P11="","new",IF(Q11&gt;0.05,"▲ up",IF(Q11&lt;-0.05,"▼ down","► stable"))))</f>
        <v>new</v>
      </c>
      <c r="S11" s="2" t="s">
        <v>28</v>
      </c>
    </row>
    <row r="12" customFormat="false" ht="15" hidden="false" customHeight="false" outlineLevel="0" collapsed="false">
      <c r="A12" s="2" t="s">
        <v>62</v>
      </c>
      <c r="B12" s="2" t="s">
        <v>52</v>
      </c>
      <c r="C12" s="2" t="s">
        <v>63</v>
      </c>
      <c r="D12" s="2" t="s">
        <v>54</v>
      </c>
      <c r="E12" s="2" t="s">
        <v>64</v>
      </c>
      <c r="F12" s="2" t="s">
        <v>24</v>
      </c>
      <c r="G12" s="2"/>
      <c r="H12" s="2"/>
      <c r="I12" s="2" t="s">
        <v>25</v>
      </c>
      <c r="J12" s="3" t="n">
        <f aca="false">IF(L12="","",AVERAGEIFS(PH_Price,PH_ItemID,A12,PH_Date,L12))</f>
        <v>439</v>
      </c>
      <c r="K12" s="2" t="s">
        <v>26</v>
      </c>
      <c r="L12" s="4" t="n">
        <f aca="false">IF(COUNTIF(PH_ItemID,A12)=0,"",SUMPRODUCT(MAX((PH_ItemID=A12)*PH_Date)))</f>
        <v>46305</v>
      </c>
      <c r="M12" s="5" t="n">
        <f aca="true">IF(ISNUMBER(L12),TODAY()-L12,"")</f>
        <v>16</v>
      </c>
      <c r="N12" s="2" t="s">
        <v>27</v>
      </c>
      <c r="O12" s="4" t="str">
        <f aca="false">IF(L12="","",IF(SUMPRODUCT(MAX((PH_ItemID=A12)*(PH_Date&lt;L12)*PH_Date))=0,"",SUMPRODUCT(MAX((PH_ItemID=A12)*(PH_Date&lt;L12)*PH_Date))))</f>
        <v/>
      </c>
      <c r="P12" s="3" t="str">
        <f aca="false">IF(O12="","",AVERAGEIFS(PH_Price,PH_ItemID,A12,PH_Date,O12))</f>
        <v/>
      </c>
      <c r="Q12" s="6" t="str">
        <f aca="false">IF(OR(J12="",P12=""),"",J12/P12-1)</f>
        <v/>
      </c>
      <c r="R12" s="2" t="str">
        <f aca="false">IF(J12="","unpriced",IF(P12="","new",IF(Q12&gt;0.05,"▲ up",IF(Q12&lt;-0.05,"▼ down","► stable"))))</f>
        <v>new</v>
      </c>
      <c r="S12" s="2" t="s">
        <v>28</v>
      </c>
    </row>
    <row r="13" customFormat="false" ht="15" hidden="false" customHeight="false" outlineLevel="0" collapsed="false">
      <c r="A13" s="2" t="s">
        <v>65</v>
      </c>
      <c r="B13" s="2" t="s">
        <v>52</v>
      </c>
      <c r="C13" s="2" t="s">
        <v>66</v>
      </c>
      <c r="D13" s="2" t="s">
        <v>67</v>
      </c>
      <c r="E13" s="2" t="s">
        <v>68</v>
      </c>
      <c r="F13" s="2" t="s">
        <v>24</v>
      </c>
      <c r="G13" s="2"/>
      <c r="H13" s="2"/>
      <c r="I13" s="2" t="s">
        <v>25</v>
      </c>
      <c r="J13" s="3" t="n">
        <f aca="false">IF(L13="","",AVERAGEIFS(PH_Price,PH_ItemID,A13,PH_Date,L13))</f>
        <v>1600</v>
      </c>
      <c r="K13" s="2" t="s">
        <v>26</v>
      </c>
      <c r="L13" s="4" t="n">
        <f aca="false">IF(COUNTIF(PH_ItemID,A13)=0,"",SUMPRODUCT(MAX((PH_ItemID=A13)*PH_Date)))</f>
        <v>46305</v>
      </c>
      <c r="M13" s="5" t="n">
        <f aca="true">IF(ISNUMBER(L13),TODAY()-L13,"")</f>
        <v>16</v>
      </c>
      <c r="N13" s="2" t="s">
        <v>27</v>
      </c>
      <c r="O13" s="4" t="str">
        <f aca="false">IF(L13="","",IF(SUMPRODUCT(MAX((PH_ItemID=A13)*(PH_Date&lt;L13)*PH_Date))=0,"",SUMPRODUCT(MAX((PH_ItemID=A13)*(PH_Date&lt;L13)*PH_Date))))</f>
        <v/>
      </c>
      <c r="P13" s="3" t="str">
        <f aca="false">IF(O13="","",AVERAGEIFS(PH_Price,PH_ItemID,A13,PH_Date,O13))</f>
        <v/>
      </c>
      <c r="Q13" s="6" t="str">
        <f aca="false">IF(OR(J13="",P13=""),"",J13/P13-1)</f>
        <v/>
      </c>
      <c r="R13" s="2" t="str">
        <f aca="false">IF(J13="","unpriced",IF(P13="","new",IF(Q13&gt;0.05,"▲ up",IF(Q13&lt;-0.05,"▼ down","► stable"))))</f>
        <v>new</v>
      </c>
      <c r="S13" s="2" t="s">
        <v>28</v>
      </c>
    </row>
    <row r="14" customFormat="false" ht="15" hidden="false" customHeight="false" outlineLevel="0" collapsed="false">
      <c r="A14" s="2" t="s">
        <v>69</v>
      </c>
      <c r="B14" s="2" t="s">
        <v>52</v>
      </c>
      <c r="C14" s="2" t="s">
        <v>70</v>
      </c>
      <c r="D14" s="2" t="s">
        <v>67</v>
      </c>
      <c r="E14" s="2" t="s">
        <v>71</v>
      </c>
      <c r="F14" s="2" t="s">
        <v>24</v>
      </c>
      <c r="G14" s="2"/>
      <c r="H14" s="2"/>
      <c r="I14" s="2" t="s">
        <v>25</v>
      </c>
      <c r="J14" s="3" t="n">
        <f aca="false">IF(L14="","",AVERAGEIFS(PH_Price,PH_ItemID,A14,PH_Date,L14))</f>
        <v>1700</v>
      </c>
      <c r="K14" s="2" t="s">
        <v>26</v>
      </c>
      <c r="L14" s="4" t="n">
        <f aca="false">IF(COUNTIF(PH_ItemID,A14)=0,"",SUMPRODUCT(MAX((PH_ItemID=A14)*PH_Date)))</f>
        <v>46305</v>
      </c>
      <c r="M14" s="5" t="n">
        <f aca="true">IF(ISNUMBER(L14),TODAY()-L14,"")</f>
        <v>16</v>
      </c>
      <c r="N14" s="2" t="s">
        <v>27</v>
      </c>
      <c r="O14" s="4" t="str">
        <f aca="false">IF(L14="","",IF(SUMPRODUCT(MAX((PH_ItemID=A14)*(PH_Date&lt;L14)*PH_Date))=0,"",SUMPRODUCT(MAX((PH_ItemID=A14)*(PH_Date&lt;L14)*PH_Date))))</f>
        <v/>
      </c>
      <c r="P14" s="3" t="str">
        <f aca="false">IF(O14="","",AVERAGEIFS(PH_Price,PH_ItemID,A14,PH_Date,O14))</f>
        <v/>
      </c>
      <c r="Q14" s="6" t="str">
        <f aca="false">IF(OR(J14="",P14=""),"",J14/P14-1)</f>
        <v/>
      </c>
      <c r="R14" s="2" t="str">
        <f aca="false">IF(J14="","unpriced",IF(P14="","new",IF(Q14&gt;0.05,"▲ up",IF(Q14&lt;-0.05,"▼ down","► stable"))))</f>
        <v>new</v>
      </c>
      <c r="S14" s="2" t="s">
        <v>28</v>
      </c>
    </row>
    <row r="15" customFormat="false" ht="15" hidden="false" customHeight="false" outlineLevel="0" collapsed="false">
      <c r="A15" s="2" t="s">
        <v>72</v>
      </c>
      <c r="B15" s="2" t="s">
        <v>52</v>
      </c>
      <c r="C15" s="2" t="s">
        <v>73</v>
      </c>
      <c r="D15" s="2" t="s">
        <v>67</v>
      </c>
      <c r="E15" s="2" t="s">
        <v>74</v>
      </c>
      <c r="F15" s="2" t="s">
        <v>24</v>
      </c>
      <c r="G15" s="2"/>
      <c r="H15" s="2"/>
      <c r="I15" s="2" t="s">
        <v>25</v>
      </c>
      <c r="J15" s="3" t="n">
        <f aca="false">IF(L15="","",AVERAGEIFS(PH_Price,PH_ItemID,A15,PH_Date,L15))</f>
        <v>1739</v>
      </c>
      <c r="K15" s="2" t="s">
        <v>26</v>
      </c>
      <c r="L15" s="4" t="n">
        <f aca="false">IF(COUNTIF(PH_ItemID,A15)=0,"",SUMPRODUCT(MAX((PH_ItemID=A15)*PH_Date)))</f>
        <v>46305</v>
      </c>
      <c r="M15" s="5" t="n">
        <f aca="true">IF(ISNUMBER(L15),TODAY()-L15,"")</f>
        <v>16</v>
      </c>
      <c r="N15" s="2" t="s">
        <v>27</v>
      </c>
      <c r="O15" s="4" t="str">
        <f aca="false">IF(L15="","",IF(SUMPRODUCT(MAX((PH_ItemID=A15)*(PH_Date&lt;L15)*PH_Date))=0,"",SUMPRODUCT(MAX((PH_ItemID=A15)*(PH_Date&lt;L15)*PH_Date))))</f>
        <v/>
      </c>
      <c r="P15" s="3" t="str">
        <f aca="false">IF(O15="","",AVERAGEIFS(PH_Price,PH_ItemID,A15,PH_Date,O15))</f>
        <v/>
      </c>
      <c r="Q15" s="6" t="str">
        <f aca="false">IF(OR(J15="",P15=""),"",J15/P15-1)</f>
        <v/>
      </c>
      <c r="R15" s="2" t="str">
        <f aca="false">IF(J15="","unpriced",IF(P15="","new",IF(Q15&gt;0.05,"▲ up",IF(Q15&lt;-0.05,"▼ down","► stable"))))</f>
        <v>new</v>
      </c>
      <c r="S15" s="2" t="s">
        <v>28</v>
      </c>
    </row>
    <row r="16" customFormat="false" ht="15" hidden="false" customHeight="false" outlineLevel="0" collapsed="false">
      <c r="A16" s="2" t="s">
        <v>75</v>
      </c>
      <c r="B16" s="2" t="s">
        <v>52</v>
      </c>
      <c r="C16" s="2" t="s">
        <v>76</v>
      </c>
      <c r="D16" s="2" t="s">
        <v>67</v>
      </c>
      <c r="E16" s="2" t="s">
        <v>77</v>
      </c>
      <c r="F16" s="2" t="s">
        <v>24</v>
      </c>
      <c r="G16" s="2"/>
      <c r="H16" s="2"/>
      <c r="I16" s="2" t="s">
        <v>25</v>
      </c>
      <c r="J16" s="3" t="n">
        <f aca="false">IF(L16="","",AVERAGEIFS(PH_Price,PH_ItemID,A16,PH_Date,L16))</f>
        <v>2098</v>
      </c>
      <c r="K16" s="2" t="s">
        <v>26</v>
      </c>
      <c r="L16" s="4" t="n">
        <f aca="false">IF(COUNTIF(PH_ItemID,A16)=0,"",SUMPRODUCT(MAX((PH_ItemID=A16)*PH_Date)))</f>
        <v>46305</v>
      </c>
      <c r="M16" s="5" t="n">
        <f aca="true">IF(ISNUMBER(L16),TODAY()-L16,"")</f>
        <v>16</v>
      </c>
      <c r="N16" s="2" t="s">
        <v>27</v>
      </c>
      <c r="O16" s="4" t="str">
        <f aca="false">IF(L16="","",IF(SUMPRODUCT(MAX((PH_ItemID=A16)*(PH_Date&lt;L16)*PH_Date))=0,"",SUMPRODUCT(MAX((PH_ItemID=A16)*(PH_Date&lt;L16)*PH_Date))))</f>
        <v/>
      </c>
      <c r="P16" s="3" t="str">
        <f aca="false">IF(O16="","",AVERAGEIFS(PH_Price,PH_ItemID,A16,PH_Date,O16))</f>
        <v/>
      </c>
      <c r="Q16" s="6" t="str">
        <f aca="false">IF(OR(J16="",P16=""),"",J16/P16-1)</f>
        <v/>
      </c>
      <c r="R16" s="2" t="str">
        <f aca="false">IF(J16="","unpriced",IF(P16="","new",IF(Q16&gt;0.05,"▲ up",IF(Q16&lt;-0.05,"▼ down","► stable"))))</f>
        <v>new</v>
      </c>
      <c r="S16" s="2" t="s">
        <v>28</v>
      </c>
    </row>
    <row r="17" customFormat="false" ht="15" hidden="false" customHeight="false" outlineLevel="0" collapsed="false">
      <c r="A17" s="2" t="s">
        <v>78</v>
      </c>
      <c r="B17" s="2" t="s">
        <v>52</v>
      </c>
      <c r="C17" s="2" t="s">
        <v>79</v>
      </c>
      <c r="D17" s="2" t="s">
        <v>80</v>
      </c>
      <c r="E17" s="2" t="s">
        <v>55</v>
      </c>
      <c r="F17" s="2" t="s">
        <v>81</v>
      </c>
      <c r="G17" s="2"/>
      <c r="H17" s="2"/>
      <c r="I17" s="2" t="s">
        <v>25</v>
      </c>
      <c r="J17" s="3" t="n">
        <f aca="false">IF(L17="","",AVERAGEIFS(PH_Price,PH_ItemID,A17,PH_Date,L17))</f>
        <v>196</v>
      </c>
      <c r="K17" s="2" t="s">
        <v>26</v>
      </c>
      <c r="L17" s="4" t="n">
        <f aca="false">IF(COUNTIF(PH_ItemID,A17)=0,"",SUMPRODUCT(MAX((PH_ItemID=A17)*PH_Date)))</f>
        <v>46305</v>
      </c>
      <c r="M17" s="5" t="n">
        <f aca="true">IF(ISNUMBER(L17),TODAY()-L17,"")</f>
        <v>16</v>
      </c>
      <c r="N17" s="2" t="s">
        <v>27</v>
      </c>
      <c r="O17" s="4" t="str">
        <f aca="false">IF(L17="","",IF(SUMPRODUCT(MAX((PH_ItemID=A17)*(PH_Date&lt;L17)*PH_Date))=0,"",SUMPRODUCT(MAX((PH_ItemID=A17)*(PH_Date&lt;L17)*PH_Date))))</f>
        <v/>
      </c>
      <c r="P17" s="3" t="str">
        <f aca="false">IF(O17="","",AVERAGEIFS(PH_Price,PH_ItemID,A17,PH_Date,O17))</f>
        <v/>
      </c>
      <c r="Q17" s="6" t="str">
        <f aca="false">IF(OR(J17="",P17=""),"",J17/P17-1)</f>
        <v/>
      </c>
      <c r="R17" s="2" t="str">
        <f aca="false">IF(J17="","unpriced",IF(P17="","new",IF(Q17&gt;0.05,"▲ up",IF(Q17&lt;-0.05,"▼ down","► stable"))))</f>
        <v>new</v>
      </c>
      <c r="S17" s="2" t="s">
        <v>82</v>
      </c>
    </row>
    <row r="18" customFormat="false" ht="15" hidden="false" customHeight="false" outlineLevel="0" collapsed="false">
      <c r="A18" s="2" t="s">
        <v>83</v>
      </c>
      <c r="B18" s="2" t="s">
        <v>52</v>
      </c>
      <c r="C18" s="2" t="s">
        <v>84</v>
      </c>
      <c r="D18" s="2" t="s">
        <v>80</v>
      </c>
      <c r="E18" s="2" t="s">
        <v>58</v>
      </c>
      <c r="F18" s="2" t="s">
        <v>81</v>
      </c>
      <c r="G18" s="2"/>
      <c r="H18" s="2"/>
      <c r="I18" s="2" t="s">
        <v>25</v>
      </c>
      <c r="J18" s="3" t="n">
        <f aca="false">IF(L18="","",AVERAGEIFS(PH_Price,PH_ItemID,A18,PH_Date,L18))</f>
        <v>221</v>
      </c>
      <c r="K18" s="2" t="s">
        <v>26</v>
      </c>
      <c r="L18" s="4" t="n">
        <f aca="false">IF(COUNTIF(PH_ItemID,A18)=0,"",SUMPRODUCT(MAX((PH_ItemID=A18)*PH_Date)))</f>
        <v>46305</v>
      </c>
      <c r="M18" s="5" t="n">
        <f aca="true">IF(ISNUMBER(L18),TODAY()-L18,"")</f>
        <v>16</v>
      </c>
      <c r="N18" s="2" t="s">
        <v>27</v>
      </c>
      <c r="O18" s="4" t="str">
        <f aca="false">IF(L18="","",IF(SUMPRODUCT(MAX((PH_ItemID=A18)*(PH_Date&lt;L18)*PH_Date))=0,"",SUMPRODUCT(MAX((PH_ItemID=A18)*(PH_Date&lt;L18)*PH_Date))))</f>
        <v/>
      </c>
      <c r="P18" s="3" t="str">
        <f aca="false">IF(O18="","",AVERAGEIFS(PH_Price,PH_ItemID,A18,PH_Date,O18))</f>
        <v/>
      </c>
      <c r="Q18" s="6" t="str">
        <f aca="false">IF(OR(J18="",P18=""),"",J18/P18-1)</f>
        <v/>
      </c>
      <c r="R18" s="2" t="str">
        <f aca="false">IF(J18="","unpriced",IF(P18="","new",IF(Q18&gt;0.05,"▲ up",IF(Q18&lt;-0.05,"▼ down","► stable"))))</f>
        <v>new</v>
      </c>
      <c r="S18" s="2" t="s">
        <v>82</v>
      </c>
    </row>
    <row r="19" customFormat="false" ht="15" hidden="false" customHeight="false" outlineLevel="0" collapsed="false">
      <c r="A19" s="2" t="s">
        <v>85</v>
      </c>
      <c r="B19" s="2" t="s">
        <v>52</v>
      </c>
      <c r="C19" s="2" t="s">
        <v>86</v>
      </c>
      <c r="D19" s="2" t="s">
        <v>80</v>
      </c>
      <c r="E19" s="2" t="s">
        <v>61</v>
      </c>
      <c r="F19" s="2" t="s">
        <v>81</v>
      </c>
      <c r="G19" s="2"/>
      <c r="H19" s="2"/>
      <c r="I19" s="2" t="s">
        <v>25</v>
      </c>
      <c r="J19" s="3" t="n">
        <f aca="false">IF(L19="","",AVERAGEIFS(PH_Price,PH_ItemID,A19,PH_Date,L19))</f>
        <v>280</v>
      </c>
      <c r="K19" s="2" t="s">
        <v>26</v>
      </c>
      <c r="L19" s="4" t="n">
        <f aca="false">IF(COUNTIF(PH_ItemID,A19)=0,"",SUMPRODUCT(MAX((PH_ItemID=A19)*PH_Date)))</f>
        <v>46305</v>
      </c>
      <c r="M19" s="5" t="n">
        <f aca="true">IF(ISNUMBER(L19),TODAY()-L19,"")</f>
        <v>16</v>
      </c>
      <c r="N19" s="2" t="s">
        <v>27</v>
      </c>
      <c r="O19" s="4" t="str">
        <f aca="false">IF(L19="","",IF(SUMPRODUCT(MAX((PH_ItemID=A19)*(PH_Date&lt;L19)*PH_Date))=0,"",SUMPRODUCT(MAX((PH_ItemID=A19)*(PH_Date&lt;L19)*PH_Date))))</f>
        <v/>
      </c>
      <c r="P19" s="3" t="str">
        <f aca="false">IF(O19="","",AVERAGEIFS(PH_Price,PH_ItemID,A19,PH_Date,O19))</f>
        <v/>
      </c>
      <c r="Q19" s="6" t="str">
        <f aca="false">IF(OR(J19="",P19=""),"",J19/P19-1)</f>
        <v/>
      </c>
      <c r="R19" s="2" t="str">
        <f aca="false">IF(J19="","unpriced",IF(P19="","new",IF(Q19&gt;0.05,"▲ up",IF(Q19&lt;-0.05,"▼ down","► stable"))))</f>
        <v>new</v>
      </c>
      <c r="S19" s="2" t="s">
        <v>82</v>
      </c>
    </row>
    <row r="20" customFormat="false" ht="15" hidden="false" customHeight="false" outlineLevel="0" collapsed="false">
      <c r="A20" s="2" t="s">
        <v>87</v>
      </c>
      <c r="B20" s="2" t="s">
        <v>52</v>
      </c>
      <c r="C20" s="2" t="s">
        <v>88</v>
      </c>
      <c r="D20" s="2" t="s">
        <v>80</v>
      </c>
      <c r="E20" s="2" t="s">
        <v>64</v>
      </c>
      <c r="F20" s="2" t="s">
        <v>81</v>
      </c>
      <c r="G20" s="2"/>
      <c r="H20" s="2"/>
      <c r="I20" s="2" t="s">
        <v>25</v>
      </c>
      <c r="J20" s="3" t="n">
        <f aca="false">IF(L20="","",AVERAGEIFS(PH_Price,PH_ItemID,A20,PH_Date,L20))</f>
        <v>321</v>
      </c>
      <c r="K20" s="2" t="s">
        <v>26</v>
      </c>
      <c r="L20" s="4" t="n">
        <f aca="false">IF(COUNTIF(PH_ItemID,A20)=0,"",SUMPRODUCT(MAX((PH_ItemID=A20)*PH_Date)))</f>
        <v>46305</v>
      </c>
      <c r="M20" s="5" t="n">
        <f aca="true">IF(ISNUMBER(L20),TODAY()-L20,"")</f>
        <v>16</v>
      </c>
      <c r="N20" s="2" t="s">
        <v>27</v>
      </c>
      <c r="O20" s="4" t="str">
        <f aca="false">IF(L20="","",IF(SUMPRODUCT(MAX((PH_ItemID=A20)*(PH_Date&lt;L20)*PH_Date))=0,"",SUMPRODUCT(MAX((PH_ItemID=A20)*(PH_Date&lt;L20)*PH_Date))))</f>
        <v/>
      </c>
      <c r="P20" s="3" t="str">
        <f aca="false">IF(O20="","",AVERAGEIFS(PH_Price,PH_ItemID,A20,PH_Date,O20))</f>
        <v/>
      </c>
      <c r="Q20" s="6" t="str">
        <f aca="false">IF(OR(J20="",P20=""),"",J20/P20-1)</f>
        <v/>
      </c>
      <c r="R20" s="2" t="str">
        <f aca="false">IF(J20="","unpriced",IF(P20="","new",IF(Q20&gt;0.05,"▲ up",IF(Q20&lt;-0.05,"▼ down","► stable"))))</f>
        <v>new</v>
      </c>
      <c r="S20" s="2" t="s">
        <v>82</v>
      </c>
    </row>
    <row r="21" customFormat="false" ht="15" hidden="false" customHeight="false" outlineLevel="0" collapsed="false">
      <c r="A21" s="2" t="s">
        <v>89</v>
      </c>
      <c r="B21" s="2" t="s">
        <v>52</v>
      </c>
      <c r="C21" s="2" t="s">
        <v>90</v>
      </c>
      <c r="D21" s="2" t="s">
        <v>91</v>
      </c>
      <c r="E21" s="2" t="s">
        <v>92</v>
      </c>
      <c r="F21" s="2" t="s">
        <v>93</v>
      </c>
      <c r="G21" s="2" t="s">
        <v>94</v>
      </c>
      <c r="H21" s="2"/>
      <c r="I21" s="2" t="s">
        <v>95</v>
      </c>
      <c r="J21" s="3" t="n">
        <f aca="false">IF(L21="","",AVERAGEIFS(PH_Price,PH_ItemID,A21,PH_Date,L21))</f>
        <v>368</v>
      </c>
      <c r="K21" s="2" t="s">
        <v>96</v>
      </c>
      <c r="L21" s="4" t="n">
        <f aca="false">IF(COUNTIF(PH_ItemID,A21)=0,"",SUMPRODUCT(MAX((PH_ItemID=A21)*PH_Date)))</f>
        <v>46305</v>
      </c>
      <c r="M21" s="5" t="n">
        <f aca="true">IF(ISNUMBER(L21),TODAY()-L21,"")</f>
        <v>16</v>
      </c>
      <c r="N21" s="2" t="s">
        <v>97</v>
      </c>
      <c r="O21" s="4" t="str">
        <f aca="false">IF(L21="","",IF(SUMPRODUCT(MAX((PH_ItemID=A21)*(PH_Date&lt;L21)*PH_Date))=0,"",SUMPRODUCT(MAX((PH_ItemID=A21)*(PH_Date&lt;L21)*PH_Date))))</f>
        <v/>
      </c>
      <c r="P21" s="3" t="str">
        <f aca="false">IF(O21="","",AVERAGEIFS(PH_Price,PH_ItemID,A21,PH_Date,O21))</f>
        <v/>
      </c>
      <c r="Q21" s="6" t="str">
        <f aca="false">IF(OR(J21="",P21=""),"",J21/P21-1)</f>
        <v/>
      </c>
      <c r="R21" s="2" t="str">
        <f aca="false">IF(J21="","unpriced",IF(P21="","new",IF(Q21&gt;0.05,"▲ up",IF(Q21&lt;-0.05,"▼ down","► stable"))))</f>
        <v>new</v>
      </c>
      <c r="S21" s="2" t="s">
        <v>98</v>
      </c>
    </row>
    <row r="22" customFormat="false" ht="15" hidden="false" customHeight="false" outlineLevel="0" collapsed="false">
      <c r="A22" s="2" t="s">
        <v>99</v>
      </c>
      <c r="B22" s="2" t="s">
        <v>52</v>
      </c>
      <c r="C22" s="2" t="s">
        <v>100</v>
      </c>
      <c r="D22" s="2" t="s">
        <v>101</v>
      </c>
      <c r="E22" s="2" t="s">
        <v>102</v>
      </c>
      <c r="F22" s="2" t="s">
        <v>103</v>
      </c>
      <c r="G22" s="2"/>
      <c r="H22" s="2"/>
      <c r="I22" s="2" t="s">
        <v>25</v>
      </c>
      <c r="J22" s="3" t="str">
        <f aca="false">IF(L22="","",AVERAGEIFS(PH_Price,PH_ItemID,A22,PH_Date,L22))</f>
        <v/>
      </c>
      <c r="K22" s="2" t="s">
        <v>26</v>
      </c>
      <c r="L22" s="4" t="str">
        <f aca="false">IF(COUNTIF(PH_ItemID,A22)=0,"",SUMPRODUCT(MAX((PH_ItemID=A22)*PH_Date)))</f>
        <v/>
      </c>
      <c r="M22" s="5" t="str">
        <f aca="true">IF(ISNUMBER(L22),TODAY()-L22,"")</f>
        <v/>
      </c>
      <c r="N22" s="2" t="s">
        <v>104</v>
      </c>
      <c r="O22" s="4" t="str">
        <f aca="false">IF(L22="","",IF(SUMPRODUCT(MAX((PH_ItemID=A22)*(PH_Date&lt;L22)*PH_Date))=0,"",SUMPRODUCT(MAX((PH_ItemID=A22)*(PH_Date&lt;L22)*PH_Date))))</f>
        <v/>
      </c>
      <c r="P22" s="3" t="str">
        <f aca="false">IF(O22="","",AVERAGEIFS(PH_Price,PH_ItemID,A22,PH_Date,O22))</f>
        <v/>
      </c>
      <c r="Q22" s="6" t="str">
        <f aca="false">IF(OR(J22="",P22=""),"",J22/P22-1)</f>
        <v/>
      </c>
      <c r="R22" s="2" t="str">
        <f aca="false">IF(J22="","unpriced",IF(P22="","new",IF(Q22&gt;0.05,"▲ up",IF(Q22&lt;-0.05,"▼ down","► stable"))))</f>
        <v>unpriced</v>
      </c>
      <c r="S22" s="2" t="s">
        <v>105</v>
      </c>
    </row>
    <row r="23" customFormat="false" ht="15" hidden="false" customHeight="false" outlineLevel="0" collapsed="false">
      <c r="A23" s="2" t="s">
        <v>106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s">
        <v>24</v>
      </c>
      <c r="G23" s="2"/>
      <c r="H23" s="2"/>
      <c r="I23" s="2" t="s">
        <v>25</v>
      </c>
      <c r="J23" s="3" t="n">
        <f aca="false">IF(L23="","",AVERAGEIFS(PH_Price,PH_ItemID,A23,PH_Date,L23))</f>
        <v>313</v>
      </c>
      <c r="K23" s="2" t="s">
        <v>26</v>
      </c>
      <c r="L23" s="4" t="n">
        <f aca="false">IF(COUNTIF(PH_ItemID,A23)=0,"",SUMPRODUCT(MAX((PH_ItemID=A23)*PH_Date)))</f>
        <v>46305</v>
      </c>
      <c r="M23" s="5" t="n">
        <f aca="true">IF(ISNUMBER(L23),TODAY()-L23,"")</f>
        <v>16</v>
      </c>
      <c r="N23" s="2" t="s">
        <v>27</v>
      </c>
      <c r="O23" s="4" t="str">
        <f aca="false">IF(L23="","",IF(SUMPRODUCT(MAX((PH_ItemID=A23)*(PH_Date&lt;L23)*PH_Date))=0,"",SUMPRODUCT(MAX((PH_ItemID=A23)*(PH_Date&lt;L23)*PH_Date))))</f>
        <v/>
      </c>
      <c r="P23" s="3" t="str">
        <f aca="false">IF(O23="","",AVERAGEIFS(PH_Price,PH_ItemID,A23,PH_Date,O23))</f>
        <v/>
      </c>
      <c r="Q23" s="6" t="str">
        <f aca="false">IF(OR(J23="",P23=""),"",J23/P23-1)</f>
        <v/>
      </c>
      <c r="R23" s="2" t="str">
        <f aca="false">IF(J23="","unpriced",IF(P23="","new",IF(Q23&gt;0.05,"▲ up",IF(Q23&lt;-0.05,"▼ down","► stable"))))</f>
        <v>new</v>
      </c>
      <c r="S23" s="2" t="s">
        <v>28</v>
      </c>
    </row>
    <row r="24" customFormat="false" ht="15" hidden="false" customHeight="false" outlineLevel="0" collapsed="false">
      <c r="A24" s="2" t="s">
        <v>111</v>
      </c>
      <c r="B24" s="2" t="s">
        <v>107</v>
      </c>
      <c r="C24" s="2" t="s">
        <v>112</v>
      </c>
      <c r="D24" s="2" t="s">
        <v>109</v>
      </c>
      <c r="E24" s="2" t="s">
        <v>110</v>
      </c>
      <c r="F24" s="2" t="s">
        <v>24</v>
      </c>
      <c r="G24" s="2"/>
      <c r="H24" s="2"/>
      <c r="I24" s="2" t="s">
        <v>25</v>
      </c>
      <c r="J24" s="3" t="n">
        <f aca="false">IF(L24="","",AVERAGEIFS(PH_Price,PH_ItemID,A24,PH_Date,L24))</f>
        <v>520</v>
      </c>
      <c r="K24" s="2" t="s">
        <v>26</v>
      </c>
      <c r="L24" s="4" t="n">
        <f aca="false">IF(COUNTIF(PH_ItemID,A24)=0,"",SUMPRODUCT(MAX((PH_ItemID=A24)*PH_Date)))</f>
        <v>46305</v>
      </c>
      <c r="M24" s="5" t="n">
        <f aca="true">IF(ISNUMBER(L24),TODAY()-L24,"")</f>
        <v>16</v>
      </c>
      <c r="N24" s="2" t="s">
        <v>27</v>
      </c>
      <c r="O24" s="4" t="str">
        <f aca="false">IF(L24="","",IF(SUMPRODUCT(MAX((PH_ItemID=A24)*(PH_Date&lt;L24)*PH_Date))=0,"",SUMPRODUCT(MAX((PH_ItemID=A24)*(PH_Date&lt;L24)*PH_Date))))</f>
        <v/>
      </c>
      <c r="P24" s="3" t="str">
        <f aca="false">IF(O24="","",AVERAGEIFS(PH_Price,PH_ItemID,A24,PH_Date,O24))</f>
        <v/>
      </c>
      <c r="Q24" s="6" t="str">
        <f aca="false">IF(OR(J24="",P24=""),"",J24/P24-1)</f>
        <v/>
      </c>
      <c r="R24" s="2" t="str">
        <f aca="false">IF(J24="","unpriced",IF(P24="","new",IF(Q24&gt;0.05,"▲ up",IF(Q24&lt;-0.05,"▼ down","► stable"))))</f>
        <v>new</v>
      </c>
      <c r="S24" s="2" t="s">
        <v>28</v>
      </c>
    </row>
    <row r="25" customFormat="false" ht="15" hidden="false" customHeight="false" outlineLevel="0" collapsed="false">
      <c r="A25" s="2" t="s">
        <v>113</v>
      </c>
      <c r="B25" s="2" t="s">
        <v>107</v>
      </c>
      <c r="C25" s="2" t="s">
        <v>114</v>
      </c>
      <c r="D25" s="2" t="s">
        <v>109</v>
      </c>
      <c r="E25" s="2" t="s">
        <v>110</v>
      </c>
      <c r="F25" s="2" t="s">
        <v>24</v>
      </c>
      <c r="G25" s="2"/>
      <c r="H25" s="2"/>
      <c r="I25" s="2" t="s">
        <v>25</v>
      </c>
      <c r="J25" s="3" t="n">
        <f aca="false">IF(L25="","",AVERAGEIFS(PH_Price,PH_ItemID,A25,PH_Date,L25))</f>
        <v>629</v>
      </c>
      <c r="K25" s="2" t="s">
        <v>26</v>
      </c>
      <c r="L25" s="4" t="n">
        <f aca="false">IF(COUNTIF(PH_ItemID,A25)=0,"",SUMPRODUCT(MAX((PH_ItemID=A25)*PH_Date)))</f>
        <v>46305</v>
      </c>
      <c r="M25" s="5" t="n">
        <f aca="true">IF(ISNUMBER(L25),TODAY()-L25,"")</f>
        <v>16</v>
      </c>
      <c r="N25" s="2" t="s">
        <v>27</v>
      </c>
      <c r="O25" s="4" t="str">
        <f aca="false">IF(L25="","",IF(SUMPRODUCT(MAX((PH_ItemID=A25)*(PH_Date&lt;L25)*PH_Date))=0,"",SUMPRODUCT(MAX((PH_ItemID=A25)*(PH_Date&lt;L25)*PH_Date))))</f>
        <v/>
      </c>
      <c r="P25" s="3" t="str">
        <f aca="false">IF(O25="","",AVERAGEIFS(PH_Price,PH_ItemID,A25,PH_Date,O25))</f>
        <v/>
      </c>
      <c r="Q25" s="6" t="str">
        <f aca="false">IF(OR(J25="",P25=""),"",J25/P25-1)</f>
        <v/>
      </c>
      <c r="R25" s="2" t="str">
        <f aca="false">IF(J25="","unpriced",IF(P25="","new",IF(Q25&gt;0.05,"▲ up",IF(Q25&lt;-0.05,"▼ down","► stable"))))</f>
        <v>new</v>
      </c>
      <c r="S25" s="2" t="s">
        <v>28</v>
      </c>
    </row>
    <row r="26" customFormat="false" ht="15" hidden="false" customHeight="false" outlineLevel="0" collapsed="false">
      <c r="A26" s="2" t="s">
        <v>115</v>
      </c>
      <c r="B26" s="2" t="s">
        <v>107</v>
      </c>
      <c r="C26" s="2" t="s">
        <v>116</v>
      </c>
      <c r="D26" s="2" t="s">
        <v>117</v>
      </c>
      <c r="E26" s="2" t="s">
        <v>118</v>
      </c>
      <c r="F26" s="2" t="s">
        <v>119</v>
      </c>
      <c r="G26" s="2"/>
      <c r="H26" s="2"/>
      <c r="I26" s="2" t="s">
        <v>25</v>
      </c>
      <c r="J26" s="3" t="n">
        <f aca="false">IF(L26="","",AVERAGEIFS(PH_Price,PH_ItemID,A26,PH_Date,L26))</f>
        <v>52</v>
      </c>
      <c r="K26" s="2" t="s">
        <v>26</v>
      </c>
      <c r="L26" s="4" t="n">
        <f aca="false">IF(COUNTIF(PH_ItemID,A26)=0,"",SUMPRODUCT(MAX((PH_ItemID=A26)*PH_Date)))</f>
        <v>46305</v>
      </c>
      <c r="M26" s="5" t="n">
        <f aca="true">IF(ISNUMBER(L26),TODAY()-L26,"")</f>
        <v>16</v>
      </c>
      <c r="N26" s="2" t="s">
        <v>27</v>
      </c>
      <c r="O26" s="4" t="str">
        <f aca="false">IF(L26="","",IF(SUMPRODUCT(MAX((PH_ItemID=A26)*(PH_Date&lt;L26)*PH_Date))=0,"",SUMPRODUCT(MAX((PH_ItemID=A26)*(PH_Date&lt;L26)*PH_Date))))</f>
        <v/>
      </c>
      <c r="P26" s="3" t="str">
        <f aca="false">IF(O26="","",AVERAGEIFS(PH_Price,PH_ItemID,A26,PH_Date,O26))</f>
        <v/>
      </c>
      <c r="Q26" s="6" t="str">
        <f aca="false">IF(OR(J26="",P26=""),"",J26/P26-1)</f>
        <v/>
      </c>
      <c r="R26" s="2" t="str">
        <f aca="false">IF(J26="","unpriced",IF(P26="","new",IF(Q26&gt;0.05,"▲ up",IF(Q26&lt;-0.05,"▼ down","► stable"))))</f>
        <v>new</v>
      </c>
      <c r="S26" s="2"/>
    </row>
    <row r="27" customFormat="false" ht="15" hidden="false" customHeight="false" outlineLevel="0" collapsed="false">
      <c r="A27" s="2" t="s">
        <v>120</v>
      </c>
      <c r="B27" s="2" t="s">
        <v>107</v>
      </c>
      <c r="C27" s="2" t="s">
        <v>121</v>
      </c>
      <c r="D27" s="2" t="s">
        <v>122</v>
      </c>
      <c r="E27" s="2" t="s">
        <v>123</v>
      </c>
      <c r="F27" s="2" t="s">
        <v>24</v>
      </c>
      <c r="G27" s="2"/>
      <c r="H27" s="2"/>
      <c r="I27" s="2" t="s">
        <v>25</v>
      </c>
      <c r="J27" s="3" t="n">
        <f aca="false">IF(L27="","",AVERAGEIFS(PH_Price,PH_ItemID,A27,PH_Date,L27))</f>
        <v>175</v>
      </c>
      <c r="K27" s="2" t="s">
        <v>26</v>
      </c>
      <c r="L27" s="4" t="n">
        <f aca="false">IF(COUNTIF(PH_ItemID,A27)=0,"",SUMPRODUCT(MAX((PH_ItemID=A27)*PH_Date)))</f>
        <v>46305</v>
      </c>
      <c r="M27" s="5" t="n">
        <f aca="true">IF(ISNUMBER(L27),TODAY()-L27,"")</f>
        <v>16</v>
      </c>
      <c r="N27" s="2" t="s">
        <v>27</v>
      </c>
      <c r="O27" s="4" t="str">
        <f aca="false">IF(L27="","",IF(SUMPRODUCT(MAX((PH_ItemID=A27)*(PH_Date&lt;L27)*PH_Date))=0,"",SUMPRODUCT(MAX((PH_ItemID=A27)*(PH_Date&lt;L27)*PH_Date))))</f>
        <v/>
      </c>
      <c r="P27" s="3" t="str">
        <f aca="false">IF(O27="","",AVERAGEIFS(PH_Price,PH_ItemID,A27,PH_Date,O27))</f>
        <v/>
      </c>
      <c r="Q27" s="6" t="str">
        <f aca="false">IF(OR(J27="",P27=""),"",J27/P27-1)</f>
        <v/>
      </c>
      <c r="R27" s="2" t="str">
        <f aca="false">IF(J27="","unpriced",IF(P27="","new",IF(Q27&gt;0.05,"▲ up",IF(Q27&lt;-0.05,"▼ down","► stable"))))</f>
        <v>new</v>
      </c>
      <c r="S27" s="2" t="s">
        <v>28</v>
      </c>
    </row>
    <row r="28" customFormat="false" ht="15" hidden="false" customHeight="false" outlineLevel="0" collapsed="false">
      <c r="A28" s="2" t="s">
        <v>124</v>
      </c>
      <c r="B28" s="2" t="s">
        <v>107</v>
      </c>
      <c r="C28" s="2" t="s">
        <v>125</v>
      </c>
      <c r="D28" s="2" t="s">
        <v>122</v>
      </c>
      <c r="E28" s="2" t="s">
        <v>123</v>
      </c>
      <c r="F28" s="2" t="s">
        <v>24</v>
      </c>
      <c r="G28" s="2"/>
      <c r="H28" s="2"/>
      <c r="I28" s="2" t="s">
        <v>25</v>
      </c>
      <c r="J28" s="3" t="n">
        <f aca="false">IF(L28="","",AVERAGEIFS(PH_Price,PH_ItemID,A28,PH_Date,L28))</f>
        <v>189</v>
      </c>
      <c r="K28" s="2" t="s">
        <v>26</v>
      </c>
      <c r="L28" s="4" t="n">
        <f aca="false">IF(COUNTIF(PH_ItemID,A28)=0,"",SUMPRODUCT(MAX((PH_ItemID=A28)*PH_Date)))</f>
        <v>46305</v>
      </c>
      <c r="M28" s="5" t="n">
        <f aca="true">IF(ISNUMBER(L28),TODAY()-L28,"")</f>
        <v>16</v>
      </c>
      <c r="N28" s="2" t="s">
        <v>27</v>
      </c>
      <c r="O28" s="4" t="str">
        <f aca="false">IF(L28="","",IF(SUMPRODUCT(MAX((PH_ItemID=A28)*(PH_Date&lt;L28)*PH_Date))=0,"",SUMPRODUCT(MAX((PH_ItemID=A28)*(PH_Date&lt;L28)*PH_Date))))</f>
        <v/>
      </c>
      <c r="P28" s="3" t="str">
        <f aca="false">IF(O28="","",AVERAGEIFS(PH_Price,PH_ItemID,A28,PH_Date,O28))</f>
        <v/>
      </c>
      <c r="Q28" s="6" t="str">
        <f aca="false">IF(OR(J28="",P28=""),"",J28/P28-1)</f>
        <v/>
      </c>
      <c r="R28" s="2" t="str">
        <f aca="false">IF(J28="","unpriced",IF(P28="","new",IF(Q28&gt;0.05,"▲ up",IF(Q28&lt;-0.05,"▼ down","► stable"))))</f>
        <v>new</v>
      </c>
      <c r="S28" s="2" t="s">
        <v>28</v>
      </c>
    </row>
    <row r="29" customFormat="false" ht="15" hidden="false" customHeight="false" outlineLevel="0" collapsed="false">
      <c r="A29" s="2" t="s">
        <v>126</v>
      </c>
      <c r="B29" s="2" t="s">
        <v>107</v>
      </c>
      <c r="C29" s="2" t="s">
        <v>127</v>
      </c>
      <c r="D29" s="2" t="s">
        <v>122</v>
      </c>
      <c r="E29" s="2" t="s">
        <v>123</v>
      </c>
      <c r="F29" s="2" t="s">
        <v>24</v>
      </c>
      <c r="G29" s="2"/>
      <c r="H29" s="2"/>
      <c r="I29" s="2" t="s">
        <v>25</v>
      </c>
      <c r="J29" s="3" t="n">
        <f aca="false">IF(L29="","",AVERAGEIFS(PH_Price,PH_ItemID,A29,PH_Date,L29))</f>
        <v>243</v>
      </c>
      <c r="K29" s="2" t="s">
        <v>26</v>
      </c>
      <c r="L29" s="4" t="n">
        <f aca="false">IF(COUNTIF(PH_ItemID,A29)=0,"",SUMPRODUCT(MAX((PH_ItemID=A29)*PH_Date)))</f>
        <v>46305</v>
      </c>
      <c r="M29" s="5" t="n">
        <f aca="true">IF(ISNUMBER(L29),TODAY()-L29,"")</f>
        <v>16</v>
      </c>
      <c r="N29" s="2" t="s">
        <v>27</v>
      </c>
      <c r="O29" s="4" t="str">
        <f aca="false">IF(L29="","",IF(SUMPRODUCT(MAX((PH_ItemID=A29)*(PH_Date&lt;L29)*PH_Date))=0,"",SUMPRODUCT(MAX((PH_ItemID=A29)*(PH_Date&lt;L29)*PH_Date))))</f>
        <v/>
      </c>
      <c r="P29" s="3" t="str">
        <f aca="false">IF(O29="","",AVERAGEIFS(PH_Price,PH_ItemID,A29,PH_Date,O29))</f>
        <v/>
      </c>
      <c r="Q29" s="6" t="str">
        <f aca="false">IF(OR(J29="",P29=""),"",J29/P29-1)</f>
        <v/>
      </c>
      <c r="R29" s="2" t="str">
        <f aca="false">IF(J29="","unpriced",IF(P29="","new",IF(Q29&gt;0.05,"▲ up",IF(Q29&lt;-0.05,"▼ down","► stable"))))</f>
        <v>new</v>
      </c>
      <c r="S29" s="2" t="s">
        <v>28</v>
      </c>
    </row>
    <row r="30" customFormat="false" ht="15" hidden="false" customHeight="false" outlineLevel="0" collapsed="false">
      <c r="A30" s="2" t="s">
        <v>128</v>
      </c>
      <c r="B30" s="2" t="s">
        <v>107</v>
      </c>
      <c r="C30" s="2" t="s">
        <v>129</v>
      </c>
      <c r="D30" s="2" t="s">
        <v>130</v>
      </c>
      <c r="E30" s="2" t="s">
        <v>131</v>
      </c>
      <c r="F30" s="2" t="s">
        <v>132</v>
      </c>
      <c r="G30" s="2"/>
      <c r="H30" s="2"/>
      <c r="I30" s="2" t="s">
        <v>25</v>
      </c>
      <c r="J30" s="3" t="n">
        <f aca="false">IF(L30="","",AVERAGEIFS(PH_Price,PH_ItemID,A30,PH_Date,L30))</f>
        <v>130</v>
      </c>
      <c r="K30" s="2" t="s">
        <v>26</v>
      </c>
      <c r="L30" s="4" t="n">
        <f aca="false">IF(COUNTIF(PH_ItemID,A30)=0,"",SUMPRODUCT(MAX((PH_ItemID=A30)*PH_Date)))</f>
        <v>46305</v>
      </c>
      <c r="M30" s="5" t="n">
        <f aca="true">IF(ISNUMBER(L30),TODAY()-L30,"")</f>
        <v>16</v>
      </c>
      <c r="N30" s="2" t="s">
        <v>27</v>
      </c>
      <c r="O30" s="4" t="str">
        <f aca="false">IF(L30="","",IF(SUMPRODUCT(MAX((PH_ItemID=A30)*(PH_Date&lt;L30)*PH_Date))=0,"",SUMPRODUCT(MAX((PH_ItemID=A30)*(PH_Date&lt;L30)*PH_Date))))</f>
        <v/>
      </c>
      <c r="P30" s="3" t="str">
        <f aca="false">IF(O30="","",AVERAGEIFS(PH_Price,PH_ItemID,A30,PH_Date,O30))</f>
        <v/>
      </c>
      <c r="Q30" s="6" t="str">
        <f aca="false">IF(OR(J30="",P30=""),"",J30/P30-1)</f>
        <v/>
      </c>
      <c r="R30" s="2" t="str">
        <f aca="false">IF(J30="","unpriced",IF(P30="","new",IF(Q30&gt;0.05,"▲ up",IF(Q30&lt;-0.05,"▼ down","► stable"))))</f>
        <v>new</v>
      </c>
      <c r="S30" s="2" t="s">
        <v>28</v>
      </c>
    </row>
    <row r="31" customFormat="false" ht="15" hidden="false" customHeight="false" outlineLevel="0" collapsed="false">
      <c r="A31" s="2" t="s">
        <v>133</v>
      </c>
      <c r="B31" s="2" t="s">
        <v>107</v>
      </c>
      <c r="C31" s="2" t="s">
        <v>134</v>
      </c>
      <c r="D31" s="2" t="s">
        <v>135</v>
      </c>
      <c r="E31" s="2" t="s">
        <v>136</v>
      </c>
      <c r="F31" s="2" t="s">
        <v>24</v>
      </c>
      <c r="G31" s="2"/>
      <c r="H31" s="2"/>
      <c r="I31" s="2" t="s">
        <v>25</v>
      </c>
      <c r="J31" s="3" t="n">
        <f aca="false">IF(L31="","",AVERAGEIFS(PH_Price,PH_ItemID,A31,PH_Date,L31))</f>
        <v>677</v>
      </c>
      <c r="K31" s="2" t="s">
        <v>26</v>
      </c>
      <c r="L31" s="4" t="n">
        <f aca="false">IF(COUNTIF(PH_ItemID,A31)=0,"",SUMPRODUCT(MAX((PH_ItemID=A31)*PH_Date)))</f>
        <v>46305</v>
      </c>
      <c r="M31" s="5" t="n">
        <f aca="true">IF(ISNUMBER(L31),TODAY()-L31,"")</f>
        <v>16</v>
      </c>
      <c r="N31" s="2" t="s">
        <v>27</v>
      </c>
      <c r="O31" s="4" t="str">
        <f aca="false">IF(L31="","",IF(SUMPRODUCT(MAX((PH_ItemID=A31)*(PH_Date&lt;L31)*PH_Date))=0,"",SUMPRODUCT(MAX((PH_ItemID=A31)*(PH_Date&lt;L31)*PH_Date))))</f>
        <v/>
      </c>
      <c r="P31" s="3" t="str">
        <f aca="false">IF(O31="","",AVERAGEIFS(PH_Price,PH_ItemID,A31,PH_Date,O31))</f>
        <v/>
      </c>
      <c r="Q31" s="6" t="str">
        <f aca="false">IF(OR(J31="",P31=""),"",J31/P31-1)</f>
        <v/>
      </c>
      <c r="R31" s="2" t="str">
        <f aca="false">IF(J31="","unpriced",IF(P31="","new",IF(Q31&gt;0.05,"▲ up",IF(Q31&lt;-0.05,"▼ down","► stable"))))</f>
        <v>new</v>
      </c>
      <c r="S31" s="2" t="s">
        <v>28</v>
      </c>
    </row>
    <row r="32" customFormat="false" ht="15" hidden="false" customHeight="false" outlineLevel="0" collapsed="false">
      <c r="A32" s="2" t="s">
        <v>137</v>
      </c>
      <c r="B32" s="2" t="s">
        <v>107</v>
      </c>
      <c r="C32" s="2" t="s">
        <v>138</v>
      </c>
      <c r="D32" s="2" t="s">
        <v>139</v>
      </c>
      <c r="E32" s="2" t="s">
        <v>140</v>
      </c>
      <c r="F32" s="2" t="s">
        <v>119</v>
      </c>
      <c r="G32" s="2"/>
      <c r="H32" s="2"/>
      <c r="I32" s="2" t="s">
        <v>25</v>
      </c>
      <c r="J32" s="3" t="n">
        <f aca="false">IF(L32="","",AVERAGEIFS(PH_Price,PH_ItemID,A32,PH_Date,L32))</f>
        <v>188</v>
      </c>
      <c r="K32" s="2" t="s">
        <v>26</v>
      </c>
      <c r="L32" s="4" t="n">
        <f aca="false">IF(COUNTIF(PH_ItemID,A32)=0,"",SUMPRODUCT(MAX((PH_ItemID=A32)*PH_Date)))</f>
        <v>46305</v>
      </c>
      <c r="M32" s="5" t="n">
        <f aca="true">IF(ISNUMBER(L32),TODAY()-L32,"")</f>
        <v>16</v>
      </c>
      <c r="N32" s="2" t="s">
        <v>27</v>
      </c>
      <c r="O32" s="4" t="str">
        <f aca="false">IF(L32="","",IF(SUMPRODUCT(MAX((PH_ItemID=A32)*(PH_Date&lt;L32)*PH_Date))=0,"",SUMPRODUCT(MAX((PH_ItemID=A32)*(PH_Date&lt;L32)*PH_Date))))</f>
        <v/>
      </c>
      <c r="P32" s="3" t="str">
        <f aca="false">IF(O32="","",AVERAGEIFS(PH_Price,PH_ItemID,A32,PH_Date,O32))</f>
        <v/>
      </c>
      <c r="Q32" s="6" t="str">
        <f aca="false">IF(OR(J32="",P32=""),"",J32/P32-1)</f>
        <v/>
      </c>
      <c r="R32" s="2" t="str">
        <f aca="false">IF(J32="","unpriced",IF(P32="","new",IF(Q32&gt;0.05,"▲ up",IF(Q32&lt;-0.05,"▼ down","► stable"))))</f>
        <v>new</v>
      </c>
      <c r="S32" s="2"/>
    </row>
    <row r="33" customFormat="false" ht="15" hidden="false" customHeight="false" outlineLevel="0" collapsed="false">
      <c r="A33" s="2" t="s">
        <v>141</v>
      </c>
      <c r="B33" s="2" t="s">
        <v>107</v>
      </c>
      <c r="C33" s="2" t="s">
        <v>142</v>
      </c>
      <c r="D33" s="2" t="s">
        <v>139</v>
      </c>
      <c r="E33" s="2" t="s">
        <v>140</v>
      </c>
      <c r="F33" s="2" t="s">
        <v>119</v>
      </c>
      <c r="G33" s="2"/>
      <c r="H33" s="2"/>
      <c r="I33" s="2" t="s">
        <v>25</v>
      </c>
      <c r="J33" s="3" t="n">
        <f aca="false">IF(L33="","",AVERAGEIFS(PH_Price,PH_ItemID,A33,PH_Date,L33))</f>
        <v>408</v>
      </c>
      <c r="K33" s="2" t="s">
        <v>26</v>
      </c>
      <c r="L33" s="4" t="n">
        <f aca="false">IF(COUNTIF(PH_ItemID,A33)=0,"",SUMPRODUCT(MAX((PH_ItemID=A33)*PH_Date)))</f>
        <v>46305</v>
      </c>
      <c r="M33" s="5" t="n">
        <f aca="true">IF(ISNUMBER(L33),TODAY()-L33,"")</f>
        <v>16</v>
      </c>
      <c r="N33" s="2" t="s">
        <v>27</v>
      </c>
      <c r="O33" s="4" t="str">
        <f aca="false">IF(L33="","",IF(SUMPRODUCT(MAX((PH_ItemID=A33)*(PH_Date&lt;L33)*PH_Date))=0,"",SUMPRODUCT(MAX((PH_ItemID=A33)*(PH_Date&lt;L33)*PH_Date))))</f>
        <v/>
      </c>
      <c r="P33" s="3" t="str">
        <f aca="false">IF(O33="","",AVERAGEIFS(PH_Price,PH_ItemID,A33,PH_Date,O33))</f>
        <v/>
      </c>
      <c r="Q33" s="6" t="str">
        <f aca="false">IF(OR(J33="",P33=""),"",J33/P33-1)</f>
        <v/>
      </c>
      <c r="R33" s="2" t="str">
        <f aca="false">IF(J33="","unpriced",IF(P33="","new",IF(Q33&gt;0.05,"▲ up",IF(Q33&lt;-0.05,"▼ down","► stable"))))</f>
        <v>new</v>
      </c>
      <c r="S33" s="2"/>
    </row>
    <row r="34" customFormat="false" ht="15" hidden="false" customHeight="false" outlineLevel="0" collapsed="false">
      <c r="A34" s="2" t="s">
        <v>143</v>
      </c>
      <c r="B34" s="2" t="s">
        <v>107</v>
      </c>
      <c r="C34" s="2" t="s">
        <v>144</v>
      </c>
      <c r="D34" s="2" t="s">
        <v>139</v>
      </c>
      <c r="E34" s="2" t="s">
        <v>140</v>
      </c>
      <c r="F34" s="2" t="s">
        <v>119</v>
      </c>
      <c r="G34" s="2"/>
      <c r="H34" s="2"/>
      <c r="I34" s="2" t="s">
        <v>25</v>
      </c>
      <c r="J34" s="3" t="n">
        <f aca="false">IF(L34="","",AVERAGEIFS(PH_Price,PH_ItemID,A34,PH_Date,L34))</f>
        <v>469</v>
      </c>
      <c r="K34" s="2" t="s">
        <v>26</v>
      </c>
      <c r="L34" s="4" t="n">
        <f aca="false">IF(COUNTIF(PH_ItemID,A34)=0,"",SUMPRODUCT(MAX((PH_ItemID=A34)*PH_Date)))</f>
        <v>46305</v>
      </c>
      <c r="M34" s="5" t="n">
        <f aca="true">IF(ISNUMBER(L34),TODAY()-L34,"")</f>
        <v>16</v>
      </c>
      <c r="N34" s="2" t="s">
        <v>27</v>
      </c>
      <c r="O34" s="4" t="str">
        <f aca="false">IF(L34="","",IF(SUMPRODUCT(MAX((PH_ItemID=A34)*(PH_Date&lt;L34)*PH_Date))=0,"",SUMPRODUCT(MAX((PH_ItemID=A34)*(PH_Date&lt;L34)*PH_Date))))</f>
        <v/>
      </c>
      <c r="P34" s="3" t="str">
        <f aca="false">IF(O34="","",AVERAGEIFS(PH_Price,PH_ItemID,A34,PH_Date,O34))</f>
        <v/>
      </c>
      <c r="Q34" s="6" t="str">
        <f aca="false">IF(OR(J34="",P34=""),"",J34/P34-1)</f>
        <v/>
      </c>
      <c r="R34" s="2" t="str">
        <f aca="false">IF(J34="","unpriced",IF(P34="","new",IF(Q34&gt;0.05,"▲ up",IF(Q34&lt;-0.05,"▼ down","► stable"))))</f>
        <v>new</v>
      </c>
      <c r="S34" s="2"/>
    </row>
    <row r="35" customFormat="false" ht="15" hidden="false" customHeight="false" outlineLevel="0" collapsed="false">
      <c r="A35" s="2" t="s">
        <v>145</v>
      </c>
      <c r="B35" s="2" t="s">
        <v>107</v>
      </c>
      <c r="C35" s="2" t="s">
        <v>146</v>
      </c>
      <c r="D35" s="2" t="s">
        <v>147</v>
      </c>
      <c r="E35" s="2" t="s">
        <v>140</v>
      </c>
      <c r="F35" s="2" t="s">
        <v>119</v>
      </c>
      <c r="G35" s="2"/>
      <c r="H35" s="2"/>
      <c r="I35" s="2" t="s">
        <v>25</v>
      </c>
      <c r="J35" s="3" t="n">
        <f aca="false">IF(L35="","",AVERAGEIFS(PH_Price,PH_ItemID,A35,PH_Date,L35))</f>
        <v>244</v>
      </c>
      <c r="K35" s="2" t="s">
        <v>26</v>
      </c>
      <c r="L35" s="4" t="n">
        <f aca="false">IF(COUNTIF(PH_ItemID,A35)=0,"",SUMPRODUCT(MAX((PH_ItemID=A35)*PH_Date)))</f>
        <v>46305</v>
      </c>
      <c r="M35" s="5" t="n">
        <f aca="true">IF(ISNUMBER(L35),TODAY()-L35,"")</f>
        <v>16</v>
      </c>
      <c r="N35" s="2" t="s">
        <v>104</v>
      </c>
      <c r="O35" s="4" t="str">
        <f aca="false">IF(L35="","",IF(SUMPRODUCT(MAX((PH_ItemID=A35)*(PH_Date&lt;L35)*PH_Date))=0,"",SUMPRODUCT(MAX((PH_ItemID=A35)*(PH_Date&lt;L35)*PH_Date))))</f>
        <v/>
      </c>
      <c r="P35" s="3" t="str">
        <f aca="false">IF(O35="","",AVERAGEIFS(PH_Price,PH_ItemID,A35,PH_Date,O35))</f>
        <v/>
      </c>
      <c r="Q35" s="6" t="str">
        <f aca="false">IF(OR(J35="",P35=""),"",J35/P35-1)</f>
        <v/>
      </c>
      <c r="R35" s="2" t="str">
        <f aca="false">IF(J35="","unpriced",IF(P35="","new",IF(Q35&gt;0.05,"▲ up",IF(Q35&lt;-0.05,"▼ down","► stable"))))</f>
        <v>new</v>
      </c>
      <c r="S35" s="2" t="s">
        <v>148</v>
      </c>
    </row>
    <row r="36" customFormat="false" ht="15" hidden="false" customHeight="false" outlineLevel="0" collapsed="false">
      <c r="A36" s="2" t="s">
        <v>149</v>
      </c>
      <c r="B36" s="2" t="s">
        <v>107</v>
      </c>
      <c r="C36" s="2" t="s">
        <v>150</v>
      </c>
      <c r="D36" s="2" t="s">
        <v>151</v>
      </c>
      <c r="E36" s="2" t="s">
        <v>152</v>
      </c>
      <c r="F36" s="2" t="s">
        <v>24</v>
      </c>
      <c r="G36" s="2"/>
      <c r="H36" s="2"/>
      <c r="I36" s="2" t="s">
        <v>25</v>
      </c>
      <c r="J36" s="3" t="n">
        <f aca="false">IF(L36="","",AVERAGEIFS(PH_Price,PH_ItemID,A36,PH_Date,L36))</f>
        <v>848</v>
      </c>
      <c r="K36" s="2" t="s">
        <v>26</v>
      </c>
      <c r="L36" s="4" t="n">
        <f aca="false">IF(COUNTIF(PH_ItemID,A36)=0,"",SUMPRODUCT(MAX((PH_ItemID=A36)*PH_Date)))</f>
        <v>46305</v>
      </c>
      <c r="M36" s="5" t="n">
        <f aca="true">IF(ISNUMBER(L36),TODAY()-L36,"")</f>
        <v>16</v>
      </c>
      <c r="N36" s="2" t="s">
        <v>27</v>
      </c>
      <c r="O36" s="4" t="str">
        <f aca="false">IF(L36="","",IF(SUMPRODUCT(MAX((PH_ItemID=A36)*(PH_Date&lt;L36)*PH_Date))=0,"",SUMPRODUCT(MAX((PH_ItemID=A36)*(PH_Date&lt;L36)*PH_Date))))</f>
        <v/>
      </c>
      <c r="P36" s="3" t="str">
        <f aca="false">IF(O36="","",AVERAGEIFS(PH_Price,PH_ItemID,A36,PH_Date,O36))</f>
        <v/>
      </c>
      <c r="Q36" s="6" t="str">
        <f aca="false">IF(OR(J36="",P36=""),"",J36/P36-1)</f>
        <v/>
      </c>
      <c r="R36" s="2" t="str">
        <f aca="false">IF(J36="","unpriced",IF(P36="","new",IF(Q36&gt;0.05,"▲ up",IF(Q36&lt;-0.05,"▼ down","► stable"))))</f>
        <v>new</v>
      </c>
      <c r="S36" s="2" t="s">
        <v>28</v>
      </c>
    </row>
    <row r="37" customFormat="false" ht="15" hidden="false" customHeight="false" outlineLevel="0" collapsed="false">
      <c r="A37" s="2" t="s">
        <v>153</v>
      </c>
      <c r="B37" s="2" t="s">
        <v>107</v>
      </c>
      <c r="C37" s="2" t="s">
        <v>154</v>
      </c>
      <c r="D37" s="2" t="s">
        <v>151</v>
      </c>
      <c r="E37" s="2" t="s">
        <v>152</v>
      </c>
      <c r="F37" s="2" t="s">
        <v>24</v>
      </c>
      <c r="G37" s="2"/>
      <c r="H37" s="2"/>
      <c r="I37" s="2" t="s">
        <v>25</v>
      </c>
      <c r="J37" s="3" t="n">
        <f aca="false">IF(L37="","",AVERAGEIFS(PH_Price,PH_ItemID,A37,PH_Date,L37))</f>
        <v>962</v>
      </c>
      <c r="K37" s="2" t="s">
        <v>26</v>
      </c>
      <c r="L37" s="4" t="n">
        <f aca="false">IF(COUNTIF(PH_ItemID,A37)=0,"",SUMPRODUCT(MAX((PH_ItemID=A37)*PH_Date)))</f>
        <v>46305</v>
      </c>
      <c r="M37" s="5" t="n">
        <f aca="true">IF(ISNUMBER(L37),TODAY()-L37,"")</f>
        <v>16</v>
      </c>
      <c r="N37" s="2" t="s">
        <v>27</v>
      </c>
      <c r="O37" s="4" t="str">
        <f aca="false">IF(L37="","",IF(SUMPRODUCT(MAX((PH_ItemID=A37)*(PH_Date&lt;L37)*PH_Date))=0,"",SUMPRODUCT(MAX((PH_ItemID=A37)*(PH_Date&lt;L37)*PH_Date))))</f>
        <v/>
      </c>
      <c r="P37" s="3" t="str">
        <f aca="false">IF(O37="","",AVERAGEIFS(PH_Price,PH_ItemID,A37,PH_Date,O37))</f>
        <v/>
      </c>
      <c r="Q37" s="6" t="str">
        <f aca="false">IF(OR(J37="",P37=""),"",J37/P37-1)</f>
        <v/>
      </c>
      <c r="R37" s="2" t="str">
        <f aca="false">IF(J37="","unpriced",IF(P37="","new",IF(Q37&gt;0.05,"▲ up",IF(Q37&lt;-0.05,"▼ down","► stable"))))</f>
        <v>new</v>
      </c>
      <c r="S37" s="2" t="s">
        <v>28</v>
      </c>
    </row>
    <row r="38" customFormat="false" ht="15" hidden="false" customHeight="false" outlineLevel="0" collapsed="false">
      <c r="A38" s="2" t="s">
        <v>155</v>
      </c>
      <c r="B38" s="2" t="s">
        <v>107</v>
      </c>
      <c r="C38" s="2" t="s">
        <v>156</v>
      </c>
      <c r="D38" s="2" t="s">
        <v>157</v>
      </c>
      <c r="E38" s="2" t="s">
        <v>152</v>
      </c>
      <c r="F38" s="2" t="s">
        <v>24</v>
      </c>
      <c r="G38" s="2"/>
      <c r="H38" s="2"/>
      <c r="I38" s="2" t="s">
        <v>25</v>
      </c>
      <c r="J38" s="3" t="n">
        <f aca="false">IF(L38="","",AVERAGEIFS(PH_Price,PH_ItemID,A38,PH_Date,L38))</f>
        <v>732</v>
      </c>
      <c r="K38" s="2" t="s">
        <v>26</v>
      </c>
      <c r="L38" s="4" t="n">
        <f aca="false">IF(COUNTIF(PH_ItemID,A38)=0,"",SUMPRODUCT(MAX((PH_ItemID=A38)*PH_Date)))</f>
        <v>46305</v>
      </c>
      <c r="M38" s="5" t="n">
        <f aca="true">IF(ISNUMBER(L38),TODAY()-L38,"")</f>
        <v>16</v>
      </c>
      <c r="N38" s="2" t="s">
        <v>27</v>
      </c>
      <c r="O38" s="4" t="str">
        <f aca="false">IF(L38="","",IF(SUMPRODUCT(MAX((PH_ItemID=A38)*(PH_Date&lt;L38)*PH_Date))=0,"",SUMPRODUCT(MAX((PH_ItemID=A38)*(PH_Date&lt;L38)*PH_Date))))</f>
        <v/>
      </c>
      <c r="P38" s="3" t="str">
        <f aca="false">IF(O38="","",AVERAGEIFS(PH_Price,PH_ItemID,A38,PH_Date,O38))</f>
        <v/>
      </c>
      <c r="Q38" s="6" t="str">
        <f aca="false">IF(OR(J38="",P38=""),"",J38/P38-1)</f>
        <v/>
      </c>
      <c r="R38" s="2" t="str">
        <f aca="false">IF(J38="","unpriced",IF(P38="","new",IF(Q38&gt;0.05,"▲ up",IF(Q38&lt;-0.05,"▼ down","► stable"))))</f>
        <v>new</v>
      </c>
      <c r="S38" s="2" t="s">
        <v>158</v>
      </c>
    </row>
    <row r="39" customFormat="false" ht="15" hidden="false" customHeight="false" outlineLevel="0" collapsed="false">
      <c r="A39" s="2" t="s">
        <v>159</v>
      </c>
      <c r="B39" s="2" t="s">
        <v>107</v>
      </c>
      <c r="C39" s="2" t="s">
        <v>160</v>
      </c>
      <c r="D39" s="2" t="s">
        <v>161</v>
      </c>
      <c r="E39" s="2" t="s">
        <v>162</v>
      </c>
      <c r="F39" s="2" t="s">
        <v>163</v>
      </c>
      <c r="G39" s="2"/>
      <c r="H39" s="2"/>
      <c r="I39" s="2" t="s">
        <v>25</v>
      </c>
      <c r="J39" s="3" t="n">
        <f aca="false">IF(L39="","",AVERAGEIFS(PH_Price,PH_ItemID,A39,PH_Date,L39))</f>
        <v>310</v>
      </c>
      <c r="K39" s="2" t="s">
        <v>26</v>
      </c>
      <c r="L39" s="4" t="n">
        <f aca="false">IF(COUNTIF(PH_ItemID,A39)=0,"",SUMPRODUCT(MAX((PH_ItemID=A39)*PH_Date)))</f>
        <v>46305</v>
      </c>
      <c r="M39" s="5" t="n">
        <f aca="true">IF(ISNUMBER(L39),TODAY()-L39,"")</f>
        <v>16</v>
      </c>
      <c r="N39" s="2" t="s">
        <v>27</v>
      </c>
      <c r="O39" s="4" t="str">
        <f aca="false">IF(L39="","",IF(SUMPRODUCT(MAX((PH_ItemID=A39)*(PH_Date&lt;L39)*PH_Date))=0,"",SUMPRODUCT(MAX((PH_ItemID=A39)*(PH_Date&lt;L39)*PH_Date))))</f>
        <v/>
      </c>
      <c r="P39" s="3" t="str">
        <f aca="false">IF(O39="","",AVERAGEIFS(PH_Price,PH_ItemID,A39,PH_Date,O39))</f>
        <v/>
      </c>
      <c r="Q39" s="6" t="str">
        <f aca="false">IF(OR(J39="",P39=""),"",J39/P39-1)</f>
        <v/>
      </c>
      <c r="R39" s="2" t="str">
        <f aca="false">IF(J39="","unpriced",IF(P39="","new",IF(Q39&gt;0.05,"▲ up",IF(Q39&lt;-0.05,"▼ down","► stable"))))</f>
        <v>new</v>
      </c>
      <c r="S39" s="2"/>
    </row>
    <row r="40" customFormat="false" ht="15" hidden="false" customHeight="false" outlineLevel="0" collapsed="false">
      <c r="A40" s="2" t="s">
        <v>164</v>
      </c>
      <c r="B40" s="2" t="s">
        <v>107</v>
      </c>
      <c r="C40" s="2" t="s">
        <v>165</v>
      </c>
      <c r="D40" s="2" t="s">
        <v>166</v>
      </c>
      <c r="E40" s="2" t="s">
        <v>167</v>
      </c>
      <c r="F40" s="2" t="s">
        <v>119</v>
      </c>
      <c r="G40" s="2"/>
      <c r="H40" s="2"/>
      <c r="I40" s="2" t="s">
        <v>25</v>
      </c>
      <c r="J40" s="3" t="n">
        <f aca="false">IF(L40="","",AVERAGEIFS(PH_Price,PH_ItemID,A40,PH_Date,L40))</f>
        <v>189</v>
      </c>
      <c r="K40" s="2" t="s">
        <v>26</v>
      </c>
      <c r="L40" s="4" t="n">
        <f aca="false">IF(COUNTIF(PH_ItemID,A40)=0,"",SUMPRODUCT(MAX((PH_ItemID=A40)*PH_Date)))</f>
        <v>46319</v>
      </c>
      <c r="M40" s="5" t="n">
        <f aca="true">IF(ISNUMBER(L40),TODAY()-L40,"")</f>
        <v>2</v>
      </c>
      <c r="N40" s="2" t="s">
        <v>27</v>
      </c>
      <c r="O40" s="4" t="n">
        <f aca="false">IF(L40="","",IF(SUMPRODUCT(MAX((PH_ItemID=A40)*(PH_Date&lt;L40)*PH_Date))=0,"",SUMPRODUCT(MAX((PH_ItemID=A40)*(PH_Date&lt;L40)*PH_Date))))</f>
        <v>46305</v>
      </c>
      <c r="P40" s="3" t="n">
        <f aca="false">IF(O40="","",AVERAGEIFS(PH_Price,PH_ItemID,A40,PH_Date,O40))</f>
        <v>166</v>
      </c>
      <c r="Q40" s="6" t="n">
        <f aca="false">IF(OR(J40="",P40=""),"",J40/P40-1)</f>
        <v>0.13855421686747</v>
      </c>
      <c r="R40" s="2" t="str">
        <f aca="false">IF(J40="","unpriced",IF(P40="","new",IF(Q40&gt;0.05,"▲ up",IF(Q40&lt;-0.05,"▼ down","► stable"))))</f>
        <v>▲ up</v>
      </c>
      <c r="S40" s="2"/>
    </row>
    <row r="41" customFormat="false" ht="15" hidden="false" customHeight="false" outlineLevel="0" collapsed="false">
      <c r="A41" s="2" t="s">
        <v>168</v>
      </c>
      <c r="B41" s="2" t="s">
        <v>107</v>
      </c>
      <c r="C41" s="2" t="s">
        <v>169</v>
      </c>
      <c r="D41" s="2" t="s">
        <v>170</v>
      </c>
      <c r="E41" s="2" t="s">
        <v>171</v>
      </c>
      <c r="F41" s="2" t="s">
        <v>119</v>
      </c>
      <c r="G41" s="2"/>
      <c r="H41" s="2"/>
      <c r="I41" s="2" t="s">
        <v>25</v>
      </c>
      <c r="J41" s="3" t="str">
        <f aca="false">IF(L41="","",AVERAGEIFS(PH_Price,PH_ItemID,A41,PH_Date,L41))</f>
        <v/>
      </c>
      <c r="K41" s="2" t="s">
        <v>26</v>
      </c>
      <c r="L41" s="4" t="str">
        <f aca="false">IF(COUNTIF(PH_ItemID,A41)=0,"",SUMPRODUCT(MAX((PH_ItemID=A41)*PH_Date)))</f>
        <v/>
      </c>
      <c r="M41" s="5" t="str">
        <f aca="true">IF(ISNUMBER(L41),TODAY()-L41,"")</f>
        <v/>
      </c>
      <c r="N41" s="2" t="s">
        <v>27</v>
      </c>
      <c r="O41" s="4" t="str">
        <f aca="false">IF(L41="","",IF(SUMPRODUCT(MAX((PH_ItemID=A41)*(PH_Date&lt;L41)*PH_Date))=0,"",SUMPRODUCT(MAX((PH_ItemID=A41)*(PH_Date&lt;L41)*PH_Date))))</f>
        <v/>
      </c>
      <c r="P41" s="3" t="str">
        <f aca="false">IF(O41="","",AVERAGEIFS(PH_Price,PH_ItemID,A41,PH_Date,O41))</f>
        <v/>
      </c>
      <c r="Q41" s="6" t="str">
        <f aca="false">IF(OR(J41="",P41=""),"",J41/P41-1)</f>
        <v/>
      </c>
      <c r="R41" s="2" t="str">
        <f aca="false">IF(J41="","unpriced",IF(P41="","new",IF(Q41&gt;0.05,"▲ up",IF(Q41&lt;-0.05,"▼ down","► stable"))))</f>
        <v>unpriced</v>
      </c>
      <c r="S41" s="2" t="s">
        <v>50</v>
      </c>
    </row>
    <row r="42" customFormat="false" ht="15" hidden="false" customHeight="false" outlineLevel="0" collapsed="false">
      <c r="A42" s="2" t="s">
        <v>172</v>
      </c>
      <c r="B42" s="2" t="s">
        <v>107</v>
      </c>
      <c r="C42" s="2" t="s">
        <v>173</v>
      </c>
      <c r="D42" s="2" t="s">
        <v>174</v>
      </c>
      <c r="E42" s="2" t="s">
        <v>171</v>
      </c>
      <c r="F42" s="2" t="s">
        <v>119</v>
      </c>
      <c r="G42" s="2"/>
      <c r="H42" s="2"/>
      <c r="I42" s="2" t="s">
        <v>25</v>
      </c>
      <c r="J42" s="3" t="str">
        <f aca="false">IF(L42="","",AVERAGEIFS(PH_Price,PH_ItemID,A42,PH_Date,L42))</f>
        <v/>
      </c>
      <c r="K42" s="2" t="s">
        <v>26</v>
      </c>
      <c r="L42" s="4" t="str">
        <f aca="false">IF(COUNTIF(PH_ItemID,A42)=0,"",SUMPRODUCT(MAX((PH_ItemID=A42)*PH_Date)))</f>
        <v/>
      </c>
      <c r="M42" s="5" t="str">
        <f aca="true">IF(ISNUMBER(L42),TODAY()-L42,"")</f>
        <v/>
      </c>
      <c r="N42" s="2" t="s">
        <v>27</v>
      </c>
      <c r="O42" s="4" t="str">
        <f aca="false">IF(L42="","",IF(SUMPRODUCT(MAX((PH_ItemID=A42)*(PH_Date&lt;L42)*PH_Date))=0,"",SUMPRODUCT(MAX((PH_ItemID=A42)*(PH_Date&lt;L42)*PH_Date))))</f>
        <v/>
      </c>
      <c r="P42" s="3" t="str">
        <f aca="false">IF(O42="","",AVERAGEIFS(PH_Price,PH_ItemID,A42,PH_Date,O42))</f>
        <v/>
      </c>
      <c r="Q42" s="6" t="str">
        <f aca="false">IF(OR(J42="",P42=""),"",J42/P42-1)</f>
        <v/>
      </c>
      <c r="R42" s="2" t="str">
        <f aca="false">IF(J42="","unpriced",IF(P42="","new",IF(Q42&gt;0.05,"▲ up",IF(Q42&lt;-0.05,"▼ down","► stable"))))</f>
        <v>unpriced</v>
      </c>
      <c r="S42" s="2" t="s">
        <v>50</v>
      </c>
    </row>
    <row r="43" customFormat="false" ht="15" hidden="false" customHeight="false" outlineLevel="0" collapsed="false">
      <c r="A43" s="2" t="s">
        <v>175</v>
      </c>
      <c r="B43" s="2" t="s">
        <v>176</v>
      </c>
      <c r="C43" s="2" t="s">
        <v>177</v>
      </c>
      <c r="D43" s="2" t="s">
        <v>178</v>
      </c>
      <c r="E43" s="2" t="s">
        <v>179</v>
      </c>
      <c r="F43" s="2" t="s">
        <v>24</v>
      </c>
      <c r="G43" s="2"/>
      <c r="H43" s="2"/>
      <c r="I43" s="2" t="s">
        <v>25</v>
      </c>
      <c r="J43" s="3" t="n">
        <f aca="false">IF(L43="","",AVERAGEIFS(PH_Price,PH_ItemID,A43,PH_Date,L43))</f>
        <v>513</v>
      </c>
      <c r="K43" s="2" t="s">
        <v>26</v>
      </c>
      <c r="L43" s="4" t="n">
        <f aca="false">IF(COUNTIF(PH_ItemID,A43)=0,"",SUMPRODUCT(MAX((PH_ItemID=A43)*PH_Date)))</f>
        <v>46305</v>
      </c>
      <c r="M43" s="5" t="n">
        <f aca="true">IF(ISNUMBER(L43),TODAY()-L43,"")</f>
        <v>16</v>
      </c>
      <c r="N43" s="2" t="s">
        <v>27</v>
      </c>
      <c r="O43" s="4" t="str">
        <f aca="false">IF(L43="","",IF(SUMPRODUCT(MAX((PH_ItemID=A43)*(PH_Date&lt;L43)*PH_Date))=0,"",SUMPRODUCT(MAX((PH_ItemID=A43)*(PH_Date&lt;L43)*PH_Date))))</f>
        <v/>
      </c>
      <c r="P43" s="3" t="str">
        <f aca="false">IF(O43="","",AVERAGEIFS(PH_Price,PH_ItemID,A43,PH_Date,O43))</f>
        <v/>
      </c>
      <c r="Q43" s="6" t="str">
        <f aca="false">IF(OR(J43="",P43=""),"",J43/P43-1)</f>
        <v/>
      </c>
      <c r="R43" s="2" t="str">
        <f aca="false">IF(J43="","unpriced",IF(P43="","new",IF(Q43&gt;0.05,"▲ up",IF(Q43&lt;-0.05,"▼ down","► stable"))))</f>
        <v>new</v>
      </c>
      <c r="S43" s="2" t="s">
        <v>28</v>
      </c>
    </row>
    <row r="44" customFormat="false" ht="15" hidden="false" customHeight="false" outlineLevel="0" collapsed="false">
      <c r="A44" s="2" t="s">
        <v>180</v>
      </c>
      <c r="B44" s="2" t="s">
        <v>176</v>
      </c>
      <c r="C44" s="2" t="s">
        <v>181</v>
      </c>
      <c r="D44" s="2" t="s">
        <v>178</v>
      </c>
      <c r="E44" s="2" t="s">
        <v>179</v>
      </c>
      <c r="F44" s="2" t="s">
        <v>24</v>
      </c>
      <c r="G44" s="2"/>
      <c r="H44" s="2"/>
      <c r="I44" s="2" t="s">
        <v>25</v>
      </c>
      <c r="J44" s="3" t="n">
        <f aca="false">IF(L44="","",AVERAGEIFS(PH_Price,PH_ItemID,A44,PH_Date,L44))</f>
        <v>678</v>
      </c>
      <c r="K44" s="2" t="s">
        <v>26</v>
      </c>
      <c r="L44" s="4" t="n">
        <f aca="false">IF(COUNTIF(PH_ItemID,A44)=0,"",SUMPRODUCT(MAX((PH_ItemID=A44)*PH_Date)))</f>
        <v>46305</v>
      </c>
      <c r="M44" s="5" t="n">
        <f aca="true">IF(ISNUMBER(L44),TODAY()-L44,"")</f>
        <v>16</v>
      </c>
      <c r="N44" s="2" t="s">
        <v>27</v>
      </c>
      <c r="O44" s="4" t="str">
        <f aca="false">IF(L44="","",IF(SUMPRODUCT(MAX((PH_ItemID=A44)*(PH_Date&lt;L44)*PH_Date))=0,"",SUMPRODUCT(MAX((PH_ItemID=A44)*(PH_Date&lt;L44)*PH_Date))))</f>
        <v/>
      </c>
      <c r="P44" s="3" t="str">
        <f aca="false">IF(O44="","",AVERAGEIFS(PH_Price,PH_ItemID,A44,PH_Date,O44))</f>
        <v/>
      </c>
      <c r="Q44" s="6" t="str">
        <f aca="false">IF(OR(J44="",P44=""),"",J44/P44-1)</f>
        <v/>
      </c>
      <c r="R44" s="2" t="str">
        <f aca="false">IF(J44="","unpriced",IF(P44="","new",IF(Q44&gt;0.05,"▲ up",IF(Q44&lt;-0.05,"▼ down","► stable"))))</f>
        <v>new</v>
      </c>
      <c r="S44" s="2" t="s">
        <v>28</v>
      </c>
    </row>
    <row r="45" customFormat="false" ht="15" hidden="false" customHeight="false" outlineLevel="0" collapsed="false">
      <c r="A45" s="2" t="s">
        <v>182</v>
      </c>
      <c r="B45" s="2" t="s">
        <v>176</v>
      </c>
      <c r="C45" s="2" t="s">
        <v>183</v>
      </c>
      <c r="D45" s="2" t="s">
        <v>178</v>
      </c>
      <c r="E45" s="2" t="s">
        <v>179</v>
      </c>
      <c r="F45" s="2" t="s">
        <v>24</v>
      </c>
      <c r="G45" s="2"/>
      <c r="H45" s="2"/>
      <c r="I45" s="2" t="s">
        <v>25</v>
      </c>
      <c r="J45" s="3" t="n">
        <f aca="false">IF(L45="","",AVERAGEIFS(PH_Price,PH_ItemID,A45,PH_Date,L45))</f>
        <v>827</v>
      </c>
      <c r="K45" s="2" t="s">
        <v>26</v>
      </c>
      <c r="L45" s="4" t="n">
        <f aca="false">IF(COUNTIF(PH_ItemID,A45)=0,"",SUMPRODUCT(MAX((PH_ItemID=A45)*PH_Date)))</f>
        <v>46305</v>
      </c>
      <c r="M45" s="5" t="n">
        <f aca="true">IF(ISNUMBER(L45),TODAY()-L45,"")</f>
        <v>16</v>
      </c>
      <c r="N45" s="2" t="s">
        <v>27</v>
      </c>
      <c r="O45" s="4" t="str">
        <f aca="false">IF(L45="","",IF(SUMPRODUCT(MAX((PH_ItemID=A45)*(PH_Date&lt;L45)*PH_Date))=0,"",SUMPRODUCT(MAX((PH_ItemID=A45)*(PH_Date&lt;L45)*PH_Date))))</f>
        <v/>
      </c>
      <c r="P45" s="3" t="str">
        <f aca="false">IF(O45="","",AVERAGEIFS(PH_Price,PH_ItemID,A45,PH_Date,O45))</f>
        <v/>
      </c>
      <c r="Q45" s="6" t="str">
        <f aca="false">IF(OR(J45="",P45=""),"",J45/P45-1)</f>
        <v/>
      </c>
      <c r="R45" s="2" t="str">
        <f aca="false">IF(J45="","unpriced",IF(P45="","new",IF(Q45&gt;0.05,"▲ up",IF(Q45&lt;-0.05,"▼ down","► stable"))))</f>
        <v>new</v>
      </c>
      <c r="S45" s="2" t="s">
        <v>28</v>
      </c>
    </row>
    <row r="46" customFormat="false" ht="15" hidden="false" customHeight="false" outlineLevel="0" collapsed="false">
      <c r="A46" s="2" t="s">
        <v>184</v>
      </c>
      <c r="B46" s="2" t="s">
        <v>176</v>
      </c>
      <c r="C46" s="2" t="s">
        <v>185</v>
      </c>
      <c r="D46" s="2" t="s">
        <v>186</v>
      </c>
      <c r="E46" s="2" t="s">
        <v>187</v>
      </c>
      <c r="F46" s="2" t="s">
        <v>24</v>
      </c>
      <c r="G46" s="2"/>
      <c r="H46" s="2"/>
      <c r="I46" s="2" t="s">
        <v>25</v>
      </c>
      <c r="J46" s="3" t="n">
        <f aca="false">IF(L46="","",AVERAGEIFS(PH_Price,PH_ItemID,A46,PH_Date,L46))</f>
        <v>9</v>
      </c>
      <c r="K46" s="2" t="s">
        <v>26</v>
      </c>
      <c r="L46" s="4" t="n">
        <f aca="false">IF(COUNTIF(PH_ItemID,A46)=0,"",SUMPRODUCT(MAX((PH_ItemID=A46)*PH_Date)))</f>
        <v>46305</v>
      </c>
      <c r="M46" s="5" t="n">
        <f aca="true">IF(ISNUMBER(L46),TODAY()-L46,"")</f>
        <v>16</v>
      </c>
      <c r="N46" s="2" t="s">
        <v>27</v>
      </c>
      <c r="O46" s="4" t="str">
        <f aca="false">IF(L46="","",IF(SUMPRODUCT(MAX((PH_ItemID=A46)*(PH_Date&lt;L46)*PH_Date))=0,"",SUMPRODUCT(MAX((PH_ItemID=A46)*(PH_Date&lt;L46)*PH_Date))))</f>
        <v/>
      </c>
      <c r="P46" s="3" t="str">
        <f aca="false">IF(O46="","",AVERAGEIFS(PH_Price,PH_ItemID,A46,PH_Date,O46))</f>
        <v/>
      </c>
      <c r="Q46" s="6" t="str">
        <f aca="false">IF(OR(J46="",P46=""),"",J46/P46-1)</f>
        <v/>
      </c>
      <c r="R46" s="2" t="str">
        <f aca="false">IF(J46="","unpriced",IF(P46="","new",IF(Q46&gt;0.05,"▲ up",IF(Q46&lt;-0.05,"▼ down","► stable"))))</f>
        <v>new</v>
      </c>
      <c r="S46" s="2" t="s">
        <v>28</v>
      </c>
    </row>
    <row r="47" customFormat="false" ht="15" hidden="false" customHeight="false" outlineLevel="0" collapsed="false">
      <c r="A47" s="2" t="s">
        <v>188</v>
      </c>
      <c r="B47" s="2" t="s">
        <v>176</v>
      </c>
      <c r="C47" s="2" t="s">
        <v>189</v>
      </c>
      <c r="D47" s="2" t="s">
        <v>190</v>
      </c>
      <c r="E47" s="2" t="s">
        <v>191</v>
      </c>
      <c r="F47" s="2" t="s">
        <v>24</v>
      </c>
      <c r="G47" s="2"/>
      <c r="H47" s="2"/>
      <c r="I47" s="2" t="s">
        <v>25</v>
      </c>
      <c r="J47" s="3" t="n">
        <f aca="false">IF(L47="","",AVERAGEIFS(PH_Price,PH_ItemID,A47,PH_Date,L47))</f>
        <v>12</v>
      </c>
      <c r="K47" s="2" t="s">
        <v>26</v>
      </c>
      <c r="L47" s="4" t="n">
        <f aca="false">IF(COUNTIF(PH_ItemID,A47)=0,"",SUMPRODUCT(MAX((PH_ItemID=A47)*PH_Date)))</f>
        <v>46305</v>
      </c>
      <c r="M47" s="5" t="n">
        <f aca="true">IF(ISNUMBER(L47),TODAY()-L47,"")</f>
        <v>16</v>
      </c>
      <c r="N47" s="2" t="s">
        <v>27</v>
      </c>
      <c r="O47" s="4" t="str">
        <f aca="false">IF(L47="","",IF(SUMPRODUCT(MAX((PH_ItemID=A47)*(PH_Date&lt;L47)*PH_Date))=0,"",SUMPRODUCT(MAX((PH_ItemID=A47)*(PH_Date&lt;L47)*PH_Date))))</f>
        <v/>
      </c>
      <c r="P47" s="3" t="str">
        <f aca="false">IF(O47="","",AVERAGEIFS(PH_Price,PH_ItemID,A47,PH_Date,O47))</f>
        <v/>
      </c>
      <c r="Q47" s="6" t="str">
        <f aca="false">IF(OR(J47="",P47=""),"",J47/P47-1)</f>
        <v/>
      </c>
      <c r="R47" s="2" t="str">
        <f aca="false">IF(J47="","unpriced",IF(P47="","new",IF(Q47&gt;0.05,"▲ up",IF(Q47&lt;-0.05,"▼ down","► stable"))))</f>
        <v>new</v>
      </c>
      <c r="S47" s="2" t="s">
        <v>28</v>
      </c>
    </row>
    <row r="48" customFormat="false" ht="15" hidden="false" customHeight="false" outlineLevel="0" collapsed="false">
      <c r="A48" s="2" t="s">
        <v>192</v>
      </c>
      <c r="B48" s="2" t="s">
        <v>176</v>
      </c>
      <c r="C48" s="2" t="s">
        <v>193</v>
      </c>
      <c r="D48" s="2" t="s">
        <v>194</v>
      </c>
      <c r="E48" s="2" t="s">
        <v>195</v>
      </c>
      <c r="F48" s="2" t="s">
        <v>119</v>
      </c>
      <c r="G48" s="2" t="s">
        <v>196</v>
      </c>
      <c r="H48" s="2"/>
      <c r="I48" s="2" t="s">
        <v>95</v>
      </c>
      <c r="J48" s="3" t="n">
        <f aca="false">IF(L48="","",AVERAGEIFS(PH_Price,PH_ItemID,A48,PH_Date,L48))</f>
        <v>492</v>
      </c>
      <c r="K48" s="2" t="s">
        <v>26</v>
      </c>
      <c r="L48" s="4" t="n">
        <f aca="false">IF(COUNTIF(PH_ItemID,A48)=0,"",SUMPRODUCT(MAX((PH_ItemID=A48)*PH_Date)))</f>
        <v>46305</v>
      </c>
      <c r="M48" s="5" t="n">
        <f aca="true">IF(ISNUMBER(L48),TODAY()-L48,"")</f>
        <v>16</v>
      </c>
      <c r="N48" s="2" t="s">
        <v>104</v>
      </c>
      <c r="O48" s="4" t="str">
        <f aca="false">IF(L48="","",IF(SUMPRODUCT(MAX((PH_ItemID=A48)*(PH_Date&lt;L48)*PH_Date))=0,"",SUMPRODUCT(MAX((PH_ItemID=A48)*(PH_Date&lt;L48)*PH_Date))))</f>
        <v/>
      </c>
      <c r="P48" s="3" t="str">
        <f aca="false">IF(O48="","",AVERAGEIFS(PH_Price,PH_ItemID,A48,PH_Date,O48))</f>
        <v/>
      </c>
      <c r="Q48" s="6" t="str">
        <f aca="false">IF(OR(J48="",P48=""),"",J48/P48-1)</f>
        <v/>
      </c>
      <c r="R48" s="2" t="str">
        <f aca="false">IF(J48="","unpriced",IF(P48="","new",IF(Q48&gt;0.05,"▲ up",IF(Q48&lt;-0.05,"▼ down","► stable"))))</f>
        <v>new</v>
      </c>
      <c r="S48" s="2" t="s">
        <v>197</v>
      </c>
    </row>
    <row r="49" customFormat="false" ht="15" hidden="false" customHeight="false" outlineLevel="0" collapsed="false">
      <c r="A49" s="2" t="s">
        <v>198</v>
      </c>
      <c r="B49" s="2" t="s">
        <v>176</v>
      </c>
      <c r="C49" s="2" t="s">
        <v>199</v>
      </c>
      <c r="D49" s="2" t="s">
        <v>200</v>
      </c>
      <c r="E49" s="2" t="s">
        <v>201</v>
      </c>
      <c r="F49" s="2" t="s">
        <v>202</v>
      </c>
      <c r="G49" s="2"/>
      <c r="H49" s="2"/>
      <c r="I49" s="2" t="s">
        <v>25</v>
      </c>
      <c r="J49" s="3" t="n">
        <f aca="false">IF(L49="","",AVERAGEIFS(PH_Price,PH_ItemID,A49,PH_Date,L49))</f>
        <v>60</v>
      </c>
      <c r="K49" s="2" t="s">
        <v>26</v>
      </c>
      <c r="L49" s="4" t="n">
        <f aca="false">IF(COUNTIF(PH_ItemID,A49)=0,"",SUMPRODUCT(MAX((PH_ItemID=A49)*PH_Date)))</f>
        <v>46305</v>
      </c>
      <c r="M49" s="5" t="n">
        <f aca="true">IF(ISNUMBER(L49),TODAY()-L49,"")</f>
        <v>16</v>
      </c>
      <c r="N49" s="2" t="s">
        <v>104</v>
      </c>
      <c r="O49" s="4" t="str">
        <f aca="false">IF(L49="","",IF(SUMPRODUCT(MAX((PH_ItemID=A49)*(PH_Date&lt;L49)*PH_Date))=0,"",SUMPRODUCT(MAX((PH_ItemID=A49)*(PH_Date&lt;L49)*PH_Date))))</f>
        <v/>
      </c>
      <c r="P49" s="3" t="str">
        <f aca="false">IF(O49="","",AVERAGEIFS(PH_Price,PH_ItemID,A49,PH_Date,O49))</f>
        <v/>
      </c>
      <c r="Q49" s="6" t="str">
        <f aca="false">IF(OR(J49="",P49=""),"",J49/P49-1)</f>
        <v/>
      </c>
      <c r="R49" s="2" t="str">
        <f aca="false">IF(J49="","unpriced",IF(P49="","new",IF(Q49&gt;0.05,"▲ up",IF(Q49&lt;-0.05,"▼ down","► stable"))))</f>
        <v>new</v>
      </c>
      <c r="S49" s="2" t="s">
        <v>203</v>
      </c>
    </row>
    <row r="50" customFormat="false" ht="15" hidden="false" customHeight="false" outlineLevel="0" collapsed="false">
      <c r="A50" s="2" t="s">
        <v>204</v>
      </c>
      <c r="B50" s="2" t="s">
        <v>176</v>
      </c>
      <c r="C50" s="2" t="s">
        <v>205</v>
      </c>
      <c r="D50" s="2" t="s">
        <v>206</v>
      </c>
      <c r="E50" s="2" t="s">
        <v>201</v>
      </c>
      <c r="F50" s="2" t="s">
        <v>202</v>
      </c>
      <c r="G50" s="2"/>
      <c r="H50" s="2"/>
      <c r="I50" s="2" t="s">
        <v>25</v>
      </c>
      <c r="J50" s="3" t="n">
        <f aca="false">IF(L50="","",AVERAGEIFS(PH_Price,PH_ItemID,A50,PH_Date,L50))</f>
        <v>430</v>
      </c>
      <c r="K50" s="2" t="s">
        <v>26</v>
      </c>
      <c r="L50" s="4" t="n">
        <f aca="false">IF(COUNTIF(PH_ItemID,A50)=0,"",SUMPRODUCT(MAX((PH_ItemID=A50)*PH_Date)))</f>
        <v>46305</v>
      </c>
      <c r="M50" s="5" t="n">
        <f aca="true">IF(ISNUMBER(L50),TODAY()-L50,"")</f>
        <v>16</v>
      </c>
      <c r="N50" s="2" t="s">
        <v>104</v>
      </c>
      <c r="O50" s="4" t="str">
        <f aca="false">IF(L50="","",IF(SUMPRODUCT(MAX((PH_ItemID=A50)*(PH_Date&lt;L50)*PH_Date))=0,"",SUMPRODUCT(MAX((PH_ItemID=A50)*(PH_Date&lt;L50)*PH_Date))))</f>
        <v/>
      </c>
      <c r="P50" s="3" t="str">
        <f aca="false">IF(O50="","",AVERAGEIFS(PH_Price,PH_ItemID,A50,PH_Date,O50))</f>
        <v/>
      </c>
      <c r="Q50" s="6" t="str">
        <f aca="false">IF(OR(J50="",P50=""),"",J50/P50-1)</f>
        <v/>
      </c>
      <c r="R50" s="2" t="str">
        <f aca="false">IF(J50="","unpriced",IF(P50="","new",IF(Q50&gt;0.05,"▲ up",IF(Q50&lt;-0.05,"▼ down","► stable"))))</f>
        <v>new</v>
      </c>
      <c r="S50" s="2" t="s">
        <v>203</v>
      </c>
    </row>
    <row r="51" customFormat="false" ht="15" hidden="false" customHeight="false" outlineLevel="0" collapsed="false">
      <c r="A51" s="2" t="s">
        <v>207</v>
      </c>
      <c r="B51" s="2" t="s">
        <v>176</v>
      </c>
      <c r="C51" s="2" t="s">
        <v>208</v>
      </c>
      <c r="D51" s="2" t="s">
        <v>209</v>
      </c>
      <c r="E51" s="2" t="s">
        <v>210</v>
      </c>
      <c r="F51" s="2" t="s">
        <v>24</v>
      </c>
      <c r="G51" s="2"/>
      <c r="H51" s="2"/>
      <c r="I51" s="2" t="s">
        <v>25</v>
      </c>
      <c r="J51" s="3" t="n">
        <f aca="false">IF(L51="","",AVERAGEIFS(PH_Price,PH_ItemID,A51,PH_Date,L51))</f>
        <v>949</v>
      </c>
      <c r="K51" s="2" t="s">
        <v>26</v>
      </c>
      <c r="L51" s="4" t="n">
        <f aca="false">IF(COUNTIF(PH_ItemID,A51)=0,"",SUMPRODUCT(MAX((PH_ItemID=A51)*PH_Date)))</f>
        <v>46305</v>
      </c>
      <c r="M51" s="5" t="n">
        <f aca="true">IF(ISNUMBER(L51),TODAY()-L51,"")</f>
        <v>16</v>
      </c>
      <c r="N51" s="2" t="s">
        <v>27</v>
      </c>
      <c r="O51" s="4" t="str">
        <f aca="false">IF(L51="","",IF(SUMPRODUCT(MAX((PH_ItemID=A51)*(PH_Date&lt;L51)*PH_Date))=0,"",SUMPRODUCT(MAX((PH_ItemID=A51)*(PH_Date&lt;L51)*PH_Date))))</f>
        <v/>
      </c>
      <c r="P51" s="3" t="str">
        <f aca="false">IF(O51="","",AVERAGEIFS(PH_Price,PH_ItemID,A51,PH_Date,O51))</f>
        <v/>
      </c>
      <c r="Q51" s="6" t="str">
        <f aca="false">IF(OR(J51="",P51=""),"",J51/P51-1)</f>
        <v/>
      </c>
      <c r="R51" s="2" t="str">
        <f aca="false">IF(J51="","unpriced",IF(P51="","new",IF(Q51&gt;0.05,"▲ up",IF(Q51&lt;-0.05,"▼ down","► stable"))))</f>
        <v>new</v>
      </c>
      <c r="S51" s="2" t="s">
        <v>211</v>
      </c>
    </row>
    <row r="52" customFormat="false" ht="15" hidden="false" customHeight="false" outlineLevel="0" collapsed="false">
      <c r="A52" s="2" t="s">
        <v>212</v>
      </c>
      <c r="B52" s="2" t="s">
        <v>176</v>
      </c>
      <c r="C52" s="2" t="s">
        <v>213</v>
      </c>
      <c r="D52" s="2" t="s">
        <v>209</v>
      </c>
      <c r="E52" s="2" t="s">
        <v>214</v>
      </c>
      <c r="F52" s="2" t="s">
        <v>24</v>
      </c>
      <c r="G52" s="2"/>
      <c r="H52" s="2"/>
      <c r="I52" s="2" t="s">
        <v>25</v>
      </c>
      <c r="J52" s="3" t="n">
        <f aca="false">IF(L52="","",AVERAGEIFS(PH_Price,PH_ItemID,A52,PH_Date,L52))</f>
        <v>1296</v>
      </c>
      <c r="K52" s="2" t="s">
        <v>26</v>
      </c>
      <c r="L52" s="4" t="n">
        <f aca="false">IF(COUNTIF(PH_ItemID,A52)=0,"",SUMPRODUCT(MAX((PH_ItemID=A52)*PH_Date)))</f>
        <v>46305</v>
      </c>
      <c r="M52" s="5" t="n">
        <f aca="true">IF(ISNUMBER(L52),TODAY()-L52,"")</f>
        <v>16</v>
      </c>
      <c r="N52" s="2" t="s">
        <v>27</v>
      </c>
      <c r="O52" s="4" t="str">
        <f aca="false">IF(L52="","",IF(SUMPRODUCT(MAX((PH_ItemID=A52)*(PH_Date&lt;L52)*PH_Date))=0,"",SUMPRODUCT(MAX((PH_ItemID=A52)*(PH_Date&lt;L52)*PH_Date))))</f>
        <v/>
      </c>
      <c r="P52" s="3" t="str">
        <f aca="false">IF(O52="","",AVERAGEIFS(PH_Price,PH_ItemID,A52,PH_Date,O52))</f>
        <v/>
      </c>
      <c r="Q52" s="6" t="str">
        <f aca="false">IF(OR(J52="",P52=""),"",J52/P52-1)</f>
        <v/>
      </c>
      <c r="R52" s="2" t="str">
        <f aca="false">IF(J52="","unpriced",IF(P52="","new",IF(Q52&gt;0.05,"▲ up",IF(Q52&lt;-0.05,"▼ down","► stable"))))</f>
        <v>new</v>
      </c>
      <c r="S52" s="2" t="s">
        <v>211</v>
      </c>
    </row>
    <row r="53" customFormat="false" ht="15" hidden="false" customHeight="false" outlineLevel="0" collapsed="false">
      <c r="A53" s="2" t="s">
        <v>215</v>
      </c>
      <c r="B53" s="2" t="s">
        <v>176</v>
      </c>
      <c r="C53" s="2" t="s">
        <v>216</v>
      </c>
      <c r="D53" s="2" t="s">
        <v>217</v>
      </c>
      <c r="E53" s="2" t="s">
        <v>218</v>
      </c>
      <c r="F53" s="2" t="s">
        <v>119</v>
      </c>
      <c r="G53" s="2" t="s">
        <v>196</v>
      </c>
      <c r="H53" s="2"/>
      <c r="I53" s="2" t="s">
        <v>95</v>
      </c>
      <c r="J53" s="3" t="n">
        <f aca="false">IF(L53="","",AVERAGEIFS(PH_Price,PH_ItemID,A53,PH_Date,L53))</f>
        <v>473</v>
      </c>
      <c r="K53" s="2" t="s">
        <v>26</v>
      </c>
      <c r="L53" s="4" t="n">
        <f aca="false">IF(COUNTIF(PH_ItemID,A53)=0,"",SUMPRODUCT(MAX((PH_ItemID=A53)*PH_Date)))</f>
        <v>46305</v>
      </c>
      <c r="M53" s="5" t="n">
        <f aca="true">IF(ISNUMBER(L53),TODAY()-L53,"")</f>
        <v>16</v>
      </c>
      <c r="N53" s="2" t="s">
        <v>104</v>
      </c>
      <c r="O53" s="4" t="str">
        <f aca="false">IF(L53="","",IF(SUMPRODUCT(MAX((PH_ItemID=A53)*(PH_Date&lt;L53)*PH_Date))=0,"",SUMPRODUCT(MAX((PH_ItemID=A53)*(PH_Date&lt;L53)*PH_Date))))</f>
        <v/>
      </c>
      <c r="P53" s="3" t="str">
        <f aca="false">IF(O53="","",AVERAGEIFS(PH_Price,PH_ItemID,A53,PH_Date,O53))</f>
        <v/>
      </c>
      <c r="Q53" s="6" t="str">
        <f aca="false">IF(OR(J53="",P53=""),"",J53/P53-1)</f>
        <v/>
      </c>
      <c r="R53" s="2" t="str">
        <f aca="false">IF(J53="","unpriced",IF(P53="","new",IF(Q53&gt;0.05,"▲ up",IF(Q53&lt;-0.05,"▼ down","► stable"))))</f>
        <v>new</v>
      </c>
      <c r="S53" s="2" t="s">
        <v>219</v>
      </c>
    </row>
    <row r="54" customFormat="false" ht="15" hidden="false" customHeight="false" outlineLevel="0" collapsed="false">
      <c r="A54" s="2" t="s">
        <v>220</v>
      </c>
      <c r="B54" s="2" t="s">
        <v>176</v>
      </c>
      <c r="C54" s="2" t="s">
        <v>221</v>
      </c>
      <c r="D54" s="2" t="s">
        <v>222</v>
      </c>
      <c r="E54" s="2" t="s">
        <v>223</v>
      </c>
      <c r="F54" s="2" t="s">
        <v>24</v>
      </c>
      <c r="G54" s="2"/>
      <c r="H54" s="2"/>
      <c r="I54" s="2" t="s">
        <v>25</v>
      </c>
      <c r="J54" s="3" t="n">
        <f aca="false">IF(L54="","",AVERAGEIFS(PH_Price,PH_ItemID,A54,PH_Date,L54))</f>
        <v>41</v>
      </c>
      <c r="K54" s="2" t="s">
        <v>26</v>
      </c>
      <c r="L54" s="4" t="n">
        <f aca="false">IF(COUNTIF(PH_ItemID,A54)=0,"",SUMPRODUCT(MAX((PH_ItemID=A54)*PH_Date)))</f>
        <v>46305</v>
      </c>
      <c r="M54" s="5" t="n">
        <f aca="true">IF(ISNUMBER(L54),TODAY()-L54,"")</f>
        <v>16</v>
      </c>
      <c r="N54" s="2" t="s">
        <v>27</v>
      </c>
      <c r="O54" s="4" t="str">
        <f aca="false">IF(L54="","",IF(SUMPRODUCT(MAX((PH_ItemID=A54)*(PH_Date&lt;L54)*PH_Date))=0,"",SUMPRODUCT(MAX((PH_ItemID=A54)*(PH_Date&lt;L54)*PH_Date))))</f>
        <v/>
      </c>
      <c r="P54" s="3" t="str">
        <f aca="false">IF(O54="","",AVERAGEIFS(PH_Price,PH_ItemID,A54,PH_Date,O54))</f>
        <v/>
      </c>
      <c r="Q54" s="6" t="str">
        <f aca="false">IF(OR(J54="",P54=""),"",J54/P54-1)</f>
        <v/>
      </c>
      <c r="R54" s="2" t="str">
        <f aca="false">IF(J54="","unpriced",IF(P54="","new",IF(Q54&gt;0.05,"▲ up",IF(Q54&lt;-0.05,"▼ down","► stable"))))</f>
        <v>new</v>
      </c>
      <c r="S54" s="2" t="s">
        <v>28</v>
      </c>
    </row>
    <row r="55" customFormat="false" ht="15" hidden="false" customHeight="false" outlineLevel="0" collapsed="false">
      <c r="A55" s="2" t="s">
        <v>224</v>
      </c>
      <c r="B55" s="2" t="s">
        <v>176</v>
      </c>
      <c r="C55" s="2" t="s">
        <v>225</v>
      </c>
      <c r="D55" s="2" t="s">
        <v>226</v>
      </c>
      <c r="E55" s="2" t="s">
        <v>218</v>
      </c>
      <c r="F55" s="2" t="s">
        <v>119</v>
      </c>
      <c r="G55" s="2"/>
      <c r="H55" s="2"/>
      <c r="I55" s="2" t="s">
        <v>25</v>
      </c>
      <c r="J55" s="3" t="n">
        <f aca="false">IF(L55="","",AVERAGEIFS(PH_Price,PH_ItemID,A55,PH_Date,L55))</f>
        <v>161</v>
      </c>
      <c r="K55" s="2" t="s">
        <v>26</v>
      </c>
      <c r="L55" s="4" t="n">
        <f aca="false">IF(COUNTIF(PH_ItemID,A55)=0,"",SUMPRODUCT(MAX((PH_ItemID=A55)*PH_Date)))</f>
        <v>46305</v>
      </c>
      <c r="M55" s="5" t="n">
        <f aca="true">IF(ISNUMBER(L55),TODAY()-L55,"")</f>
        <v>16</v>
      </c>
      <c r="N55" s="2" t="s">
        <v>104</v>
      </c>
      <c r="O55" s="4" t="str">
        <f aca="false">IF(L55="","",IF(SUMPRODUCT(MAX((PH_ItemID=A55)*(PH_Date&lt;L55)*PH_Date))=0,"",SUMPRODUCT(MAX((PH_ItemID=A55)*(PH_Date&lt;L55)*PH_Date))))</f>
        <v/>
      </c>
      <c r="P55" s="3" t="str">
        <f aca="false">IF(O55="","",AVERAGEIFS(PH_Price,PH_ItemID,A55,PH_Date,O55))</f>
        <v/>
      </c>
      <c r="Q55" s="6" t="str">
        <f aca="false">IF(OR(J55="",P55=""),"",J55/P55-1)</f>
        <v/>
      </c>
      <c r="R55" s="2" t="str">
        <f aca="false">IF(J55="","unpriced",IF(P55="","new",IF(Q55&gt;0.05,"▲ up",IF(Q55&lt;-0.05,"▼ down","► stable"))))</f>
        <v>new</v>
      </c>
      <c r="S55" s="2" t="s">
        <v>227</v>
      </c>
    </row>
    <row r="56" customFormat="false" ht="15" hidden="false" customHeight="false" outlineLevel="0" collapsed="false">
      <c r="A56" s="2" t="s">
        <v>228</v>
      </c>
      <c r="B56" s="2" t="s">
        <v>229</v>
      </c>
      <c r="C56" s="2" t="s">
        <v>230</v>
      </c>
      <c r="D56" s="2" t="s">
        <v>231</v>
      </c>
      <c r="E56" s="2" t="s">
        <v>232</v>
      </c>
      <c r="F56" s="2" t="s">
        <v>24</v>
      </c>
      <c r="G56" s="2"/>
      <c r="H56" s="2"/>
      <c r="I56" s="2" t="s">
        <v>25</v>
      </c>
      <c r="J56" s="3" t="n">
        <f aca="false">IF(L56="","",AVERAGEIFS(PH_Price,PH_ItemID,A56,PH_Date,L56))</f>
        <v>366</v>
      </c>
      <c r="K56" s="2" t="s">
        <v>26</v>
      </c>
      <c r="L56" s="4" t="n">
        <f aca="false">IF(COUNTIF(PH_ItemID,A56)=0,"",SUMPRODUCT(MAX((PH_ItemID=A56)*PH_Date)))</f>
        <v>46305</v>
      </c>
      <c r="M56" s="5" t="n">
        <f aca="true">IF(ISNUMBER(L56),TODAY()-L56,"")</f>
        <v>16</v>
      </c>
      <c r="N56" s="2" t="s">
        <v>233</v>
      </c>
      <c r="O56" s="4" t="str">
        <f aca="false">IF(L56="","",IF(SUMPRODUCT(MAX((PH_ItemID=A56)*(PH_Date&lt;L56)*PH_Date))=0,"",SUMPRODUCT(MAX((PH_ItemID=A56)*(PH_Date&lt;L56)*PH_Date))))</f>
        <v/>
      </c>
      <c r="P56" s="3" t="str">
        <f aca="false">IF(O56="","",AVERAGEIFS(PH_Price,PH_ItemID,A56,PH_Date,O56))</f>
        <v/>
      </c>
      <c r="Q56" s="6" t="str">
        <f aca="false">IF(OR(J56="",P56=""),"",J56/P56-1)</f>
        <v/>
      </c>
      <c r="R56" s="2" t="str">
        <f aca="false">IF(J56="","unpriced",IF(P56="","new",IF(Q56&gt;0.05,"▲ up",IF(Q56&lt;-0.05,"▼ down","► stable"))))</f>
        <v>new</v>
      </c>
      <c r="S56" s="2" t="s">
        <v>234</v>
      </c>
    </row>
    <row r="57" customFormat="false" ht="15" hidden="false" customHeight="false" outlineLevel="0" collapsed="false">
      <c r="A57" s="2" t="s">
        <v>235</v>
      </c>
      <c r="B57" s="2" t="s">
        <v>229</v>
      </c>
      <c r="C57" s="2" t="s">
        <v>236</v>
      </c>
      <c r="D57" s="2" t="s">
        <v>231</v>
      </c>
      <c r="E57" s="2" t="s">
        <v>232</v>
      </c>
      <c r="F57" s="2" t="s">
        <v>24</v>
      </c>
      <c r="G57" s="2"/>
      <c r="H57" s="2"/>
      <c r="I57" s="2" t="s">
        <v>25</v>
      </c>
      <c r="J57" s="3" t="n">
        <f aca="false">IF(L57="","",AVERAGEIFS(PH_Price,PH_ItemID,A57,PH_Date,L57))</f>
        <v>417</v>
      </c>
      <c r="K57" s="2" t="s">
        <v>26</v>
      </c>
      <c r="L57" s="4" t="n">
        <f aca="false">IF(COUNTIF(PH_ItemID,A57)=0,"",SUMPRODUCT(MAX((PH_ItemID=A57)*PH_Date)))</f>
        <v>46305</v>
      </c>
      <c r="M57" s="5" t="n">
        <f aca="true">IF(ISNUMBER(L57),TODAY()-L57,"")</f>
        <v>16</v>
      </c>
      <c r="N57" s="2" t="s">
        <v>233</v>
      </c>
      <c r="O57" s="4" t="str">
        <f aca="false">IF(L57="","",IF(SUMPRODUCT(MAX((PH_ItemID=A57)*(PH_Date&lt;L57)*PH_Date))=0,"",SUMPRODUCT(MAX((PH_ItemID=A57)*(PH_Date&lt;L57)*PH_Date))))</f>
        <v/>
      </c>
      <c r="P57" s="3" t="str">
        <f aca="false">IF(O57="","",AVERAGEIFS(PH_Price,PH_ItemID,A57,PH_Date,O57))</f>
        <v/>
      </c>
      <c r="Q57" s="6" t="str">
        <f aca="false">IF(OR(J57="",P57=""),"",J57/P57-1)</f>
        <v/>
      </c>
      <c r="R57" s="2" t="str">
        <f aca="false">IF(J57="","unpriced",IF(P57="","new",IF(Q57&gt;0.05,"▲ up",IF(Q57&lt;-0.05,"▼ down","► stable"))))</f>
        <v>new</v>
      </c>
      <c r="S57" s="2" t="s">
        <v>234</v>
      </c>
    </row>
    <row r="58" customFormat="false" ht="15" hidden="false" customHeight="false" outlineLevel="0" collapsed="false">
      <c r="A58" s="2" t="s">
        <v>237</v>
      </c>
      <c r="B58" s="2" t="s">
        <v>229</v>
      </c>
      <c r="C58" s="2" t="s">
        <v>238</v>
      </c>
      <c r="D58" s="2" t="s">
        <v>231</v>
      </c>
      <c r="E58" s="2" t="s">
        <v>232</v>
      </c>
      <c r="F58" s="2" t="s">
        <v>24</v>
      </c>
      <c r="G58" s="2"/>
      <c r="H58" s="2"/>
      <c r="I58" s="2" t="s">
        <v>25</v>
      </c>
      <c r="J58" s="3" t="n">
        <f aca="false">IF(L58="","",AVERAGEIFS(PH_Price,PH_ItemID,A58,PH_Date,L58))</f>
        <v>484</v>
      </c>
      <c r="K58" s="2" t="s">
        <v>26</v>
      </c>
      <c r="L58" s="4" t="n">
        <f aca="false">IF(COUNTIF(PH_ItemID,A58)=0,"",SUMPRODUCT(MAX((PH_ItemID=A58)*PH_Date)))</f>
        <v>46305</v>
      </c>
      <c r="M58" s="5" t="n">
        <f aca="true">IF(ISNUMBER(L58),TODAY()-L58,"")</f>
        <v>16</v>
      </c>
      <c r="N58" s="2" t="s">
        <v>233</v>
      </c>
      <c r="O58" s="4" t="str">
        <f aca="false">IF(L58="","",IF(SUMPRODUCT(MAX((PH_ItemID=A58)*(PH_Date&lt;L58)*PH_Date))=0,"",SUMPRODUCT(MAX((PH_ItemID=A58)*(PH_Date&lt;L58)*PH_Date))))</f>
        <v/>
      </c>
      <c r="P58" s="3" t="str">
        <f aca="false">IF(O58="","",AVERAGEIFS(PH_Price,PH_ItemID,A58,PH_Date,O58))</f>
        <v/>
      </c>
      <c r="Q58" s="6" t="str">
        <f aca="false">IF(OR(J58="",P58=""),"",J58/P58-1)</f>
        <v/>
      </c>
      <c r="R58" s="2" t="str">
        <f aca="false">IF(J58="","unpriced",IF(P58="","new",IF(Q58&gt;0.05,"▲ up",IF(Q58&lt;-0.05,"▼ down","► stable"))))</f>
        <v>new</v>
      </c>
      <c r="S58" s="2" t="s">
        <v>234</v>
      </c>
    </row>
    <row r="59" customFormat="false" ht="15" hidden="false" customHeight="false" outlineLevel="0" collapsed="false">
      <c r="A59" s="2" t="s">
        <v>239</v>
      </c>
      <c r="B59" s="2" t="s">
        <v>229</v>
      </c>
      <c r="C59" s="2" t="s">
        <v>240</v>
      </c>
      <c r="D59" s="2" t="s">
        <v>241</v>
      </c>
      <c r="E59" s="2" t="s">
        <v>242</v>
      </c>
      <c r="F59" s="2" t="s">
        <v>24</v>
      </c>
      <c r="G59" s="2"/>
      <c r="H59" s="2"/>
      <c r="I59" s="2" t="s">
        <v>25</v>
      </c>
      <c r="J59" s="3" t="n">
        <f aca="false">IF(L59="","",AVERAGEIFS(PH_Price,PH_ItemID,A59,PH_Date,L59))</f>
        <v>205</v>
      </c>
      <c r="K59" s="2" t="s">
        <v>26</v>
      </c>
      <c r="L59" s="4" t="n">
        <f aca="false">IF(COUNTIF(PH_ItemID,A59)=0,"",SUMPRODUCT(MAX((PH_ItemID=A59)*PH_Date)))</f>
        <v>46305</v>
      </c>
      <c r="M59" s="5" t="n">
        <f aca="true">IF(ISNUMBER(L59),TODAY()-L59,"")</f>
        <v>16</v>
      </c>
      <c r="N59" s="2" t="s">
        <v>233</v>
      </c>
      <c r="O59" s="4" t="str">
        <f aca="false">IF(L59="","",IF(SUMPRODUCT(MAX((PH_ItemID=A59)*(PH_Date&lt;L59)*PH_Date))=0,"",SUMPRODUCT(MAX((PH_ItemID=A59)*(PH_Date&lt;L59)*PH_Date))))</f>
        <v/>
      </c>
      <c r="P59" s="3" t="str">
        <f aca="false">IF(O59="","",AVERAGEIFS(PH_Price,PH_ItemID,A59,PH_Date,O59))</f>
        <v/>
      </c>
      <c r="Q59" s="6" t="str">
        <f aca="false">IF(OR(J59="",P59=""),"",J59/P59-1)</f>
        <v/>
      </c>
      <c r="R59" s="2" t="str">
        <f aca="false">IF(J59="","unpriced",IF(P59="","new",IF(Q59&gt;0.05,"▲ up",IF(Q59&lt;-0.05,"▼ down","► stable"))))</f>
        <v>new</v>
      </c>
      <c r="S59" s="2" t="s">
        <v>234</v>
      </c>
    </row>
    <row r="60" customFormat="false" ht="15" hidden="false" customHeight="false" outlineLevel="0" collapsed="false">
      <c r="A60" s="2" t="s">
        <v>243</v>
      </c>
      <c r="B60" s="2" t="s">
        <v>229</v>
      </c>
      <c r="C60" s="2" t="s">
        <v>244</v>
      </c>
      <c r="D60" s="2" t="s">
        <v>241</v>
      </c>
      <c r="E60" s="2" t="s">
        <v>242</v>
      </c>
      <c r="F60" s="2" t="s">
        <v>24</v>
      </c>
      <c r="G60" s="2"/>
      <c r="H60" s="2"/>
      <c r="I60" s="2" t="s">
        <v>25</v>
      </c>
      <c r="J60" s="3" t="n">
        <f aca="false">IF(L60="","",AVERAGEIFS(PH_Price,PH_ItemID,A60,PH_Date,L60))</f>
        <v>272</v>
      </c>
      <c r="K60" s="2" t="s">
        <v>26</v>
      </c>
      <c r="L60" s="4" t="n">
        <f aca="false">IF(COUNTIF(PH_ItemID,A60)=0,"",SUMPRODUCT(MAX((PH_ItemID=A60)*PH_Date)))</f>
        <v>46305</v>
      </c>
      <c r="M60" s="5" t="n">
        <f aca="true">IF(ISNUMBER(L60),TODAY()-L60,"")</f>
        <v>16</v>
      </c>
      <c r="N60" s="2" t="s">
        <v>233</v>
      </c>
      <c r="O60" s="4" t="str">
        <f aca="false">IF(L60="","",IF(SUMPRODUCT(MAX((PH_ItemID=A60)*(PH_Date&lt;L60)*PH_Date))=0,"",SUMPRODUCT(MAX((PH_ItemID=A60)*(PH_Date&lt;L60)*PH_Date))))</f>
        <v/>
      </c>
      <c r="P60" s="3" t="str">
        <f aca="false">IF(O60="","",AVERAGEIFS(PH_Price,PH_ItemID,A60,PH_Date,O60))</f>
        <v/>
      </c>
      <c r="Q60" s="6" t="str">
        <f aca="false">IF(OR(J60="",P60=""),"",J60/P60-1)</f>
        <v/>
      </c>
      <c r="R60" s="2" t="str">
        <f aca="false">IF(J60="","unpriced",IF(P60="","new",IF(Q60&gt;0.05,"▲ up",IF(Q60&lt;-0.05,"▼ down","► stable"))))</f>
        <v>new</v>
      </c>
      <c r="S60" s="2" t="s">
        <v>234</v>
      </c>
    </row>
    <row r="61" customFormat="false" ht="15" hidden="false" customHeight="false" outlineLevel="0" collapsed="false">
      <c r="A61" s="2" t="s">
        <v>245</v>
      </c>
      <c r="B61" s="2" t="s">
        <v>229</v>
      </c>
      <c r="C61" s="2" t="s">
        <v>246</v>
      </c>
      <c r="D61" s="2" t="s">
        <v>241</v>
      </c>
      <c r="E61" s="2" t="s">
        <v>242</v>
      </c>
      <c r="F61" s="2" t="s">
        <v>24</v>
      </c>
      <c r="G61" s="2"/>
      <c r="H61" s="2"/>
      <c r="I61" s="2" t="s">
        <v>25</v>
      </c>
      <c r="J61" s="3" t="n">
        <f aca="false">IF(L61="","",AVERAGEIFS(PH_Price,PH_ItemID,A61,PH_Date,L61))</f>
        <v>327</v>
      </c>
      <c r="K61" s="2" t="s">
        <v>26</v>
      </c>
      <c r="L61" s="4" t="n">
        <f aca="false">IF(COUNTIF(PH_ItemID,A61)=0,"",SUMPRODUCT(MAX((PH_ItemID=A61)*PH_Date)))</f>
        <v>46305</v>
      </c>
      <c r="M61" s="5" t="n">
        <f aca="true">IF(ISNUMBER(L61),TODAY()-L61,"")</f>
        <v>16</v>
      </c>
      <c r="N61" s="2" t="s">
        <v>233</v>
      </c>
      <c r="O61" s="4" t="str">
        <f aca="false">IF(L61="","",IF(SUMPRODUCT(MAX((PH_ItemID=A61)*(PH_Date&lt;L61)*PH_Date))=0,"",SUMPRODUCT(MAX((PH_ItemID=A61)*(PH_Date&lt;L61)*PH_Date))))</f>
        <v/>
      </c>
      <c r="P61" s="3" t="str">
        <f aca="false">IF(O61="","",AVERAGEIFS(PH_Price,PH_ItemID,A61,PH_Date,O61))</f>
        <v/>
      </c>
      <c r="Q61" s="6" t="str">
        <f aca="false">IF(OR(J61="",P61=""),"",J61/P61-1)</f>
        <v/>
      </c>
      <c r="R61" s="2" t="str">
        <f aca="false">IF(J61="","unpriced",IF(P61="","new",IF(Q61&gt;0.05,"▲ up",IF(Q61&lt;-0.05,"▼ down","► stable"))))</f>
        <v>new</v>
      </c>
      <c r="S61" s="2" t="s">
        <v>234</v>
      </c>
    </row>
    <row r="62" customFormat="false" ht="15" hidden="false" customHeight="false" outlineLevel="0" collapsed="false">
      <c r="A62" s="2" t="s">
        <v>247</v>
      </c>
      <c r="B62" s="2" t="s">
        <v>229</v>
      </c>
      <c r="C62" s="2" t="s">
        <v>248</v>
      </c>
      <c r="D62" s="2" t="s">
        <v>249</v>
      </c>
      <c r="E62" s="2" t="s">
        <v>250</v>
      </c>
      <c r="F62" s="2" t="s">
        <v>24</v>
      </c>
      <c r="G62" s="2"/>
      <c r="H62" s="2"/>
      <c r="I62" s="2" t="s">
        <v>25</v>
      </c>
      <c r="J62" s="3" t="n">
        <f aca="false">IF(L62="","",AVERAGEIFS(PH_Price,PH_ItemID,A62,PH_Date,L62))</f>
        <v>598</v>
      </c>
      <c r="K62" s="2" t="s">
        <v>26</v>
      </c>
      <c r="L62" s="4" t="n">
        <f aca="false">IF(COUNTIF(PH_ItemID,A62)=0,"",SUMPRODUCT(MAX((PH_ItemID=A62)*PH_Date)))</f>
        <v>46305</v>
      </c>
      <c r="M62" s="5" t="n">
        <f aca="true">IF(ISNUMBER(L62),TODAY()-L62,"")</f>
        <v>16</v>
      </c>
      <c r="N62" s="2" t="s">
        <v>233</v>
      </c>
      <c r="O62" s="4" t="str">
        <f aca="false">IF(L62="","",IF(SUMPRODUCT(MAX((PH_ItemID=A62)*(PH_Date&lt;L62)*PH_Date))=0,"",SUMPRODUCT(MAX((PH_ItemID=A62)*(PH_Date&lt;L62)*PH_Date))))</f>
        <v/>
      </c>
      <c r="P62" s="3" t="str">
        <f aca="false">IF(O62="","",AVERAGEIFS(PH_Price,PH_ItemID,A62,PH_Date,O62))</f>
        <v/>
      </c>
      <c r="Q62" s="6" t="str">
        <f aca="false">IF(OR(J62="",P62=""),"",J62/P62-1)</f>
        <v/>
      </c>
      <c r="R62" s="2" t="str">
        <f aca="false">IF(J62="","unpriced",IF(P62="","new",IF(Q62&gt;0.05,"▲ up",IF(Q62&lt;-0.05,"▼ down","► stable"))))</f>
        <v>new</v>
      </c>
      <c r="S62" s="2" t="s">
        <v>234</v>
      </c>
    </row>
    <row r="63" customFormat="false" ht="15" hidden="false" customHeight="false" outlineLevel="0" collapsed="false">
      <c r="A63" s="2" t="s">
        <v>251</v>
      </c>
      <c r="B63" s="2" t="s">
        <v>229</v>
      </c>
      <c r="C63" s="2" t="s">
        <v>252</v>
      </c>
      <c r="D63" s="2" t="s">
        <v>249</v>
      </c>
      <c r="E63" s="2" t="s">
        <v>250</v>
      </c>
      <c r="F63" s="2" t="s">
        <v>24</v>
      </c>
      <c r="G63" s="2"/>
      <c r="H63" s="2"/>
      <c r="I63" s="2" t="s">
        <v>25</v>
      </c>
      <c r="J63" s="3" t="n">
        <f aca="false">IF(L63="","",AVERAGEIFS(PH_Price,PH_ItemID,A63,PH_Date,L63))</f>
        <v>664</v>
      </c>
      <c r="K63" s="2" t="s">
        <v>26</v>
      </c>
      <c r="L63" s="4" t="n">
        <f aca="false">IF(COUNTIF(PH_ItemID,A63)=0,"",SUMPRODUCT(MAX((PH_ItemID=A63)*PH_Date)))</f>
        <v>46305</v>
      </c>
      <c r="M63" s="5" t="n">
        <f aca="true">IF(ISNUMBER(L63),TODAY()-L63,"")</f>
        <v>16</v>
      </c>
      <c r="N63" s="2" t="s">
        <v>233</v>
      </c>
      <c r="O63" s="4" t="str">
        <f aca="false">IF(L63="","",IF(SUMPRODUCT(MAX((PH_ItemID=A63)*(PH_Date&lt;L63)*PH_Date))=0,"",SUMPRODUCT(MAX((PH_ItemID=A63)*(PH_Date&lt;L63)*PH_Date))))</f>
        <v/>
      </c>
      <c r="P63" s="3" t="str">
        <f aca="false">IF(O63="","",AVERAGEIFS(PH_Price,PH_ItemID,A63,PH_Date,O63))</f>
        <v/>
      </c>
      <c r="Q63" s="6" t="str">
        <f aca="false">IF(OR(J63="",P63=""),"",J63/P63-1)</f>
        <v/>
      </c>
      <c r="R63" s="2" t="str">
        <f aca="false">IF(J63="","unpriced",IF(P63="","new",IF(Q63&gt;0.05,"▲ up",IF(Q63&lt;-0.05,"▼ down","► stable"))))</f>
        <v>new</v>
      </c>
      <c r="S63" s="2" t="s">
        <v>234</v>
      </c>
    </row>
    <row r="64" customFormat="false" ht="15" hidden="false" customHeight="false" outlineLevel="0" collapsed="false">
      <c r="A64" s="2" t="s">
        <v>253</v>
      </c>
      <c r="B64" s="2" t="s">
        <v>229</v>
      </c>
      <c r="C64" s="2" t="s">
        <v>254</v>
      </c>
      <c r="D64" s="2" t="s">
        <v>249</v>
      </c>
      <c r="E64" s="2" t="s">
        <v>250</v>
      </c>
      <c r="F64" s="2" t="s">
        <v>24</v>
      </c>
      <c r="G64" s="2"/>
      <c r="H64" s="2"/>
      <c r="I64" s="2" t="s">
        <v>25</v>
      </c>
      <c r="J64" s="3" t="n">
        <f aca="false">IF(L64="","",AVERAGEIFS(PH_Price,PH_ItemID,A64,PH_Date,L64))</f>
        <v>1016</v>
      </c>
      <c r="K64" s="2" t="s">
        <v>26</v>
      </c>
      <c r="L64" s="4" t="n">
        <f aca="false">IF(COUNTIF(PH_ItemID,A64)=0,"",SUMPRODUCT(MAX((PH_ItemID=A64)*PH_Date)))</f>
        <v>46305</v>
      </c>
      <c r="M64" s="5" t="n">
        <f aca="true">IF(ISNUMBER(L64),TODAY()-L64,"")</f>
        <v>16</v>
      </c>
      <c r="N64" s="2" t="s">
        <v>233</v>
      </c>
      <c r="O64" s="4" t="str">
        <f aca="false">IF(L64="","",IF(SUMPRODUCT(MAX((PH_ItemID=A64)*(PH_Date&lt;L64)*PH_Date))=0,"",SUMPRODUCT(MAX((PH_ItemID=A64)*(PH_Date&lt;L64)*PH_Date))))</f>
        <v/>
      </c>
      <c r="P64" s="3" t="str">
        <f aca="false">IF(O64="","",AVERAGEIFS(PH_Price,PH_ItemID,A64,PH_Date,O64))</f>
        <v/>
      </c>
      <c r="Q64" s="6" t="str">
        <f aca="false">IF(OR(J64="",P64=""),"",J64/P64-1)</f>
        <v/>
      </c>
      <c r="R64" s="2" t="str">
        <f aca="false">IF(J64="","unpriced",IF(P64="","new",IF(Q64&gt;0.05,"▲ up",IF(Q64&lt;-0.05,"▼ down","► stable"))))</f>
        <v>new</v>
      </c>
      <c r="S64" s="2" t="s">
        <v>234</v>
      </c>
    </row>
    <row r="65" customFormat="false" ht="15" hidden="false" customHeight="false" outlineLevel="0" collapsed="false">
      <c r="A65" s="2" t="s">
        <v>255</v>
      </c>
      <c r="B65" s="2" t="s">
        <v>229</v>
      </c>
      <c r="C65" s="2" t="s">
        <v>256</v>
      </c>
      <c r="D65" s="2" t="s">
        <v>257</v>
      </c>
      <c r="E65" s="2" t="s">
        <v>258</v>
      </c>
      <c r="F65" s="2" t="s">
        <v>202</v>
      </c>
      <c r="G65" s="2"/>
      <c r="H65" s="2"/>
      <c r="I65" s="2" t="s">
        <v>25</v>
      </c>
      <c r="J65" s="3" t="str">
        <f aca="false">IF(L65="","",AVERAGEIFS(PH_Price,PH_ItemID,A65,PH_Date,L65))</f>
        <v/>
      </c>
      <c r="K65" s="2" t="s">
        <v>26</v>
      </c>
      <c r="L65" s="4" t="str">
        <f aca="false">IF(COUNTIF(PH_ItemID,A65)=0,"",SUMPRODUCT(MAX((PH_ItemID=A65)*PH_Date)))</f>
        <v/>
      </c>
      <c r="M65" s="5" t="str">
        <f aca="true">IF(ISNUMBER(L65),TODAY()-L65,"")</f>
        <v/>
      </c>
      <c r="N65" s="2" t="s">
        <v>233</v>
      </c>
      <c r="O65" s="4" t="str">
        <f aca="false">IF(L65="","",IF(SUMPRODUCT(MAX((PH_ItemID=A65)*(PH_Date&lt;L65)*PH_Date))=0,"",SUMPRODUCT(MAX((PH_ItemID=A65)*(PH_Date&lt;L65)*PH_Date))))</f>
        <v/>
      </c>
      <c r="P65" s="3" t="str">
        <f aca="false">IF(O65="","",AVERAGEIFS(PH_Price,PH_ItemID,A65,PH_Date,O65))</f>
        <v/>
      </c>
      <c r="Q65" s="6" t="str">
        <f aca="false">IF(OR(J65="",P65=""),"",J65/P65-1)</f>
        <v/>
      </c>
      <c r="R65" s="2" t="str">
        <f aca="false">IF(J65="","unpriced",IF(P65="","new",IF(Q65&gt;0.05,"▲ up",IF(Q65&lt;-0.05,"▼ down","► stable"))))</f>
        <v>unpriced</v>
      </c>
      <c r="S65" s="2" t="s">
        <v>259</v>
      </c>
    </row>
    <row r="66" customFormat="false" ht="15" hidden="false" customHeight="false" outlineLevel="0" collapsed="false">
      <c r="A66" s="2" t="s">
        <v>260</v>
      </c>
      <c r="B66" s="2" t="s">
        <v>229</v>
      </c>
      <c r="C66" s="2" t="s">
        <v>261</v>
      </c>
      <c r="D66" s="2" t="s">
        <v>262</v>
      </c>
      <c r="E66" s="2" t="s">
        <v>258</v>
      </c>
      <c r="F66" s="2" t="s">
        <v>202</v>
      </c>
      <c r="G66" s="2"/>
      <c r="H66" s="2"/>
      <c r="I66" s="2" t="s">
        <v>25</v>
      </c>
      <c r="J66" s="3" t="str">
        <f aca="false">IF(L66="","",AVERAGEIFS(PH_Price,PH_ItemID,A66,PH_Date,L66))</f>
        <v/>
      </c>
      <c r="K66" s="2" t="s">
        <v>26</v>
      </c>
      <c r="L66" s="4" t="str">
        <f aca="false">IF(COUNTIF(PH_ItemID,A66)=0,"",SUMPRODUCT(MAX((PH_ItemID=A66)*PH_Date)))</f>
        <v/>
      </c>
      <c r="M66" s="5" t="str">
        <f aca="true">IF(ISNUMBER(L66),TODAY()-L66,"")</f>
        <v/>
      </c>
      <c r="N66" s="2" t="s">
        <v>233</v>
      </c>
      <c r="O66" s="4" t="str">
        <f aca="false">IF(L66="","",IF(SUMPRODUCT(MAX((PH_ItemID=A66)*(PH_Date&lt;L66)*PH_Date))=0,"",SUMPRODUCT(MAX((PH_ItemID=A66)*(PH_Date&lt;L66)*PH_Date))))</f>
        <v/>
      </c>
      <c r="P66" s="3" t="str">
        <f aca="false">IF(O66="","",AVERAGEIFS(PH_Price,PH_ItemID,A66,PH_Date,O66))</f>
        <v/>
      </c>
      <c r="Q66" s="6" t="str">
        <f aca="false">IF(OR(J66="",P66=""),"",J66/P66-1)</f>
        <v/>
      </c>
      <c r="R66" s="2" t="str">
        <f aca="false">IF(J66="","unpriced",IF(P66="","new",IF(Q66&gt;0.05,"▲ up",IF(Q66&lt;-0.05,"▼ down","► stable"))))</f>
        <v>unpriced</v>
      </c>
      <c r="S66" s="2" t="s">
        <v>259</v>
      </c>
    </row>
    <row r="67" customFormat="false" ht="15" hidden="false" customHeight="false" outlineLevel="0" collapsed="false">
      <c r="A67" s="2" t="s">
        <v>263</v>
      </c>
      <c r="B67" s="2" t="s">
        <v>229</v>
      </c>
      <c r="C67" s="2" t="s">
        <v>264</v>
      </c>
      <c r="D67" s="2" t="s">
        <v>265</v>
      </c>
      <c r="E67" s="2" t="s">
        <v>258</v>
      </c>
      <c r="F67" s="2" t="s">
        <v>202</v>
      </c>
      <c r="G67" s="2"/>
      <c r="H67" s="2"/>
      <c r="I67" s="2" t="s">
        <v>25</v>
      </c>
      <c r="J67" s="3" t="str">
        <f aca="false">IF(L67="","",AVERAGEIFS(PH_Price,PH_ItemID,A67,PH_Date,L67))</f>
        <v/>
      </c>
      <c r="K67" s="2" t="s">
        <v>26</v>
      </c>
      <c r="L67" s="4" t="str">
        <f aca="false">IF(COUNTIF(PH_ItemID,A67)=0,"",SUMPRODUCT(MAX((PH_ItemID=A67)*PH_Date)))</f>
        <v/>
      </c>
      <c r="M67" s="5" t="str">
        <f aca="true">IF(ISNUMBER(L67),TODAY()-L67,"")</f>
        <v/>
      </c>
      <c r="N67" s="2" t="s">
        <v>233</v>
      </c>
      <c r="O67" s="4" t="str">
        <f aca="false">IF(L67="","",IF(SUMPRODUCT(MAX((PH_ItemID=A67)*(PH_Date&lt;L67)*PH_Date))=0,"",SUMPRODUCT(MAX((PH_ItemID=A67)*(PH_Date&lt;L67)*PH_Date))))</f>
        <v/>
      </c>
      <c r="P67" s="3" t="str">
        <f aca="false">IF(O67="","",AVERAGEIFS(PH_Price,PH_ItemID,A67,PH_Date,O67))</f>
        <v/>
      </c>
      <c r="Q67" s="6" t="str">
        <f aca="false">IF(OR(J67="",P67=""),"",J67/P67-1)</f>
        <v/>
      </c>
      <c r="R67" s="2" t="str">
        <f aca="false">IF(J67="","unpriced",IF(P67="","new",IF(Q67&gt;0.05,"▲ up",IF(Q67&lt;-0.05,"▼ down","► stable"))))</f>
        <v>unpriced</v>
      </c>
      <c r="S67" s="2" t="s">
        <v>259</v>
      </c>
    </row>
    <row r="68" customFormat="false" ht="15" hidden="false" customHeight="false" outlineLevel="0" collapsed="false">
      <c r="A68" s="2" t="s">
        <v>266</v>
      </c>
      <c r="B68" s="2" t="s">
        <v>229</v>
      </c>
      <c r="C68" s="2" t="s">
        <v>267</v>
      </c>
      <c r="D68" s="2" t="s">
        <v>268</v>
      </c>
      <c r="E68" s="2" t="s">
        <v>258</v>
      </c>
      <c r="F68" s="2" t="s">
        <v>202</v>
      </c>
      <c r="G68" s="2"/>
      <c r="H68" s="2"/>
      <c r="I68" s="2" t="s">
        <v>25</v>
      </c>
      <c r="J68" s="3" t="str">
        <f aca="false">IF(L68="","",AVERAGEIFS(PH_Price,PH_ItemID,A68,PH_Date,L68))</f>
        <v/>
      </c>
      <c r="K68" s="2" t="s">
        <v>26</v>
      </c>
      <c r="L68" s="4" t="str">
        <f aca="false">IF(COUNTIF(PH_ItemID,A68)=0,"",SUMPRODUCT(MAX((PH_ItemID=A68)*PH_Date)))</f>
        <v/>
      </c>
      <c r="M68" s="5" t="str">
        <f aca="true">IF(ISNUMBER(L68),TODAY()-L68,"")</f>
        <v/>
      </c>
      <c r="N68" s="2" t="s">
        <v>233</v>
      </c>
      <c r="O68" s="4" t="str">
        <f aca="false">IF(L68="","",IF(SUMPRODUCT(MAX((PH_ItemID=A68)*(PH_Date&lt;L68)*PH_Date))=0,"",SUMPRODUCT(MAX((PH_ItemID=A68)*(PH_Date&lt;L68)*PH_Date))))</f>
        <v/>
      </c>
      <c r="P68" s="3" t="str">
        <f aca="false">IF(O68="","",AVERAGEIFS(PH_Price,PH_ItemID,A68,PH_Date,O68))</f>
        <v/>
      </c>
      <c r="Q68" s="6" t="str">
        <f aca="false">IF(OR(J68="",P68=""),"",J68/P68-1)</f>
        <v/>
      </c>
      <c r="R68" s="2" t="str">
        <f aca="false">IF(J68="","unpriced",IF(P68="","new",IF(Q68&gt;0.05,"▲ up",IF(Q68&lt;-0.05,"▼ down","► stable"))))</f>
        <v>unpriced</v>
      </c>
      <c r="S68" s="2" t="s">
        <v>259</v>
      </c>
    </row>
    <row r="69" customFormat="false" ht="15" hidden="false" customHeight="false" outlineLevel="0" collapsed="false">
      <c r="A69" s="2" t="s">
        <v>269</v>
      </c>
      <c r="B69" s="2" t="s">
        <v>229</v>
      </c>
      <c r="C69" s="2" t="s">
        <v>270</v>
      </c>
      <c r="D69" s="2" t="s">
        <v>271</v>
      </c>
      <c r="E69" s="2" t="s">
        <v>258</v>
      </c>
      <c r="F69" s="2" t="s">
        <v>202</v>
      </c>
      <c r="G69" s="2"/>
      <c r="H69" s="2"/>
      <c r="I69" s="2" t="s">
        <v>25</v>
      </c>
      <c r="J69" s="3" t="str">
        <f aca="false">IF(L69="","",AVERAGEIFS(PH_Price,PH_ItemID,A69,PH_Date,L69))</f>
        <v/>
      </c>
      <c r="K69" s="2" t="s">
        <v>26</v>
      </c>
      <c r="L69" s="4" t="str">
        <f aca="false">IF(COUNTIF(PH_ItemID,A69)=0,"",SUMPRODUCT(MAX((PH_ItemID=A69)*PH_Date)))</f>
        <v/>
      </c>
      <c r="M69" s="5" t="str">
        <f aca="true">IF(ISNUMBER(L69),TODAY()-L69,"")</f>
        <v/>
      </c>
      <c r="N69" s="2" t="s">
        <v>233</v>
      </c>
      <c r="O69" s="4" t="str">
        <f aca="false">IF(L69="","",IF(SUMPRODUCT(MAX((PH_ItemID=A69)*(PH_Date&lt;L69)*PH_Date))=0,"",SUMPRODUCT(MAX((PH_ItemID=A69)*(PH_Date&lt;L69)*PH_Date))))</f>
        <v/>
      </c>
      <c r="P69" s="3" t="str">
        <f aca="false">IF(O69="","",AVERAGEIFS(PH_Price,PH_ItemID,A69,PH_Date,O69))</f>
        <v/>
      </c>
      <c r="Q69" s="6" t="str">
        <f aca="false">IF(OR(J69="",P69=""),"",J69/P69-1)</f>
        <v/>
      </c>
      <c r="R69" s="2" t="str">
        <f aca="false">IF(J69="","unpriced",IF(P69="","new",IF(Q69&gt;0.05,"▲ up",IF(Q69&lt;-0.05,"▼ down","► stable"))))</f>
        <v>unpriced</v>
      </c>
      <c r="S69" s="2" t="s">
        <v>259</v>
      </c>
    </row>
    <row r="70" customFormat="false" ht="15" hidden="false" customHeight="false" outlineLevel="0" collapsed="false">
      <c r="A70" s="2" t="s">
        <v>272</v>
      </c>
      <c r="B70" s="2" t="s">
        <v>273</v>
      </c>
      <c r="C70" s="2" t="s">
        <v>274</v>
      </c>
      <c r="D70" s="2" t="s">
        <v>275</v>
      </c>
      <c r="E70" s="2" t="s">
        <v>276</v>
      </c>
      <c r="F70" s="2" t="s">
        <v>277</v>
      </c>
      <c r="G70" s="2" t="s">
        <v>278</v>
      </c>
      <c r="H70" s="2" t="s">
        <v>279</v>
      </c>
      <c r="I70" s="2" t="s">
        <v>280</v>
      </c>
      <c r="J70" s="3" t="n">
        <f aca="false">IF(L70="","",AVERAGEIFS(PH_Price,PH_ItemID,A70,PH_Date,L70))</f>
        <v>615</v>
      </c>
      <c r="K70" s="2" t="s">
        <v>26</v>
      </c>
      <c r="L70" s="4" t="n">
        <f aca="false">IF(COUNTIF(PH_ItemID,A70)=0,"",SUMPRODUCT(MAX((PH_ItemID=A70)*PH_Date)))</f>
        <v>46315</v>
      </c>
      <c r="M70" s="5" t="n">
        <f aca="true">IF(ISNUMBER(L70),TODAY()-L70,"")</f>
        <v>6</v>
      </c>
      <c r="N70" s="2" t="s">
        <v>27</v>
      </c>
      <c r="O70" s="4" t="str">
        <f aca="false">IF(L70="","",IF(SUMPRODUCT(MAX((PH_ItemID=A70)*(PH_Date&lt;L70)*PH_Date))=0,"",SUMPRODUCT(MAX((PH_ItemID=A70)*(PH_Date&lt;L70)*PH_Date))))</f>
        <v/>
      </c>
      <c r="P70" s="3" t="str">
        <f aca="false">IF(O70="","",AVERAGEIFS(PH_Price,PH_ItemID,A70,PH_Date,O70))</f>
        <v/>
      </c>
      <c r="Q70" s="6" t="str">
        <f aca="false">IF(OR(J70="",P70=""),"",J70/P70-1)</f>
        <v/>
      </c>
      <c r="R70" s="2" t="str">
        <f aca="false">IF(J70="","unpriced",IF(P70="","new",IF(Q70&gt;0.05,"▲ up",IF(Q70&lt;-0.05,"▼ down","► stable"))))</f>
        <v>new</v>
      </c>
      <c r="S70" s="2" t="s">
        <v>281</v>
      </c>
    </row>
    <row r="71" customFormat="false" ht="15" hidden="false" customHeight="false" outlineLevel="0" collapsed="false">
      <c r="A71" s="2" t="s">
        <v>282</v>
      </c>
      <c r="B71" s="2" t="s">
        <v>273</v>
      </c>
      <c r="C71" s="2" t="s">
        <v>283</v>
      </c>
      <c r="D71" s="2" t="s">
        <v>284</v>
      </c>
      <c r="E71" s="2" t="s">
        <v>285</v>
      </c>
      <c r="F71" s="2" t="s">
        <v>286</v>
      </c>
      <c r="G71" s="2" t="s">
        <v>278</v>
      </c>
      <c r="H71" s="2" t="s">
        <v>287</v>
      </c>
      <c r="I71" s="2" t="s">
        <v>288</v>
      </c>
      <c r="J71" s="3" t="n">
        <f aca="false">IF(L71="","",AVERAGEIFS(PH_Price,PH_ItemID,A71,PH_Date,L71))</f>
        <v>325</v>
      </c>
      <c r="K71" s="2" t="s">
        <v>26</v>
      </c>
      <c r="L71" s="4" t="n">
        <f aca="false">IF(COUNTIF(PH_ItemID,A71)=0,"",SUMPRODUCT(MAX((PH_ItemID=A71)*PH_Date)))</f>
        <v>46315</v>
      </c>
      <c r="M71" s="5" t="n">
        <f aca="true">IF(ISNUMBER(L71),TODAY()-L71,"")</f>
        <v>6</v>
      </c>
      <c r="N71" s="2" t="s">
        <v>27</v>
      </c>
      <c r="O71" s="4" t="str">
        <f aca="false">IF(L71="","",IF(SUMPRODUCT(MAX((PH_ItemID=A71)*(PH_Date&lt;L71)*PH_Date))=0,"",SUMPRODUCT(MAX((PH_ItemID=A71)*(PH_Date&lt;L71)*PH_Date))))</f>
        <v/>
      </c>
      <c r="P71" s="3" t="str">
        <f aca="false">IF(O71="","",AVERAGEIFS(PH_Price,PH_ItemID,A71,PH_Date,O71))</f>
        <v/>
      </c>
      <c r="Q71" s="6" t="str">
        <f aca="false">IF(OR(J71="",P71=""),"",J71/P71-1)</f>
        <v/>
      </c>
      <c r="R71" s="2" t="str">
        <f aca="false">IF(J71="","unpriced",IF(P71="","new",IF(Q71&gt;0.05,"▲ up",IF(Q71&lt;-0.05,"▼ down","► stable"))))</f>
        <v>new</v>
      </c>
      <c r="S71" s="2" t="s">
        <v>289</v>
      </c>
    </row>
    <row r="72" customFormat="false" ht="15" hidden="false" customHeight="false" outlineLevel="0" collapsed="false">
      <c r="A72" s="2" t="s">
        <v>290</v>
      </c>
      <c r="B72" s="2" t="s">
        <v>273</v>
      </c>
      <c r="C72" s="2" t="s">
        <v>291</v>
      </c>
      <c r="D72" s="2" t="s">
        <v>292</v>
      </c>
      <c r="E72" s="2" t="s">
        <v>293</v>
      </c>
      <c r="F72" s="2" t="s">
        <v>286</v>
      </c>
      <c r="G72" s="2" t="s">
        <v>278</v>
      </c>
      <c r="H72" s="2" t="s">
        <v>294</v>
      </c>
      <c r="I72" s="2" t="s">
        <v>280</v>
      </c>
      <c r="J72" s="3" t="n">
        <f aca="false">IF(L72="","",AVERAGEIFS(PH_Price,PH_ItemID,A72,PH_Date,L72))</f>
        <v>425</v>
      </c>
      <c r="K72" s="2" t="s">
        <v>26</v>
      </c>
      <c r="L72" s="4" t="n">
        <f aca="false">IF(COUNTIF(PH_ItemID,A72)=0,"",SUMPRODUCT(MAX((PH_ItemID=A72)*PH_Date)))</f>
        <v>46315</v>
      </c>
      <c r="M72" s="5" t="n">
        <f aca="true">IF(ISNUMBER(L72),TODAY()-L72,"")</f>
        <v>6</v>
      </c>
      <c r="N72" s="2" t="s">
        <v>27</v>
      </c>
      <c r="O72" s="4" t="str">
        <f aca="false">IF(L72="","",IF(SUMPRODUCT(MAX((PH_ItemID=A72)*(PH_Date&lt;L72)*PH_Date))=0,"",SUMPRODUCT(MAX((PH_ItemID=A72)*(PH_Date&lt;L72)*PH_Date))))</f>
        <v/>
      </c>
      <c r="P72" s="3" t="str">
        <f aca="false">IF(O72="","",AVERAGEIFS(PH_Price,PH_ItemID,A72,PH_Date,O72))</f>
        <v/>
      </c>
      <c r="Q72" s="6" t="str">
        <f aca="false">IF(OR(J72="",P72=""),"",J72/P72-1)</f>
        <v/>
      </c>
      <c r="R72" s="2" t="str">
        <f aca="false">IF(J72="","unpriced",IF(P72="","new",IF(Q72&gt;0.05,"▲ up",IF(Q72&lt;-0.05,"▼ down","► stable"))))</f>
        <v>new</v>
      </c>
      <c r="S72" s="2" t="s">
        <v>281</v>
      </c>
    </row>
    <row r="73" customFormat="false" ht="15" hidden="false" customHeight="false" outlineLevel="0" collapsed="false">
      <c r="A73" s="2" t="s">
        <v>295</v>
      </c>
      <c r="B73" s="2" t="s">
        <v>273</v>
      </c>
      <c r="C73" s="2" t="s">
        <v>296</v>
      </c>
      <c r="D73" s="2" t="s">
        <v>297</v>
      </c>
      <c r="E73" s="2" t="s">
        <v>298</v>
      </c>
      <c r="F73" s="2" t="s">
        <v>299</v>
      </c>
      <c r="G73" s="2"/>
      <c r="H73" s="2"/>
      <c r="I73" s="2" t="s">
        <v>25</v>
      </c>
      <c r="J73" s="3" t="n">
        <f aca="false">IF(L73="","",AVERAGEIFS(PH_Price,PH_ItemID,A73,PH_Date,L73))</f>
        <v>205</v>
      </c>
      <c r="K73" s="2" t="s">
        <v>26</v>
      </c>
      <c r="L73" s="4" t="n">
        <f aca="false">IF(COUNTIF(PH_ItemID,A73)=0,"",SUMPRODUCT(MAX((PH_ItemID=A73)*PH_Date)))</f>
        <v>46315</v>
      </c>
      <c r="M73" s="5" t="n">
        <f aca="true">IF(ISNUMBER(L73),TODAY()-L73,"")</f>
        <v>6</v>
      </c>
      <c r="N73" s="2" t="s">
        <v>27</v>
      </c>
      <c r="O73" s="4" t="str">
        <f aca="false">IF(L73="","",IF(SUMPRODUCT(MAX((PH_ItemID=A73)*(PH_Date&lt;L73)*PH_Date))=0,"",SUMPRODUCT(MAX((PH_ItemID=A73)*(PH_Date&lt;L73)*PH_Date))))</f>
        <v/>
      </c>
      <c r="P73" s="3" t="str">
        <f aca="false">IF(O73="","",AVERAGEIFS(PH_Price,PH_ItemID,A73,PH_Date,O73))</f>
        <v/>
      </c>
      <c r="Q73" s="6" t="str">
        <f aca="false">IF(OR(J73="",P73=""),"",J73/P73-1)</f>
        <v/>
      </c>
      <c r="R73" s="2" t="str">
        <f aca="false">IF(J73="","unpriced",IF(P73="","new",IF(Q73&gt;0.05,"▲ up",IF(Q73&lt;-0.05,"▼ down","► stable"))))</f>
        <v>new</v>
      </c>
      <c r="S73" s="2"/>
    </row>
    <row r="74" customFormat="false" ht="15" hidden="false" customHeight="false" outlineLevel="0" collapsed="false">
      <c r="A74" s="2" t="s">
        <v>300</v>
      </c>
      <c r="B74" s="2" t="s">
        <v>273</v>
      </c>
      <c r="C74" s="2" t="s">
        <v>301</v>
      </c>
      <c r="D74" s="2" t="s">
        <v>302</v>
      </c>
      <c r="E74" s="2" t="s">
        <v>303</v>
      </c>
      <c r="F74" s="2" t="s">
        <v>304</v>
      </c>
      <c r="G74" s="2"/>
      <c r="H74" s="2"/>
      <c r="I74" s="2" t="s">
        <v>25</v>
      </c>
      <c r="J74" s="3" t="n">
        <f aca="false">IF(L74="","",AVERAGEIFS(PH_Price,PH_ItemID,A74,PH_Date,L74))</f>
        <v>225</v>
      </c>
      <c r="K74" s="2" t="s">
        <v>26</v>
      </c>
      <c r="L74" s="4" t="n">
        <f aca="false">IF(COUNTIF(PH_ItemID,A74)=0,"",SUMPRODUCT(MAX((PH_ItemID=A74)*PH_Date)))</f>
        <v>46315</v>
      </c>
      <c r="M74" s="5" t="n">
        <f aca="true">IF(ISNUMBER(L74),TODAY()-L74,"")</f>
        <v>6</v>
      </c>
      <c r="N74" s="2" t="s">
        <v>27</v>
      </c>
      <c r="O74" s="4" t="str">
        <f aca="false">IF(L74="","",IF(SUMPRODUCT(MAX((PH_ItemID=A74)*(PH_Date&lt;L74)*PH_Date))=0,"",SUMPRODUCT(MAX((PH_ItemID=A74)*(PH_Date&lt;L74)*PH_Date))))</f>
        <v/>
      </c>
      <c r="P74" s="3" t="str">
        <f aca="false">IF(O74="","",AVERAGEIFS(PH_Price,PH_ItemID,A74,PH_Date,O74))</f>
        <v/>
      </c>
      <c r="Q74" s="6" t="str">
        <f aca="false">IF(OR(J74="",P74=""),"",J74/P74-1)</f>
        <v/>
      </c>
      <c r="R74" s="2" t="str">
        <f aca="false">IF(J74="","unpriced",IF(P74="","new",IF(Q74&gt;0.05,"▲ up",IF(Q74&lt;-0.05,"▼ down","► stable"))))</f>
        <v>new</v>
      </c>
      <c r="S74" s="2"/>
    </row>
    <row r="75" customFormat="false" ht="15" hidden="false" customHeight="false" outlineLevel="0" collapsed="false">
      <c r="A75" s="2" t="s">
        <v>305</v>
      </c>
      <c r="B75" s="2" t="s">
        <v>273</v>
      </c>
      <c r="C75" s="2" t="s">
        <v>306</v>
      </c>
      <c r="D75" s="2" t="s">
        <v>307</v>
      </c>
      <c r="E75" s="2" t="s">
        <v>308</v>
      </c>
      <c r="F75" s="2" t="s">
        <v>309</v>
      </c>
      <c r="G75" s="2" t="s">
        <v>278</v>
      </c>
      <c r="H75" s="2" t="s">
        <v>310</v>
      </c>
      <c r="I75" s="2" t="s">
        <v>280</v>
      </c>
      <c r="J75" s="3" t="n">
        <f aca="false">IF(L75="","",AVERAGEIFS(PH_Price,PH_ItemID,A75,PH_Date,L75))</f>
        <v>159</v>
      </c>
      <c r="K75" s="2" t="s">
        <v>26</v>
      </c>
      <c r="L75" s="4" t="n">
        <f aca="false">IF(COUNTIF(PH_ItemID,A75)=0,"",SUMPRODUCT(MAX((PH_ItemID=A75)*PH_Date)))</f>
        <v>46315</v>
      </c>
      <c r="M75" s="5" t="n">
        <f aca="true">IF(ISNUMBER(L75),TODAY()-L75,"")</f>
        <v>6</v>
      </c>
      <c r="N75" s="2" t="s">
        <v>27</v>
      </c>
      <c r="O75" s="4" t="str">
        <f aca="false">IF(L75="","",IF(SUMPRODUCT(MAX((PH_ItemID=A75)*(PH_Date&lt;L75)*PH_Date))=0,"",SUMPRODUCT(MAX((PH_ItemID=A75)*(PH_Date&lt;L75)*PH_Date))))</f>
        <v/>
      </c>
      <c r="P75" s="3" t="str">
        <f aca="false">IF(O75="","",AVERAGEIFS(PH_Price,PH_ItemID,A75,PH_Date,O75))</f>
        <v/>
      </c>
      <c r="Q75" s="6" t="str">
        <f aca="false">IF(OR(J75="",P75=""),"",J75/P75-1)</f>
        <v/>
      </c>
      <c r="R75" s="2" t="str">
        <f aca="false">IF(J75="","unpriced",IF(P75="","new",IF(Q75&gt;0.05,"▲ up",IF(Q75&lt;-0.05,"▼ down","► stable"))))</f>
        <v>new</v>
      </c>
      <c r="S75" s="2" t="s">
        <v>281</v>
      </c>
    </row>
    <row r="76" customFormat="false" ht="15" hidden="false" customHeight="false" outlineLevel="0" collapsed="false">
      <c r="A76" s="2" t="s">
        <v>311</v>
      </c>
      <c r="B76" s="2" t="s">
        <v>273</v>
      </c>
      <c r="C76" s="2" t="s">
        <v>312</v>
      </c>
      <c r="D76" s="2" t="s">
        <v>313</v>
      </c>
      <c r="E76" s="2" t="s">
        <v>314</v>
      </c>
      <c r="F76" s="2" t="s">
        <v>315</v>
      </c>
      <c r="G76" s="2" t="s">
        <v>316</v>
      </c>
      <c r="H76" s="2" t="s">
        <v>317</v>
      </c>
      <c r="I76" s="2" t="s">
        <v>280</v>
      </c>
      <c r="J76" s="3" t="n">
        <f aca="false">IF(L76="","",AVERAGEIFS(PH_Price,PH_ItemID,A76,PH_Date,L76))</f>
        <v>165</v>
      </c>
      <c r="K76" s="2" t="s">
        <v>26</v>
      </c>
      <c r="L76" s="4" t="n">
        <f aca="false">IF(COUNTIF(PH_ItemID,A76)=0,"",SUMPRODUCT(MAX((PH_ItemID=A76)*PH_Date)))</f>
        <v>46315</v>
      </c>
      <c r="M76" s="5" t="n">
        <f aca="true">IF(ISNUMBER(L76),TODAY()-L76,"")</f>
        <v>6</v>
      </c>
      <c r="N76" s="2" t="s">
        <v>27</v>
      </c>
      <c r="O76" s="4" t="str">
        <f aca="false">IF(L76="","",IF(SUMPRODUCT(MAX((PH_ItemID=A76)*(PH_Date&lt;L76)*PH_Date))=0,"",SUMPRODUCT(MAX((PH_ItemID=A76)*(PH_Date&lt;L76)*PH_Date))))</f>
        <v/>
      </c>
      <c r="P76" s="3" t="str">
        <f aca="false">IF(O76="","",AVERAGEIFS(PH_Price,PH_ItemID,A76,PH_Date,O76))</f>
        <v/>
      </c>
      <c r="Q76" s="6" t="str">
        <f aca="false">IF(OR(J76="",P76=""),"",J76/P76-1)</f>
        <v/>
      </c>
      <c r="R76" s="2" t="str">
        <f aca="false">IF(J76="","unpriced",IF(P76="","new",IF(Q76&gt;0.05,"▲ up",IF(Q76&lt;-0.05,"▼ down","► stable"))))</f>
        <v>new</v>
      </c>
      <c r="S76" s="2" t="s">
        <v>281</v>
      </c>
    </row>
    <row r="77" customFormat="false" ht="15" hidden="false" customHeight="false" outlineLevel="0" collapsed="false">
      <c r="A77" s="2" t="s">
        <v>318</v>
      </c>
      <c r="B77" s="2" t="s">
        <v>273</v>
      </c>
      <c r="C77" s="2" t="s">
        <v>319</v>
      </c>
      <c r="D77" s="2" t="s">
        <v>320</v>
      </c>
      <c r="E77" s="2" t="s">
        <v>321</v>
      </c>
      <c r="F77" s="2" t="s">
        <v>322</v>
      </c>
      <c r="G77" s="2"/>
      <c r="H77" s="2"/>
      <c r="I77" s="2" t="s">
        <v>25</v>
      </c>
      <c r="J77" s="3" t="n">
        <f aca="false">IF(L77="","",AVERAGEIFS(PH_Price,PH_ItemID,A77,PH_Date,L77))</f>
        <v>35</v>
      </c>
      <c r="K77" s="2" t="s">
        <v>26</v>
      </c>
      <c r="L77" s="4" t="n">
        <f aca="false">IF(COUNTIF(PH_ItemID,A77)=0,"",SUMPRODUCT(MAX((PH_ItemID=A77)*PH_Date)))</f>
        <v>46315</v>
      </c>
      <c r="M77" s="5" t="n">
        <f aca="true">IF(ISNUMBER(L77),TODAY()-L77,"")</f>
        <v>6</v>
      </c>
      <c r="N77" s="2" t="s">
        <v>27</v>
      </c>
      <c r="O77" s="4" t="str">
        <f aca="false">IF(L77="","",IF(SUMPRODUCT(MAX((PH_ItemID=A77)*(PH_Date&lt;L77)*PH_Date))=0,"",SUMPRODUCT(MAX((PH_ItemID=A77)*(PH_Date&lt;L77)*PH_Date))))</f>
        <v/>
      </c>
      <c r="P77" s="3" t="str">
        <f aca="false">IF(O77="","",AVERAGEIFS(PH_Price,PH_ItemID,A77,PH_Date,O77))</f>
        <v/>
      </c>
      <c r="Q77" s="6" t="str">
        <f aca="false">IF(OR(J77="",P77=""),"",J77/P77-1)</f>
        <v/>
      </c>
      <c r="R77" s="2" t="str">
        <f aca="false">IF(J77="","unpriced",IF(P77="","new",IF(Q77&gt;0.05,"▲ up",IF(Q77&lt;-0.05,"▼ down","► stable"))))</f>
        <v>new</v>
      </c>
      <c r="S77" s="2"/>
    </row>
    <row r="78" customFormat="false" ht="15" hidden="false" customHeight="false" outlineLevel="0" collapsed="false">
      <c r="A78" s="2" t="s">
        <v>323</v>
      </c>
      <c r="B78" s="2" t="s">
        <v>273</v>
      </c>
      <c r="C78" s="2" t="s">
        <v>324</v>
      </c>
      <c r="D78" s="2" t="s">
        <v>325</v>
      </c>
      <c r="E78" s="2" t="s">
        <v>326</v>
      </c>
      <c r="F78" s="2" t="s">
        <v>327</v>
      </c>
      <c r="G78" s="2"/>
      <c r="H78" s="2"/>
      <c r="I78" s="2" t="s">
        <v>25</v>
      </c>
      <c r="J78" s="3" t="n">
        <f aca="false">IF(L78="","",AVERAGEIFS(PH_Price,PH_ItemID,A78,PH_Date,L78))</f>
        <v>165</v>
      </c>
      <c r="K78" s="2" t="s">
        <v>26</v>
      </c>
      <c r="L78" s="4" t="n">
        <f aca="false">IF(COUNTIF(PH_ItemID,A78)=0,"",SUMPRODUCT(MAX((PH_ItemID=A78)*PH_Date)))</f>
        <v>46315</v>
      </c>
      <c r="M78" s="5" t="n">
        <f aca="true">IF(ISNUMBER(L78),TODAY()-L78,"")</f>
        <v>6</v>
      </c>
      <c r="N78" s="2" t="s">
        <v>27</v>
      </c>
      <c r="O78" s="4" t="str">
        <f aca="false">IF(L78="","",IF(SUMPRODUCT(MAX((PH_ItemID=A78)*(PH_Date&lt;L78)*PH_Date))=0,"",SUMPRODUCT(MAX((PH_ItemID=A78)*(PH_Date&lt;L78)*PH_Date))))</f>
        <v/>
      </c>
      <c r="P78" s="3" t="str">
        <f aca="false">IF(O78="","",AVERAGEIFS(PH_Price,PH_ItemID,A78,PH_Date,O78))</f>
        <v/>
      </c>
      <c r="Q78" s="6" t="str">
        <f aca="false">IF(OR(J78="",P78=""),"",J78/P78-1)</f>
        <v/>
      </c>
      <c r="R78" s="2" t="str">
        <f aca="false">IF(J78="","unpriced",IF(P78="","new",IF(Q78&gt;0.05,"▲ up",IF(Q78&lt;-0.05,"▼ down","► stable"))))</f>
        <v>new</v>
      </c>
      <c r="S78" s="2"/>
    </row>
    <row r="79" customFormat="false" ht="15" hidden="false" customHeight="false" outlineLevel="0" collapsed="false">
      <c r="A79" s="2" t="s">
        <v>328</v>
      </c>
      <c r="B79" s="2" t="s">
        <v>273</v>
      </c>
      <c r="C79" s="2" t="s">
        <v>329</v>
      </c>
      <c r="D79" s="2" t="s">
        <v>330</v>
      </c>
      <c r="E79" s="2" t="s">
        <v>331</v>
      </c>
      <c r="F79" s="2" t="s">
        <v>332</v>
      </c>
      <c r="G79" s="2"/>
      <c r="H79" s="2"/>
      <c r="I79" s="2" t="s">
        <v>25</v>
      </c>
      <c r="J79" s="3" t="n">
        <f aca="false">IF(L79="","",AVERAGEIFS(PH_Price,PH_ItemID,A79,PH_Date,L79))</f>
        <v>564</v>
      </c>
      <c r="K79" s="2" t="s">
        <v>26</v>
      </c>
      <c r="L79" s="4" t="n">
        <f aca="false">IF(COUNTIF(PH_ItemID,A79)=0,"",SUMPRODUCT(MAX((PH_ItemID=A79)*PH_Date)))</f>
        <v>46315</v>
      </c>
      <c r="M79" s="5" t="n">
        <f aca="true">IF(ISNUMBER(L79),TODAY()-L79,"")</f>
        <v>6</v>
      </c>
      <c r="N79" s="2" t="s">
        <v>27</v>
      </c>
      <c r="O79" s="4" t="str">
        <f aca="false">IF(L79="","",IF(SUMPRODUCT(MAX((PH_ItemID=A79)*(PH_Date&lt;L79)*PH_Date))=0,"",SUMPRODUCT(MAX((PH_ItemID=A79)*(PH_Date&lt;L79)*PH_Date))))</f>
        <v/>
      </c>
      <c r="P79" s="3" t="str">
        <f aca="false">IF(O79="","",AVERAGEIFS(PH_Price,PH_ItemID,A79,PH_Date,O79))</f>
        <v/>
      </c>
      <c r="Q79" s="6" t="str">
        <f aca="false">IF(OR(J79="",P79=""),"",J79/P79-1)</f>
        <v/>
      </c>
      <c r="R79" s="2" t="str">
        <f aca="false">IF(J79="","unpriced",IF(P79="","new",IF(Q79&gt;0.05,"▲ up",IF(Q79&lt;-0.05,"▼ down","► stable"))))</f>
        <v>new</v>
      </c>
      <c r="S79" s="2" t="s">
        <v>333</v>
      </c>
    </row>
    <row r="80" customFormat="false" ht="15" hidden="false" customHeight="false" outlineLevel="0" collapsed="false">
      <c r="A80" s="2" t="s">
        <v>334</v>
      </c>
      <c r="B80" s="2" t="s">
        <v>273</v>
      </c>
      <c r="C80" s="2" t="s">
        <v>335</v>
      </c>
      <c r="D80" s="2" t="s">
        <v>336</v>
      </c>
      <c r="E80" s="2" t="s">
        <v>337</v>
      </c>
      <c r="F80" s="2" t="s">
        <v>338</v>
      </c>
      <c r="G80" s="2"/>
      <c r="H80" s="2"/>
      <c r="I80" s="2" t="s">
        <v>25</v>
      </c>
      <c r="J80" s="3" t="n">
        <f aca="false">IF(L80="","",AVERAGEIFS(PH_Price,PH_ItemID,A80,PH_Date,L80))</f>
        <v>159</v>
      </c>
      <c r="K80" s="2" t="s">
        <v>26</v>
      </c>
      <c r="L80" s="4" t="n">
        <f aca="false">IF(COUNTIF(PH_ItemID,A80)=0,"",SUMPRODUCT(MAX((PH_ItemID=A80)*PH_Date)))</f>
        <v>46315</v>
      </c>
      <c r="M80" s="5" t="n">
        <f aca="true">IF(ISNUMBER(L80),TODAY()-L80,"")</f>
        <v>6</v>
      </c>
      <c r="N80" s="2" t="s">
        <v>27</v>
      </c>
      <c r="O80" s="4" t="str">
        <f aca="false">IF(L80="","",IF(SUMPRODUCT(MAX((PH_ItemID=A80)*(PH_Date&lt;L80)*PH_Date))=0,"",SUMPRODUCT(MAX((PH_ItemID=A80)*(PH_Date&lt;L80)*PH_Date))))</f>
        <v/>
      </c>
      <c r="P80" s="3" t="str">
        <f aca="false">IF(O80="","",AVERAGEIFS(PH_Price,PH_ItemID,A80,PH_Date,O80))</f>
        <v/>
      </c>
      <c r="Q80" s="6" t="str">
        <f aca="false">IF(OR(J80="",P80=""),"",J80/P80-1)</f>
        <v/>
      </c>
      <c r="R80" s="2" t="str">
        <f aca="false">IF(J80="","unpriced",IF(P80="","new",IF(Q80&gt;0.05,"▲ up",IF(Q80&lt;-0.05,"▼ down","► stable"))))</f>
        <v>new</v>
      </c>
      <c r="S80" s="2"/>
    </row>
    <row r="81" customFormat="false" ht="15" hidden="false" customHeight="false" outlineLevel="0" collapsed="false">
      <c r="A81" s="2" t="s">
        <v>339</v>
      </c>
      <c r="B81" s="2" t="s">
        <v>273</v>
      </c>
      <c r="C81" s="2" t="s">
        <v>340</v>
      </c>
      <c r="D81" s="2" t="s">
        <v>341</v>
      </c>
      <c r="E81" s="2" t="s">
        <v>342</v>
      </c>
      <c r="F81" s="2" t="s">
        <v>343</v>
      </c>
      <c r="G81" s="2"/>
      <c r="H81" s="2"/>
      <c r="I81" s="2" t="s">
        <v>25</v>
      </c>
      <c r="J81" s="3" t="n">
        <f aca="false">IF(L81="","",AVERAGEIFS(PH_Price,PH_ItemID,A81,PH_Date,L81))</f>
        <v>175</v>
      </c>
      <c r="K81" s="2" t="s">
        <v>26</v>
      </c>
      <c r="L81" s="4" t="n">
        <f aca="false">IF(COUNTIF(PH_ItemID,A81)=0,"",SUMPRODUCT(MAX((PH_ItemID=A81)*PH_Date)))</f>
        <v>46315</v>
      </c>
      <c r="M81" s="5" t="n">
        <f aca="true">IF(ISNUMBER(L81),TODAY()-L81,"")</f>
        <v>6</v>
      </c>
      <c r="N81" s="2" t="s">
        <v>27</v>
      </c>
      <c r="O81" s="4" t="str">
        <f aca="false">IF(L81="","",IF(SUMPRODUCT(MAX((PH_ItemID=A81)*(PH_Date&lt;L81)*PH_Date))=0,"",SUMPRODUCT(MAX((PH_ItemID=A81)*(PH_Date&lt;L81)*PH_Date))))</f>
        <v/>
      </c>
      <c r="P81" s="3" t="str">
        <f aca="false">IF(O81="","",AVERAGEIFS(PH_Price,PH_ItemID,A81,PH_Date,O81))</f>
        <v/>
      </c>
      <c r="Q81" s="6" t="str">
        <f aca="false">IF(OR(J81="",P81=""),"",J81/P81-1)</f>
        <v/>
      </c>
      <c r="R81" s="2" t="str">
        <f aca="false">IF(J81="","unpriced",IF(P81="","new",IF(Q81&gt;0.05,"▲ up",IF(Q81&lt;-0.05,"▼ down","► stable"))))</f>
        <v>new</v>
      </c>
      <c r="S81" s="2"/>
    </row>
    <row r="82" customFormat="false" ht="15" hidden="false" customHeight="false" outlineLevel="0" collapsed="false">
      <c r="A82" s="2" t="s">
        <v>344</v>
      </c>
      <c r="B82" s="2" t="s">
        <v>273</v>
      </c>
      <c r="C82" s="2" t="s">
        <v>345</v>
      </c>
      <c r="D82" s="2" t="s">
        <v>346</v>
      </c>
      <c r="E82" s="2" t="s">
        <v>347</v>
      </c>
      <c r="F82" s="2" t="s">
        <v>348</v>
      </c>
      <c r="G82" s="2"/>
      <c r="H82" s="2"/>
      <c r="I82" s="2" t="s">
        <v>25</v>
      </c>
      <c r="J82" s="3" t="n">
        <f aca="false">IF(L82="","",AVERAGEIFS(PH_Price,PH_ItemID,A82,PH_Date,L82))</f>
        <v>197</v>
      </c>
      <c r="K82" s="2" t="s">
        <v>26</v>
      </c>
      <c r="L82" s="4" t="n">
        <f aca="false">IF(COUNTIF(PH_ItemID,A82)=0,"",SUMPRODUCT(MAX((PH_ItemID=A82)*PH_Date)))</f>
        <v>46315</v>
      </c>
      <c r="M82" s="5" t="n">
        <f aca="true">IF(ISNUMBER(L82),TODAY()-L82,"")</f>
        <v>6</v>
      </c>
      <c r="N82" s="2" t="s">
        <v>27</v>
      </c>
      <c r="O82" s="4" t="str">
        <f aca="false">IF(L82="","",IF(SUMPRODUCT(MAX((PH_ItemID=A82)*(PH_Date&lt;L82)*PH_Date))=0,"",SUMPRODUCT(MAX((PH_ItemID=A82)*(PH_Date&lt;L82)*PH_Date))))</f>
        <v/>
      </c>
      <c r="P82" s="3" t="str">
        <f aca="false">IF(O82="","",AVERAGEIFS(PH_Price,PH_ItemID,A82,PH_Date,O82))</f>
        <v/>
      </c>
      <c r="Q82" s="6" t="str">
        <f aca="false">IF(OR(J82="",P82=""),"",J82/P82-1)</f>
        <v/>
      </c>
      <c r="R82" s="2" t="str">
        <f aca="false">IF(J82="","unpriced",IF(P82="","new",IF(Q82&gt;0.05,"▲ up",IF(Q82&lt;-0.05,"▼ down","► stable"))))</f>
        <v>new</v>
      </c>
      <c r="S82" s="2"/>
    </row>
    <row r="83" customFormat="false" ht="15" hidden="false" customHeight="false" outlineLevel="0" collapsed="false">
      <c r="A83" s="2" t="s">
        <v>349</v>
      </c>
      <c r="B83" s="2" t="s">
        <v>273</v>
      </c>
      <c r="C83" s="2" t="s">
        <v>350</v>
      </c>
      <c r="D83" s="2" t="s">
        <v>351</v>
      </c>
      <c r="E83" s="2" t="s">
        <v>352</v>
      </c>
      <c r="F83" s="2" t="s">
        <v>304</v>
      </c>
      <c r="G83" s="2" t="s">
        <v>278</v>
      </c>
      <c r="H83" s="2" t="s">
        <v>353</v>
      </c>
      <c r="I83" s="2" t="s">
        <v>288</v>
      </c>
      <c r="J83" s="3" t="n">
        <f aca="false">IF(L83="","",AVERAGEIFS(PH_Price,PH_ItemID,A83,PH_Date,L83))</f>
        <v>439</v>
      </c>
      <c r="K83" s="2" t="s">
        <v>26</v>
      </c>
      <c r="L83" s="4" t="n">
        <f aca="false">IF(COUNTIF(PH_ItemID,A83)=0,"",SUMPRODUCT(MAX((PH_ItemID=A83)*PH_Date)))</f>
        <v>46315</v>
      </c>
      <c r="M83" s="5" t="n">
        <f aca="true">IF(ISNUMBER(L83),TODAY()-L83,"")</f>
        <v>6</v>
      </c>
      <c r="N83" s="2" t="s">
        <v>27</v>
      </c>
      <c r="O83" s="4" t="str">
        <f aca="false">IF(L83="","",IF(SUMPRODUCT(MAX((PH_ItemID=A83)*(PH_Date&lt;L83)*PH_Date))=0,"",SUMPRODUCT(MAX((PH_ItemID=A83)*(PH_Date&lt;L83)*PH_Date))))</f>
        <v/>
      </c>
      <c r="P83" s="3" t="str">
        <f aca="false">IF(O83="","",AVERAGEIFS(PH_Price,PH_ItemID,A83,PH_Date,O83))</f>
        <v/>
      </c>
      <c r="Q83" s="6" t="str">
        <f aca="false">IF(OR(J83="",P83=""),"",J83/P83-1)</f>
        <v/>
      </c>
      <c r="R83" s="2" t="str">
        <f aca="false">IF(J83="","unpriced",IF(P83="","new",IF(Q83&gt;0.05,"▲ up",IF(Q83&lt;-0.05,"▼ down","► stable"))))</f>
        <v>new</v>
      </c>
      <c r="S83" s="2" t="s">
        <v>354</v>
      </c>
    </row>
    <row r="84" customFormat="false" ht="15" hidden="false" customHeight="false" outlineLevel="0" collapsed="false">
      <c r="A84" s="2" t="s">
        <v>355</v>
      </c>
      <c r="B84" s="2" t="s">
        <v>273</v>
      </c>
      <c r="C84" s="2" t="s">
        <v>356</v>
      </c>
      <c r="D84" s="2" t="s">
        <v>357</v>
      </c>
      <c r="E84" s="2" t="s">
        <v>358</v>
      </c>
      <c r="F84" s="2" t="s">
        <v>359</v>
      </c>
      <c r="G84" s="2" t="s">
        <v>360</v>
      </c>
      <c r="H84" s="2"/>
      <c r="I84" s="2" t="s">
        <v>95</v>
      </c>
      <c r="J84" s="3" t="n">
        <f aca="false">IF(L84="","",AVERAGEIFS(PH_Price,PH_ItemID,A84,PH_Date,L84))</f>
        <v>68</v>
      </c>
      <c r="K84" s="2" t="s">
        <v>26</v>
      </c>
      <c r="L84" s="4" t="n">
        <f aca="false">IF(COUNTIF(PH_ItemID,A84)=0,"",SUMPRODUCT(MAX((PH_ItemID=A84)*PH_Date)))</f>
        <v>46315</v>
      </c>
      <c r="M84" s="5" t="n">
        <f aca="true">IF(ISNUMBER(L84),TODAY()-L84,"")</f>
        <v>6</v>
      </c>
      <c r="N84" s="2" t="s">
        <v>27</v>
      </c>
      <c r="O84" s="4" t="str">
        <f aca="false">IF(L84="","",IF(SUMPRODUCT(MAX((PH_ItemID=A84)*(PH_Date&lt;L84)*PH_Date))=0,"",SUMPRODUCT(MAX((PH_ItemID=A84)*(PH_Date&lt;L84)*PH_Date))))</f>
        <v/>
      </c>
      <c r="P84" s="3" t="str">
        <f aca="false">IF(O84="","",AVERAGEIFS(PH_Price,PH_ItemID,A84,PH_Date,O84))</f>
        <v/>
      </c>
      <c r="Q84" s="6" t="str">
        <f aca="false">IF(OR(J84="",P84=""),"",J84/P84-1)</f>
        <v/>
      </c>
      <c r="R84" s="2" t="str">
        <f aca="false">IF(J84="","unpriced",IF(P84="","new",IF(Q84&gt;0.05,"▲ up",IF(Q84&lt;-0.05,"▼ down","► stable"))))</f>
        <v>new</v>
      </c>
      <c r="S84" s="2"/>
    </row>
    <row r="85" customFormat="false" ht="15" hidden="false" customHeight="false" outlineLevel="0" collapsed="false">
      <c r="A85" s="2" t="s">
        <v>361</v>
      </c>
      <c r="B85" s="2" t="s">
        <v>273</v>
      </c>
      <c r="C85" s="2" t="s">
        <v>362</v>
      </c>
      <c r="D85" s="2" t="s">
        <v>363</v>
      </c>
      <c r="E85" s="2" t="s">
        <v>364</v>
      </c>
      <c r="F85" s="2" t="s">
        <v>286</v>
      </c>
      <c r="G85" s="2"/>
      <c r="H85" s="2"/>
      <c r="I85" s="2" t="s">
        <v>25</v>
      </c>
      <c r="J85" s="3" t="n">
        <f aca="false">IF(L85="","",AVERAGEIFS(PH_Price,PH_ItemID,A85,PH_Date,L85))</f>
        <v>495</v>
      </c>
      <c r="K85" s="2" t="s">
        <v>26</v>
      </c>
      <c r="L85" s="4" t="n">
        <f aca="false">IF(COUNTIF(PH_ItemID,A85)=0,"",SUMPRODUCT(MAX((PH_ItemID=A85)*PH_Date)))</f>
        <v>46315</v>
      </c>
      <c r="M85" s="5" t="n">
        <f aca="true">IF(ISNUMBER(L85),TODAY()-L85,"")</f>
        <v>6</v>
      </c>
      <c r="N85" s="2" t="s">
        <v>233</v>
      </c>
      <c r="O85" s="4" t="str">
        <f aca="false">IF(L85="","",IF(SUMPRODUCT(MAX((PH_ItemID=A85)*(PH_Date&lt;L85)*PH_Date))=0,"",SUMPRODUCT(MAX((PH_ItemID=A85)*(PH_Date&lt;L85)*PH_Date))))</f>
        <v/>
      </c>
      <c r="P85" s="3" t="str">
        <f aca="false">IF(O85="","",AVERAGEIFS(PH_Price,PH_ItemID,A85,PH_Date,O85))</f>
        <v/>
      </c>
      <c r="Q85" s="6" t="str">
        <f aca="false">IF(OR(J85="",P85=""),"",J85/P85-1)</f>
        <v/>
      </c>
      <c r="R85" s="2" t="str">
        <f aca="false">IF(J85="","unpriced",IF(P85="","new",IF(Q85&gt;0.05,"▲ up",IF(Q85&lt;-0.05,"▼ down","► stable"))))</f>
        <v>new</v>
      </c>
      <c r="S85" s="2" t="s">
        <v>365</v>
      </c>
    </row>
    <row r="86" customFormat="false" ht="15" hidden="false" customHeight="false" outlineLevel="0" collapsed="false">
      <c r="A86" s="2" t="s">
        <v>366</v>
      </c>
      <c r="B86" s="2" t="s">
        <v>273</v>
      </c>
      <c r="C86" s="2" t="s">
        <v>367</v>
      </c>
      <c r="D86" s="2" t="s">
        <v>368</v>
      </c>
      <c r="E86" s="2" t="s">
        <v>369</v>
      </c>
      <c r="F86" s="2" t="s">
        <v>202</v>
      </c>
      <c r="G86" s="2"/>
      <c r="H86" s="2"/>
      <c r="I86" s="2" t="s">
        <v>25</v>
      </c>
      <c r="J86" s="3" t="str">
        <f aca="false">IF(L86="","",AVERAGEIFS(PH_Price,PH_ItemID,A86,PH_Date,L86))</f>
        <v/>
      </c>
      <c r="K86" s="2" t="s">
        <v>26</v>
      </c>
      <c r="L86" s="4" t="str">
        <f aca="false">IF(COUNTIF(PH_ItemID,A86)=0,"",SUMPRODUCT(MAX((PH_ItemID=A86)*PH_Date)))</f>
        <v/>
      </c>
      <c r="M86" s="5" t="str">
        <f aca="true">IF(ISNUMBER(L86),TODAY()-L86,"")</f>
        <v/>
      </c>
      <c r="N86" s="2" t="s">
        <v>233</v>
      </c>
      <c r="O86" s="4" t="str">
        <f aca="false">IF(L86="","",IF(SUMPRODUCT(MAX((PH_ItemID=A86)*(PH_Date&lt;L86)*PH_Date))=0,"",SUMPRODUCT(MAX((PH_ItemID=A86)*(PH_Date&lt;L86)*PH_Date))))</f>
        <v/>
      </c>
      <c r="P86" s="3" t="str">
        <f aca="false">IF(O86="","",AVERAGEIFS(PH_Price,PH_ItemID,A86,PH_Date,O86))</f>
        <v/>
      </c>
      <c r="Q86" s="6" t="str">
        <f aca="false">IF(OR(J86="",P86=""),"",J86/P86-1)</f>
        <v/>
      </c>
      <c r="R86" s="2" t="str">
        <f aca="false">IF(J86="","unpriced",IF(P86="","new",IF(Q86&gt;0.05,"▲ up",IF(Q86&lt;-0.05,"▼ down","► stable"))))</f>
        <v>unpriced</v>
      </c>
      <c r="S86" s="2" t="s">
        <v>370</v>
      </c>
    </row>
    <row r="87" customFormat="false" ht="15" hidden="false" customHeight="false" outlineLevel="0" collapsed="false">
      <c r="A87" s="2" t="s">
        <v>371</v>
      </c>
      <c r="B87" s="2" t="s">
        <v>273</v>
      </c>
      <c r="C87" s="2" t="s">
        <v>372</v>
      </c>
      <c r="D87" s="2" t="s">
        <v>373</v>
      </c>
      <c r="E87" s="2" t="s">
        <v>374</v>
      </c>
      <c r="F87" s="2" t="s">
        <v>24</v>
      </c>
      <c r="G87" s="2"/>
      <c r="H87" s="2"/>
      <c r="I87" s="2" t="s">
        <v>25</v>
      </c>
      <c r="J87" s="3" t="n">
        <f aca="false">IF(L87="","",AVERAGEIFS(PH_Price,PH_ItemID,A87,PH_Date,L87))</f>
        <v>297</v>
      </c>
      <c r="K87" s="2" t="s">
        <v>26</v>
      </c>
      <c r="L87" s="4" t="n">
        <f aca="false">IF(COUNTIF(PH_ItemID,A87)=0,"",SUMPRODUCT(MAX((PH_ItemID=A87)*PH_Date)))</f>
        <v>46315</v>
      </c>
      <c r="M87" s="5" t="n">
        <f aca="true">IF(ISNUMBER(L87),TODAY()-L87,"")</f>
        <v>6</v>
      </c>
      <c r="N87" s="2" t="s">
        <v>27</v>
      </c>
      <c r="O87" s="4" t="str">
        <f aca="false">IF(L87="","",IF(SUMPRODUCT(MAX((PH_ItemID=A87)*(PH_Date&lt;L87)*PH_Date))=0,"",SUMPRODUCT(MAX((PH_ItemID=A87)*(PH_Date&lt;L87)*PH_Date))))</f>
        <v/>
      </c>
      <c r="P87" s="3" t="str">
        <f aca="false">IF(O87="","",AVERAGEIFS(PH_Price,PH_ItemID,A87,PH_Date,O87))</f>
        <v/>
      </c>
      <c r="Q87" s="6" t="str">
        <f aca="false">IF(OR(J87="",P87=""),"",J87/P87-1)</f>
        <v/>
      </c>
      <c r="R87" s="2" t="str">
        <f aca="false">IF(J87="","unpriced",IF(P87="","new",IF(Q87&gt;0.05,"▲ up",IF(Q87&lt;-0.05,"▼ down","► stable"))))</f>
        <v>new</v>
      </c>
      <c r="S87" s="2" t="s">
        <v>375</v>
      </c>
    </row>
    <row r="88" customFormat="false" ht="15" hidden="false" customHeight="false" outlineLevel="0" collapsed="false">
      <c r="A88" s="2" t="s">
        <v>376</v>
      </c>
      <c r="B88" s="2" t="s">
        <v>273</v>
      </c>
      <c r="C88" s="2" t="s">
        <v>377</v>
      </c>
      <c r="D88" s="2" t="s">
        <v>373</v>
      </c>
      <c r="E88" s="2" t="s">
        <v>374</v>
      </c>
      <c r="F88" s="2" t="s">
        <v>24</v>
      </c>
      <c r="G88" s="2"/>
      <c r="H88" s="2"/>
      <c r="I88" s="2" t="s">
        <v>25</v>
      </c>
      <c r="J88" s="3" t="n">
        <f aca="false">IF(L88="","",AVERAGEIFS(PH_Price,PH_ItemID,A88,PH_Date,L88))</f>
        <v>554</v>
      </c>
      <c r="K88" s="2" t="s">
        <v>26</v>
      </c>
      <c r="L88" s="4" t="n">
        <f aca="false">IF(COUNTIF(PH_ItemID,A88)=0,"",SUMPRODUCT(MAX((PH_ItemID=A88)*PH_Date)))</f>
        <v>46315</v>
      </c>
      <c r="M88" s="5" t="n">
        <f aca="true">IF(ISNUMBER(L88),TODAY()-L88,"")</f>
        <v>6</v>
      </c>
      <c r="N88" s="2" t="s">
        <v>27</v>
      </c>
      <c r="O88" s="4" t="str">
        <f aca="false">IF(L88="","",IF(SUMPRODUCT(MAX((PH_ItemID=A88)*(PH_Date&lt;L88)*PH_Date))=0,"",SUMPRODUCT(MAX((PH_ItemID=A88)*(PH_Date&lt;L88)*PH_Date))))</f>
        <v/>
      </c>
      <c r="P88" s="3" t="str">
        <f aca="false">IF(O88="","",AVERAGEIFS(PH_Price,PH_ItemID,A88,PH_Date,O88))</f>
        <v/>
      </c>
      <c r="Q88" s="6" t="str">
        <f aca="false">IF(OR(J88="",P88=""),"",J88/P88-1)</f>
        <v/>
      </c>
      <c r="R88" s="2" t="str">
        <f aca="false">IF(J88="","unpriced",IF(P88="","new",IF(Q88&gt;0.05,"▲ up",IF(Q88&lt;-0.05,"▼ down","► stable"))))</f>
        <v>new</v>
      </c>
      <c r="S88" s="2" t="s">
        <v>378</v>
      </c>
    </row>
    <row r="89" customFormat="false" ht="15" hidden="false" customHeight="false" outlineLevel="0" collapsed="false">
      <c r="A89" s="2" t="s">
        <v>379</v>
      </c>
      <c r="B89" s="2" t="s">
        <v>273</v>
      </c>
      <c r="C89" s="2" t="s">
        <v>380</v>
      </c>
      <c r="D89" s="2" t="s">
        <v>373</v>
      </c>
      <c r="E89" s="2" t="s">
        <v>374</v>
      </c>
      <c r="F89" s="2" t="s">
        <v>24</v>
      </c>
      <c r="G89" s="2"/>
      <c r="H89" s="2"/>
      <c r="I89" s="2" t="s">
        <v>25</v>
      </c>
      <c r="J89" s="3" t="n">
        <f aca="false">IF(L89="","",AVERAGEIFS(PH_Price,PH_ItemID,A89,PH_Date,L89))</f>
        <v>570</v>
      </c>
      <c r="K89" s="2" t="s">
        <v>26</v>
      </c>
      <c r="L89" s="4" t="n">
        <f aca="false">IF(COUNTIF(PH_ItemID,A89)=0,"",SUMPRODUCT(MAX((PH_ItemID=A89)*PH_Date)))</f>
        <v>46315</v>
      </c>
      <c r="M89" s="5" t="n">
        <f aca="true">IF(ISNUMBER(L89),TODAY()-L89,"")</f>
        <v>6</v>
      </c>
      <c r="N89" s="2" t="s">
        <v>27</v>
      </c>
      <c r="O89" s="4" t="str">
        <f aca="false">IF(L89="","",IF(SUMPRODUCT(MAX((PH_ItemID=A89)*(PH_Date&lt;L89)*PH_Date))=0,"",SUMPRODUCT(MAX((PH_ItemID=A89)*(PH_Date&lt;L89)*PH_Date))))</f>
        <v/>
      </c>
      <c r="P89" s="3" t="str">
        <f aca="false">IF(O89="","",AVERAGEIFS(PH_Price,PH_ItemID,A89,PH_Date,O89))</f>
        <v/>
      </c>
      <c r="Q89" s="6" t="str">
        <f aca="false">IF(OR(J89="",P89=""),"",J89/P89-1)</f>
        <v/>
      </c>
      <c r="R89" s="2" t="str">
        <f aca="false">IF(J89="","unpriced",IF(P89="","new",IF(Q89&gt;0.05,"▲ up",IF(Q89&lt;-0.05,"▼ down","► stable"))))</f>
        <v>new</v>
      </c>
      <c r="S89" s="2" t="s">
        <v>378</v>
      </c>
    </row>
    <row r="90" customFormat="false" ht="15" hidden="false" customHeight="false" outlineLevel="0" collapsed="false">
      <c r="A90" s="2" t="s">
        <v>381</v>
      </c>
      <c r="B90" s="2" t="s">
        <v>273</v>
      </c>
      <c r="C90" s="2" t="s">
        <v>382</v>
      </c>
      <c r="D90" s="2" t="s">
        <v>383</v>
      </c>
      <c r="E90" s="2" t="s">
        <v>384</v>
      </c>
      <c r="F90" s="2" t="s">
        <v>385</v>
      </c>
      <c r="G90" s="2"/>
      <c r="H90" s="2"/>
      <c r="I90" s="2" t="s">
        <v>25</v>
      </c>
      <c r="J90" s="3" t="n">
        <f aca="false">IF(L90="","",AVERAGEIFS(PH_Price,PH_ItemID,A90,PH_Date,L90))</f>
        <v>34</v>
      </c>
      <c r="K90" s="2" t="s">
        <v>26</v>
      </c>
      <c r="L90" s="4" t="n">
        <f aca="false">IF(COUNTIF(PH_ItemID,A90)=0,"",SUMPRODUCT(MAX((PH_ItemID=A90)*PH_Date)))</f>
        <v>46315</v>
      </c>
      <c r="M90" s="5" t="n">
        <f aca="true">IF(ISNUMBER(L90),TODAY()-L90,"")</f>
        <v>6</v>
      </c>
      <c r="N90" s="2" t="s">
        <v>27</v>
      </c>
      <c r="O90" s="4" t="str">
        <f aca="false">IF(L90="","",IF(SUMPRODUCT(MAX((PH_ItemID=A90)*(PH_Date&lt;L90)*PH_Date))=0,"",SUMPRODUCT(MAX((PH_ItemID=A90)*(PH_Date&lt;L90)*PH_Date))))</f>
        <v/>
      </c>
      <c r="P90" s="3" t="str">
        <f aca="false">IF(O90="","",AVERAGEIFS(PH_Price,PH_ItemID,A90,PH_Date,O90))</f>
        <v/>
      </c>
      <c r="Q90" s="6" t="str">
        <f aca="false">IF(OR(J90="",P90=""),"",J90/P90-1)</f>
        <v/>
      </c>
      <c r="R90" s="2" t="str">
        <f aca="false">IF(J90="","unpriced",IF(P90="","new",IF(Q90&gt;0.05,"▲ up",IF(Q90&lt;-0.05,"▼ down","► stable"))))</f>
        <v>new</v>
      </c>
      <c r="S90" s="2"/>
    </row>
    <row r="91" customFormat="false" ht="15" hidden="false" customHeight="false" outlineLevel="0" collapsed="false">
      <c r="A91" s="2" t="s">
        <v>386</v>
      </c>
      <c r="B91" s="2" t="s">
        <v>273</v>
      </c>
      <c r="C91" s="2" t="s">
        <v>387</v>
      </c>
      <c r="D91" s="2" t="s">
        <v>388</v>
      </c>
      <c r="E91" s="2" t="s">
        <v>389</v>
      </c>
      <c r="F91" s="2" t="s">
        <v>202</v>
      </c>
      <c r="G91" s="2"/>
      <c r="H91" s="2"/>
      <c r="I91" s="2" t="s">
        <v>25</v>
      </c>
      <c r="J91" s="3" t="n">
        <f aca="false">IF(L91="","",AVERAGEIFS(PH_Price,PH_ItemID,A91,PH_Date,L91))</f>
        <v>38.45</v>
      </c>
      <c r="K91" s="2" t="s">
        <v>26</v>
      </c>
      <c r="L91" s="4" t="n">
        <f aca="false">IF(COUNTIF(PH_ItemID,A91)=0,"",SUMPRODUCT(MAX((PH_ItemID=A91)*PH_Date)))</f>
        <v>46315</v>
      </c>
      <c r="M91" s="5" t="n">
        <f aca="true">IF(ISNUMBER(L91),TODAY()-L91,"")</f>
        <v>6</v>
      </c>
      <c r="N91" s="2" t="s">
        <v>27</v>
      </c>
      <c r="O91" s="4" t="str">
        <f aca="false">IF(L91="","",IF(SUMPRODUCT(MAX((PH_ItemID=A91)*(PH_Date&lt;L91)*PH_Date))=0,"",SUMPRODUCT(MAX((PH_ItemID=A91)*(PH_Date&lt;L91)*PH_Date))))</f>
        <v/>
      </c>
      <c r="P91" s="3" t="str">
        <f aca="false">IF(O91="","",AVERAGEIFS(PH_Price,PH_ItemID,A91,PH_Date,O91))</f>
        <v/>
      </c>
      <c r="Q91" s="6" t="str">
        <f aca="false">IF(OR(J91="",P91=""),"",J91/P91-1)</f>
        <v/>
      </c>
      <c r="R91" s="2" t="str">
        <f aca="false">IF(J91="","unpriced",IF(P91="","new",IF(Q91&gt;0.05,"▲ up",IF(Q91&lt;-0.05,"▼ down","► stable"))))</f>
        <v>new</v>
      </c>
      <c r="S91" s="2"/>
    </row>
    <row r="92" customFormat="false" ht="15" hidden="false" customHeight="false" outlineLevel="0" collapsed="false">
      <c r="A92" s="2" t="s">
        <v>390</v>
      </c>
      <c r="B92" s="2" t="s">
        <v>273</v>
      </c>
      <c r="C92" s="2" t="s">
        <v>391</v>
      </c>
      <c r="D92" s="2" t="s">
        <v>392</v>
      </c>
      <c r="E92" s="2" t="s">
        <v>393</v>
      </c>
      <c r="F92" s="2" t="s">
        <v>119</v>
      </c>
      <c r="G92" s="2" t="s">
        <v>394</v>
      </c>
      <c r="H92" s="2" t="s">
        <v>395</v>
      </c>
      <c r="I92" s="2" t="s">
        <v>280</v>
      </c>
      <c r="J92" s="3" t="n">
        <f aca="false">IF(L92="","",AVERAGEIFS(PH_Price,PH_ItemID,A92,PH_Date,L92))</f>
        <v>420</v>
      </c>
      <c r="K92" s="2" t="s">
        <v>26</v>
      </c>
      <c r="L92" s="4" t="n">
        <f aca="false">IF(COUNTIF(PH_ItemID,A92)=0,"",SUMPRODUCT(MAX((PH_ItemID=A92)*PH_Date)))</f>
        <v>46315</v>
      </c>
      <c r="M92" s="5" t="n">
        <f aca="true">IF(ISNUMBER(L92),TODAY()-L92,"")</f>
        <v>6</v>
      </c>
      <c r="N92" s="2" t="s">
        <v>27</v>
      </c>
      <c r="O92" s="4" t="str">
        <f aca="false">IF(L92="","",IF(SUMPRODUCT(MAX((PH_ItemID=A92)*(PH_Date&lt;L92)*PH_Date))=0,"",SUMPRODUCT(MAX((PH_ItemID=A92)*(PH_Date&lt;L92)*PH_Date))))</f>
        <v/>
      </c>
      <c r="P92" s="3" t="str">
        <f aca="false">IF(O92="","",AVERAGEIFS(PH_Price,PH_ItemID,A92,PH_Date,O92))</f>
        <v/>
      </c>
      <c r="Q92" s="6" t="str">
        <f aca="false">IF(OR(J92="",P92=""),"",J92/P92-1)</f>
        <v/>
      </c>
      <c r="R92" s="2" t="str">
        <f aca="false">IF(J92="","unpriced",IF(P92="","new",IF(Q92&gt;0.05,"▲ up",IF(Q92&lt;-0.05,"▼ down","► stable"))))</f>
        <v>new</v>
      </c>
      <c r="S92" s="2" t="s">
        <v>281</v>
      </c>
    </row>
    <row r="93" customFormat="false" ht="15" hidden="false" customHeight="false" outlineLevel="0" collapsed="false">
      <c r="A93" s="2" t="s">
        <v>396</v>
      </c>
      <c r="B93" s="2" t="s">
        <v>397</v>
      </c>
      <c r="C93" s="2" t="s">
        <v>398</v>
      </c>
      <c r="D93" s="2" t="s">
        <v>399</v>
      </c>
      <c r="E93" s="2" t="s">
        <v>303</v>
      </c>
      <c r="F93" s="2" t="s">
        <v>304</v>
      </c>
      <c r="G93" s="2"/>
      <c r="H93" s="2"/>
      <c r="I93" s="2" t="s">
        <v>25</v>
      </c>
      <c r="J93" s="3" t="n">
        <f aca="false">IF(L93="","",AVERAGEIFS(PH_Price,PH_ItemID,A93,PH_Date,L93))</f>
        <v>199</v>
      </c>
      <c r="K93" s="2" t="s">
        <v>26</v>
      </c>
      <c r="L93" s="4" t="n">
        <f aca="false">IF(COUNTIF(PH_ItemID,A93)=0,"",SUMPRODUCT(MAX((PH_ItemID=A93)*PH_Date)))</f>
        <v>46315</v>
      </c>
      <c r="M93" s="5" t="n">
        <f aca="true">IF(ISNUMBER(L93),TODAY()-L93,"")</f>
        <v>6</v>
      </c>
      <c r="N93" s="2" t="s">
        <v>27</v>
      </c>
      <c r="O93" s="4" t="str">
        <f aca="false">IF(L93="","",IF(SUMPRODUCT(MAX((PH_ItemID=A93)*(PH_Date&lt;L93)*PH_Date))=0,"",SUMPRODUCT(MAX((PH_ItemID=A93)*(PH_Date&lt;L93)*PH_Date))))</f>
        <v/>
      </c>
      <c r="P93" s="3" t="str">
        <f aca="false">IF(O93="","",AVERAGEIFS(PH_Price,PH_ItemID,A93,PH_Date,O93))</f>
        <v/>
      </c>
      <c r="Q93" s="6" t="str">
        <f aca="false">IF(OR(J93="",P93=""),"",J93/P93-1)</f>
        <v/>
      </c>
      <c r="R93" s="2" t="str">
        <f aca="false">IF(J93="","unpriced",IF(P93="","new",IF(Q93&gt;0.05,"▲ up",IF(Q93&lt;-0.05,"▼ down","► stable"))))</f>
        <v>new</v>
      </c>
      <c r="S93" s="2" t="s">
        <v>400</v>
      </c>
    </row>
    <row r="94" customFormat="false" ht="15" hidden="false" customHeight="false" outlineLevel="0" collapsed="false">
      <c r="A94" s="2" t="s">
        <v>401</v>
      </c>
      <c r="B94" s="2" t="s">
        <v>397</v>
      </c>
      <c r="C94" s="2" t="s">
        <v>402</v>
      </c>
      <c r="D94" s="2" t="s">
        <v>403</v>
      </c>
      <c r="E94" s="2" t="s">
        <v>404</v>
      </c>
      <c r="F94" s="2" t="s">
        <v>304</v>
      </c>
      <c r="G94" s="2" t="s">
        <v>278</v>
      </c>
      <c r="H94" s="2" t="s">
        <v>405</v>
      </c>
      <c r="I94" s="2" t="s">
        <v>280</v>
      </c>
      <c r="J94" s="3" t="n">
        <f aca="false">IF(L94="","",AVERAGEIFS(PH_Price,PH_ItemID,A94,PH_Date,L94))</f>
        <v>348</v>
      </c>
      <c r="K94" s="2" t="s">
        <v>26</v>
      </c>
      <c r="L94" s="4" t="n">
        <f aca="false">IF(COUNTIF(PH_ItemID,A94)=0,"",SUMPRODUCT(MAX((PH_ItemID=A94)*PH_Date)))</f>
        <v>46315</v>
      </c>
      <c r="M94" s="5" t="n">
        <f aca="true">IF(ISNUMBER(L94),TODAY()-L94,"")</f>
        <v>6</v>
      </c>
      <c r="N94" s="2" t="s">
        <v>27</v>
      </c>
      <c r="O94" s="4" t="str">
        <f aca="false">IF(L94="","",IF(SUMPRODUCT(MAX((PH_ItemID=A94)*(PH_Date&lt;L94)*PH_Date))=0,"",SUMPRODUCT(MAX((PH_ItemID=A94)*(PH_Date&lt;L94)*PH_Date))))</f>
        <v/>
      </c>
      <c r="P94" s="3" t="str">
        <f aca="false">IF(O94="","",AVERAGEIFS(PH_Price,PH_ItemID,A94,PH_Date,O94))</f>
        <v/>
      </c>
      <c r="Q94" s="6" t="str">
        <f aca="false">IF(OR(J94="",P94=""),"",J94/P94-1)</f>
        <v/>
      </c>
      <c r="R94" s="2" t="str">
        <f aca="false">IF(J94="","unpriced",IF(P94="","new",IF(Q94&gt;0.05,"▲ up",IF(Q94&lt;-0.05,"▼ down","► stable"))))</f>
        <v>new</v>
      </c>
      <c r="S94" s="2" t="s">
        <v>281</v>
      </c>
    </row>
    <row r="95" customFormat="false" ht="15" hidden="false" customHeight="false" outlineLevel="0" collapsed="false">
      <c r="A95" s="2" t="s">
        <v>406</v>
      </c>
      <c r="B95" s="2" t="s">
        <v>397</v>
      </c>
      <c r="C95" s="2" t="s">
        <v>407</v>
      </c>
      <c r="D95" s="2" t="s">
        <v>408</v>
      </c>
      <c r="E95" s="2" t="s">
        <v>409</v>
      </c>
      <c r="F95" s="2" t="s">
        <v>304</v>
      </c>
      <c r="G95" s="2"/>
      <c r="H95" s="2"/>
      <c r="I95" s="2" t="s">
        <v>25</v>
      </c>
      <c r="J95" s="3" t="n">
        <f aca="false">IF(L95="","",AVERAGEIFS(PH_Price,PH_ItemID,A95,PH_Date,L95))</f>
        <v>239</v>
      </c>
      <c r="K95" s="2" t="s">
        <v>26</v>
      </c>
      <c r="L95" s="4" t="n">
        <f aca="false">IF(COUNTIF(PH_ItemID,A95)=0,"",SUMPRODUCT(MAX((PH_ItemID=A95)*PH_Date)))</f>
        <v>46315</v>
      </c>
      <c r="M95" s="5" t="n">
        <f aca="true">IF(ISNUMBER(L95),TODAY()-L95,"")</f>
        <v>6</v>
      </c>
      <c r="N95" s="2" t="s">
        <v>27</v>
      </c>
      <c r="O95" s="4" t="str">
        <f aca="false">IF(L95="","",IF(SUMPRODUCT(MAX((PH_ItemID=A95)*(PH_Date&lt;L95)*PH_Date))=0,"",SUMPRODUCT(MAX((PH_ItemID=A95)*(PH_Date&lt;L95)*PH_Date))))</f>
        <v/>
      </c>
      <c r="P95" s="3" t="str">
        <f aca="false">IF(O95="","",AVERAGEIFS(PH_Price,PH_ItemID,A95,PH_Date,O95))</f>
        <v/>
      </c>
      <c r="Q95" s="6" t="str">
        <f aca="false">IF(OR(J95="",P95=""),"",J95/P95-1)</f>
        <v/>
      </c>
      <c r="R95" s="2" t="str">
        <f aca="false">IF(J95="","unpriced",IF(P95="","new",IF(Q95&gt;0.05,"▲ up",IF(Q95&lt;-0.05,"▼ down","► stable"))))</f>
        <v>new</v>
      </c>
      <c r="S95" s="2"/>
    </row>
    <row r="96" customFormat="false" ht="15" hidden="false" customHeight="false" outlineLevel="0" collapsed="false">
      <c r="A96" s="2" t="s">
        <v>410</v>
      </c>
      <c r="B96" s="2" t="s">
        <v>397</v>
      </c>
      <c r="C96" s="2" t="s">
        <v>411</v>
      </c>
      <c r="D96" s="2" t="s">
        <v>412</v>
      </c>
      <c r="E96" s="2" t="s">
        <v>409</v>
      </c>
      <c r="F96" s="2" t="s">
        <v>304</v>
      </c>
      <c r="G96" s="2"/>
      <c r="H96" s="2"/>
      <c r="I96" s="2" t="s">
        <v>25</v>
      </c>
      <c r="J96" s="3" t="n">
        <f aca="false">IF(L96="","",AVERAGEIFS(PH_Price,PH_ItemID,A96,PH_Date,L96))</f>
        <v>322</v>
      </c>
      <c r="K96" s="2" t="s">
        <v>26</v>
      </c>
      <c r="L96" s="4" t="n">
        <f aca="false">IF(COUNTIF(PH_ItemID,A96)=0,"",SUMPRODUCT(MAX((PH_ItemID=A96)*PH_Date)))</f>
        <v>46315</v>
      </c>
      <c r="M96" s="5" t="n">
        <f aca="true">IF(ISNUMBER(L96),TODAY()-L96,"")</f>
        <v>6</v>
      </c>
      <c r="N96" s="2" t="s">
        <v>27</v>
      </c>
      <c r="O96" s="4" t="str">
        <f aca="false">IF(L96="","",IF(SUMPRODUCT(MAX((PH_ItemID=A96)*(PH_Date&lt;L96)*PH_Date))=0,"",SUMPRODUCT(MAX((PH_ItemID=A96)*(PH_Date&lt;L96)*PH_Date))))</f>
        <v/>
      </c>
      <c r="P96" s="3" t="str">
        <f aca="false">IF(O96="","",AVERAGEIFS(PH_Price,PH_ItemID,A96,PH_Date,O96))</f>
        <v/>
      </c>
      <c r="Q96" s="6" t="str">
        <f aca="false">IF(OR(J96="",P96=""),"",J96/P96-1)</f>
        <v/>
      </c>
      <c r="R96" s="2" t="str">
        <f aca="false">IF(J96="","unpriced",IF(P96="","new",IF(Q96&gt;0.05,"▲ up",IF(Q96&lt;-0.05,"▼ down","► stable"))))</f>
        <v>new</v>
      </c>
      <c r="S96" s="2"/>
    </row>
    <row r="97" customFormat="false" ht="15" hidden="false" customHeight="false" outlineLevel="0" collapsed="false">
      <c r="A97" s="2" t="s">
        <v>413</v>
      </c>
      <c r="B97" s="2" t="s">
        <v>397</v>
      </c>
      <c r="C97" s="2" t="s">
        <v>414</v>
      </c>
      <c r="D97" s="2" t="s">
        <v>415</v>
      </c>
      <c r="E97" s="2" t="s">
        <v>416</v>
      </c>
      <c r="F97" s="2" t="s">
        <v>304</v>
      </c>
      <c r="G97" s="2" t="s">
        <v>278</v>
      </c>
      <c r="H97" s="2" t="s">
        <v>417</v>
      </c>
      <c r="I97" s="2" t="s">
        <v>280</v>
      </c>
      <c r="J97" s="3" t="n">
        <f aca="false">IF(L97="","",AVERAGEIFS(PH_Price,PH_ItemID,A97,PH_Date,L97))</f>
        <v>235</v>
      </c>
      <c r="K97" s="2" t="s">
        <v>26</v>
      </c>
      <c r="L97" s="4" t="n">
        <f aca="false">IF(COUNTIF(PH_ItemID,A97)=0,"",SUMPRODUCT(MAX((PH_ItemID=A97)*PH_Date)))</f>
        <v>46315</v>
      </c>
      <c r="M97" s="5" t="n">
        <f aca="true">IF(ISNUMBER(L97),TODAY()-L97,"")</f>
        <v>6</v>
      </c>
      <c r="N97" s="2" t="s">
        <v>27</v>
      </c>
      <c r="O97" s="4" t="str">
        <f aca="false">IF(L97="","",IF(SUMPRODUCT(MAX((PH_ItemID=A97)*(PH_Date&lt;L97)*PH_Date))=0,"",SUMPRODUCT(MAX((PH_ItemID=A97)*(PH_Date&lt;L97)*PH_Date))))</f>
        <v/>
      </c>
      <c r="P97" s="3" t="str">
        <f aca="false">IF(O97="","",AVERAGEIFS(PH_Price,PH_ItemID,A97,PH_Date,O97))</f>
        <v/>
      </c>
      <c r="Q97" s="6" t="str">
        <f aca="false">IF(OR(J97="",P97=""),"",J97/P97-1)</f>
        <v/>
      </c>
      <c r="R97" s="2" t="str">
        <f aca="false">IF(J97="","unpriced",IF(P97="","new",IF(Q97&gt;0.05,"▲ up",IF(Q97&lt;-0.05,"▼ down","► stable"))))</f>
        <v>new</v>
      </c>
      <c r="S97" s="2" t="s">
        <v>281</v>
      </c>
    </row>
    <row r="98" customFormat="false" ht="15" hidden="false" customHeight="false" outlineLevel="0" collapsed="false">
      <c r="A98" s="2" t="s">
        <v>418</v>
      </c>
      <c r="B98" s="2" t="s">
        <v>397</v>
      </c>
      <c r="C98" s="2" t="s">
        <v>419</v>
      </c>
      <c r="D98" s="2" t="s">
        <v>420</v>
      </c>
      <c r="E98" s="2" t="s">
        <v>421</v>
      </c>
      <c r="F98" s="2" t="s">
        <v>202</v>
      </c>
      <c r="G98" s="2"/>
      <c r="H98" s="2"/>
      <c r="I98" s="2" t="s">
        <v>25</v>
      </c>
      <c r="J98" s="3" t="n">
        <f aca="false">IF(L98="","",AVERAGEIFS(PH_Price,PH_ItemID,A98,PH_Date,L98))</f>
        <v>62</v>
      </c>
      <c r="K98" s="2" t="s">
        <v>26</v>
      </c>
      <c r="L98" s="4" t="n">
        <f aca="false">IF(COUNTIF(PH_ItemID,A98)=0,"",SUMPRODUCT(MAX((PH_ItemID=A98)*PH_Date)))</f>
        <v>46315</v>
      </c>
      <c r="M98" s="5" t="n">
        <f aca="true">IF(ISNUMBER(L98),TODAY()-L98,"")</f>
        <v>6</v>
      </c>
      <c r="N98" s="2" t="s">
        <v>27</v>
      </c>
      <c r="O98" s="4" t="str">
        <f aca="false">IF(L98="","",IF(SUMPRODUCT(MAX((PH_ItemID=A98)*(PH_Date&lt;L98)*PH_Date))=0,"",SUMPRODUCT(MAX((PH_ItemID=A98)*(PH_Date&lt;L98)*PH_Date))))</f>
        <v/>
      </c>
      <c r="P98" s="3" t="str">
        <f aca="false">IF(O98="","",AVERAGEIFS(PH_Price,PH_ItemID,A98,PH_Date,O98))</f>
        <v/>
      </c>
      <c r="Q98" s="6" t="str">
        <f aca="false">IF(OR(J98="",P98=""),"",J98/P98-1)</f>
        <v/>
      </c>
      <c r="R98" s="2" t="str">
        <f aca="false">IF(J98="","unpriced",IF(P98="","new",IF(Q98&gt;0.05,"▲ up",IF(Q98&lt;-0.05,"▼ down","► stable"))))</f>
        <v>new</v>
      </c>
      <c r="S98" s="2"/>
    </row>
    <row r="99" customFormat="false" ht="15" hidden="false" customHeight="false" outlineLevel="0" collapsed="false">
      <c r="A99" s="2" t="s">
        <v>422</v>
      </c>
      <c r="B99" s="2" t="s">
        <v>397</v>
      </c>
      <c r="C99" s="2" t="s">
        <v>423</v>
      </c>
      <c r="D99" s="2" t="s">
        <v>424</v>
      </c>
      <c r="E99" s="2" t="s">
        <v>421</v>
      </c>
      <c r="F99" s="2" t="s">
        <v>202</v>
      </c>
      <c r="G99" s="2"/>
      <c r="H99" s="2"/>
      <c r="I99" s="2" t="s">
        <v>25</v>
      </c>
      <c r="J99" s="3" t="n">
        <f aca="false">IF(L99="","",AVERAGEIFS(PH_Price,PH_ItemID,A99,PH_Date,L99))</f>
        <v>104</v>
      </c>
      <c r="K99" s="2" t="s">
        <v>26</v>
      </c>
      <c r="L99" s="4" t="n">
        <f aca="false">IF(COUNTIF(PH_ItemID,A99)=0,"",SUMPRODUCT(MAX((PH_ItemID=A99)*PH_Date)))</f>
        <v>46315</v>
      </c>
      <c r="M99" s="5" t="n">
        <f aca="true">IF(ISNUMBER(L99),TODAY()-L99,"")</f>
        <v>6</v>
      </c>
      <c r="N99" s="2" t="s">
        <v>27</v>
      </c>
      <c r="O99" s="4" t="str">
        <f aca="false">IF(L99="","",IF(SUMPRODUCT(MAX((PH_ItemID=A99)*(PH_Date&lt;L99)*PH_Date))=0,"",SUMPRODUCT(MAX((PH_ItemID=A99)*(PH_Date&lt;L99)*PH_Date))))</f>
        <v/>
      </c>
      <c r="P99" s="3" t="str">
        <f aca="false">IF(O99="","",AVERAGEIFS(PH_Price,PH_ItemID,A99,PH_Date,O99))</f>
        <v/>
      </c>
      <c r="Q99" s="6" t="str">
        <f aca="false">IF(OR(J99="",P99=""),"",J99/P99-1)</f>
        <v/>
      </c>
      <c r="R99" s="2" t="str">
        <f aca="false">IF(J99="","unpriced",IF(P99="","new",IF(Q99&gt;0.05,"▲ up",IF(Q99&lt;-0.05,"▼ down","► stable"))))</f>
        <v>new</v>
      </c>
      <c r="S99" s="2"/>
    </row>
    <row r="100" customFormat="false" ht="15" hidden="false" customHeight="false" outlineLevel="0" collapsed="false">
      <c r="A100" s="2" t="s">
        <v>425</v>
      </c>
      <c r="B100" s="2" t="s">
        <v>397</v>
      </c>
      <c r="C100" s="2" t="s">
        <v>426</v>
      </c>
      <c r="D100" s="2" t="s">
        <v>427</v>
      </c>
      <c r="E100" s="2" t="s">
        <v>428</v>
      </c>
      <c r="F100" s="2" t="s">
        <v>202</v>
      </c>
      <c r="G100" s="2"/>
      <c r="H100" s="2"/>
      <c r="I100" s="2" t="s">
        <v>25</v>
      </c>
      <c r="J100" s="3" t="n">
        <f aca="false">IF(L100="","",AVERAGEIFS(PH_Price,PH_ItemID,A100,PH_Date,L100))</f>
        <v>296</v>
      </c>
      <c r="K100" s="2" t="s">
        <v>26</v>
      </c>
      <c r="L100" s="4" t="n">
        <f aca="false">IF(COUNTIF(PH_ItemID,A100)=0,"",SUMPRODUCT(MAX((PH_ItemID=A100)*PH_Date)))</f>
        <v>46315</v>
      </c>
      <c r="M100" s="5" t="n">
        <f aca="true">IF(ISNUMBER(L100),TODAY()-L100,"")</f>
        <v>6</v>
      </c>
      <c r="N100" s="2" t="s">
        <v>27</v>
      </c>
      <c r="O100" s="4" t="str">
        <f aca="false">IF(L100="","",IF(SUMPRODUCT(MAX((PH_ItemID=A100)*(PH_Date&lt;L100)*PH_Date))=0,"",SUMPRODUCT(MAX((PH_ItemID=A100)*(PH_Date&lt;L100)*PH_Date))))</f>
        <v/>
      </c>
      <c r="P100" s="3" t="str">
        <f aca="false">IF(O100="","",AVERAGEIFS(PH_Price,PH_ItemID,A100,PH_Date,O100))</f>
        <v/>
      </c>
      <c r="Q100" s="6" t="str">
        <f aca="false">IF(OR(J100="",P100=""),"",J100/P100-1)</f>
        <v/>
      </c>
      <c r="R100" s="2" t="str">
        <f aca="false">IF(J100="","unpriced",IF(P100="","new",IF(Q100&gt;0.05,"▲ up",IF(Q100&lt;-0.05,"▼ down","► stable"))))</f>
        <v>new</v>
      </c>
      <c r="S100" s="2"/>
    </row>
    <row r="101" customFormat="false" ht="15" hidden="false" customHeight="false" outlineLevel="0" collapsed="false">
      <c r="A101" s="2" t="s">
        <v>429</v>
      </c>
      <c r="B101" s="2" t="s">
        <v>397</v>
      </c>
      <c r="C101" s="2" t="s">
        <v>430</v>
      </c>
      <c r="D101" s="2" t="s">
        <v>431</v>
      </c>
      <c r="E101" s="2" t="s">
        <v>432</v>
      </c>
      <c r="F101" s="2" t="s">
        <v>24</v>
      </c>
      <c r="G101" s="2"/>
      <c r="H101" s="2"/>
      <c r="I101" s="2" t="s">
        <v>25</v>
      </c>
      <c r="J101" s="3" t="n">
        <f aca="false">IF(L101="","",AVERAGEIFS(PH_Price,PH_ItemID,A101,PH_Date,L101))</f>
        <v>398</v>
      </c>
      <c r="K101" s="2" t="s">
        <v>26</v>
      </c>
      <c r="L101" s="4" t="n">
        <f aca="false">IF(COUNTIF(PH_ItemID,A101)=0,"",SUMPRODUCT(MAX((PH_ItemID=A101)*PH_Date)))</f>
        <v>46315</v>
      </c>
      <c r="M101" s="5" t="n">
        <f aca="true">IF(ISNUMBER(L101),TODAY()-L101,"")</f>
        <v>6</v>
      </c>
      <c r="N101" s="2" t="s">
        <v>27</v>
      </c>
      <c r="O101" s="4" t="str">
        <f aca="false">IF(L101="","",IF(SUMPRODUCT(MAX((PH_ItemID=A101)*(PH_Date&lt;L101)*PH_Date))=0,"",SUMPRODUCT(MAX((PH_ItemID=A101)*(PH_Date&lt;L101)*PH_Date))))</f>
        <v/>
      </c>
      <c r="P101" s="3" t="str">
        <f aca="false">IF(O101="","",AVERAGEIFS(PH_Price,PH_ItemID,A101,PH_Date,O101))</f>
        <v/>
      </c>
      <c r="Q101" s="6" t="str">
        <f aca="false">IF(OR(J101="",P101=""),"",J101/P101-1)</f>
        <v/>
      </c>
      <c r="R101" s="2" t="str">
        <f aca="false">IF(J101="","unpriced",IF(P101="","new",IF(Q101&gt;0.05,"▲ up",IF(Q101&lt;-0.05,"▼ down","► stable"))))</f>
        <v>new</v>
      </c>
      <c r="S101" s="2" t="s">
        <v>378</v>
      </c>
    </row>
    <row r="102" customFormat="false" ht="15" hidden="false" customHeight="false" outlineLevel="0" collapsed="false">
      <c r="A102" s="2" t="s">
        <v>433</v>
      </c>
      <c r="B102" s="2" t="s">
        <v>397</v>
      </c>
      <c r="C102" s="2" t="s">
        <v>434</v>
      </c>
      <c r="D102" s="2" t="s">
        <v>431</v>
      </c>
      <c r="E102" s="2" t="s">
        <v>432</v>
      </c>
      <c r="F102" s="2" t="s">
        <v>24</v>
      </c>
      <c r="G102" s="2"/>
      <c r="H102" s="2"/>
      <c r="I102" s="2" t="s">
        <v>25</v>
      </c>
      <c r="J102" s="3" t="n">
        <f aca="false">IF(L102="","",AVERAGEIFS(PH_Price,PH_ItemID,A102,PH_Date,L102))</f>
        <v>547</v>
      </c>
      <c r="K102" s="2" t="s">
        <v>26</v>
      </c>
      <c r="L102" s="4" t="n">
        <f aca="false">IF(COUNTIF(PH_ItemID,A102)=0,"",SUMPRODUCT(MAX((PH_ItemID=A102)*PH_Date)))</f>
        <v>46315</v>
      </c>
      <c r="M102" s="5" t="n">
        <f aca="true">IF(ISNUMBER(L102),TODAY()-L102,"")</f>
        <v>6</v>
      </c>
      <c r="N102" s="2" t="s">
        <v>27</v>
      </c>
      <c r="O102" s="4" t="str">
        <f aca="false">IF(L102="","",IF(SUMPRODUCT(MAX((PH_ItemID=A102)*(PH_Date&lt;L102)*PH_Date))=0,"",SUMPRODUCT(MAX((PH_ItemID=A102)*(PH_Date&lt;L102)*PH_Date))))</f>
        <v/>
      </c>
      <c r="P102" s="3" t="str">
        <f aca="false">IF(O102="","",AVERAGEIFS(PH_Price,PH_ItemID,A102,PH_Date,O102))</f>
        <v/>
      </c>
      <c r="Q102" s="6" t="str">
        <f aca="false">IF(OR(J102="",P102=""),"",J102/P102-1)</f>
        <v/>
      </c>
      <c r="R102" s="2" t="str">
        <f aca="false">IF(J102="","unpriced",IF(P102="","new",IF(Q102&gt;0.05,"▲ up",IF(Q102&lt;-0.05,"▼ down","► stable"))))</f>
        <v>new</v>
      </c>
      <c r="S102" s="2" t="s">
        <v>378</v>
      </c>
    </row>
    <row r="103" customFormat="false" ht="15" hidden="false" customHeight="false" outlineLevel="0" collapsed="false">
      <c r="A103" s="2" t="s">
        <v>435</v>
      </c>
      <c r="B103" s="2" t="s">
        <v>397</v>
      </c>
      <c r="C103" s="2" t="s">
        <v>436</v>
      </c>
      <c r="D103" s="2" t="s">
        <v>431</v>
      </c>
      <c r="E103" s="2" t="s">
        <v>432</v>
      </c>
      <c r="F103" s="2" t="s">
        <v>24</v>
      </c>
      <c r="G103" s="2"/>
      <c r="H103" s="2"/>
      <c r="I103" s="2" t="s">
        <v>25</v>
      </c>
      <c r="J103" s="3" t="n">
        <f aca="false">IF(L103="","",AVERAGEIFS(PH_Price,PH_ItemID,A103,PH_Date,L103))</f>
        <v>583</v>
      </c>
      <c r="K103" s="2" t="s">
        <v>26</v>
      </c>
      <c r="L103" s="4" t="n">
        <f aca="false">IF(COUNTIF(PH_ItemID,A103)=0,"",SUMPRODUCT(MAX((PH_ItemID=A103)*PH_Date)))</f>
        <v>46315</v>
      </c>
      <c r="M103" s="5" t="n">
        <f aca="true">IF(ISNUMBER(L103),TODAY()-L103,"")</f>
        <v>6</v>
      </c>
      <c r="N103" s="2" t="s">
        <v>27</v>
      </c>
      <c r="O103" s="4" t="str">
        <f aca="false">IF(L103="","",IF(SUMPRODUCT(MAX((PH_ItemID=A103)*(PH_Date&lt;L103)*PH_Date))=0,"",SUMPRODUCT(MAX((PH_ItemID=A103)*(PH_Date&lt;L103)*PH_Date))))</f>
        <v/>
      </c>
      <c r="P103" s="3" t="str">
        <f aca="false">IF(O103="","",AVERAGEIFS(PH_Price,PH_ItemID,A103,PH_Date,O103))</f>
        <v/>
      </c>
      <c r="Q103" s="6" t="str">
        <f aca="false">IF(OR(J103="",P103=""),"",J103/P103-1)</f>
        <v/>
      </c>
      <c r="R103" s="2" t="str">
        <f aca="false">IF(J103="","unpriced",IF(P103="","new",IF(Q103&gt;0.05,"▲ up",IF(Q103&lt;-0.05,"▼ down","► stable"))))</f>
        <v>new</v>
      </c>
      <c r="S103" s="2" t="s">
        <v>378</v>
      </c>
    </row>
    <row r="104" customFormat="false" ht="15" hidden="false" customHeight="false" outlineLevel="0" collapsed="false">
      <c r="A104" s="2" t="s">
        <v>437</v>
      </c>
      <c r="B104" s="2" t="s">
        <v>397</v>
      </c>
      <c r="C104" s="2" t="s">
        <v>438</v>
      </c>
      <c r="D104" s="2" t="s">
        <v>439</v>
      </c>
      <c r="E104" s="2" t="s">
        <v>440</v>
      </c>
      <c r="F104" s="2" t="s">
        <v>441</v>
      </c>
      <c r="G104" s="2" t="s">
        <v>278</v>
      </c>
      <c r="H104" s="2" t="s">
        <v>442</v>
      </c>
      <c r="I104" s="2" t="s">
        <v>280</v>
      </c>
      <c r="J104" s="3" t="n">
        <f aca="false">IF(L104="","",AVERAGEIFS(PH_Price,PH_ItemID,A104,PH_Date,L104))</f>
        <v>875</v>
      </c>
      <c r="K104" s="2" t="s">
        <v>26</v>
      </c>
      <c r="L104" s="4" t="n">
        <f aca="false">IF(COUNTIF(PH_ItemID,A104)=0,"",SUMPRODUCT(MAX((PH_ItemID=A104)*PH_Date)))</f>
        <v>46315</v>
      </c>
      <c r="M104" s="5" t="n">
        <f aca="true">IF(ISNUMBER(L104),TODAY()-L104,"")</f>
        <v>6</v>
      </c>
      <c r="N104" s="2" t="s">
        <v>27</v>
      </c>
      <c r="O104" s="4" t="str">
        <f aca="false">IF(L104="","",IF(SUMPRODUCT(MAX((PH_ItemID=A104)*(PH_Date&lt;L104)*PH_Date))=0,"",SUMPRODUCT(MAX((PH_ItemID=A104)*(PH_Date&lt;L104)*PH_Date))))</f>
        <v/>
      </c>
      <c r="P104" s="3" t="str">
        <f aca="false">IF(O104="","",AVERAGEIFS(PH_Price,PH_ItemID,A104,PH_Date,O104))</f>
        <v/>
      </c>
      <c r="Q104" s="6" t="str">
        <f aca="false">IF(OR(J104="",P104=""),"",J104/P104-1)</f>
        <v/>
      </c>
      <c r="R104" s="2" t="str">
        <f aca="false">IF(J104="","unpriced",IF(P104="","new",IF(Q104&gt;0.05,"▲ up",IF(Q104&lt;-0.05,"▼ down","► stable"))))</f>
        <v>new</v>
      </c>
      <c r="S104" s="2" t="s">
        <v>281</v>
      </c>
    </row>
    <row r="105" customFormat="false" ht="15" hidden="false" customHeight="false" outlineLevel="0" collapsed="false">
      <c r="A105" s="2" t="s">
        <v>443</v>
      </c>
      <c r="B105" s="2" t="s">
        <v>397</v>
      </c>
      <c r="C105" s="2" t="s">
        <v>444</v>
      </c>
      <c r="D105" s="2" t="s">
        <v>445</v>
      </c>
      <c r="E105" s="2" t="s">
        <v>446</v>
      </c>
      <c r="F105" s="2" t="s">
        <v>24</v>
      </c>
      <c r="G105" s="2"/>
      <c r="H105" s="2"/>
      <c r="I105" s="2" t="s">
        <v>25</v>
      </c>
      <c r="J105" s="3" t="n">
        <f aca="false">IF(L105="","",AVERAGEIFS(PH_Price,PH_ItemID,A105,PH_Date,L105))</f>
        <v>168</v>
      </c>
      <c r="K105" s="2" t="s">
        <v>26</v>
      </c>
      <c r="L105" s="4" t="n">
        <f aca="false">IF(COUNTIF(PH_ItemID,A105)=0,"",SUMPRODUCT(MAX((PH_ItemID=A105)*PH_Date)))</f>
        <v>46315</v>
      </c>
      <c r="M105" s="5" t="n">
        <f aca="true">IF(ISNUMBER(L105),TODAY()-L105,"")</f>
        <v>6</v>
      </c>
      <c r="N105" s="2" t="s">
        <v>27</v>
      </c>
      <c r="O105" s="4" t="str">
        <f aca="false">IF(L105="","",IF(SUMPRODUCT(MAX((PH_ItemID=A105)*(PH_Date&lt;L105)*PH_Date))=0,"",SUMPRODUCT(MAX((PH_ItemID=A105)*(PH_Date&lt;L105)*PH_Date))))</f>
        <v/>
      </c>
      <c r="P105" s="3" t="str">
        <f aca="false">IF(O105="","",AVERAGEIFS(PH_Price,PH_ItemID,A105,PH_Date,O105))</f>
        <v/>
      </c>
      <c r="Q105" s="6" t="str">
        <f aca="false">IF(OR(J105="",P105=""),"",J105/P105-1)</f>
        <v/>
      </c>
      <c r="R105" s="2" t="str">
        <f aca="false">IF(J105="","unpriced",IF(P105="","new",IF(Q105&gt;0.05,"▲ up",IF(Q105&lt;-0.05,"▼ down","► stable"))))</f>
        <v>new</v>
      </c>
      <c r="S105" s="2" t="s">
        <v>447</v>
      </c>
    </row>
    <row r="106" customFormat="false" ht="15" hidden="false" customHeight="false" outlineLevel="0" collapsed="false">
      <c r="A106" s="2" t="s">
        <v>448</v>
      </c>
      <c r="B106" s="2" t="s">
        <v>397</v>
      </c>
      <c r="C106" s="2" t="s">
        <v>449</v>
      </c>
      <c r="D106" s="2" t="s">
        <v>445</v>
      </c>
      <c r="E106" s="2" t="s">
        <v>446</v>
      </c>
      <c r="F106" s="2" t="s">
        <v>24</v>
      </c>
      <c r="G106" s="2"/>
      <c r="H106" s="2"/>
      <c r="I106" s="2" t="s">
        <v>25</v>
      </c>
      <c r="J106" s="3" t="n">
        <f aca="false">IF(L106="","",AVERAGEIFS(PH_Price,PH_ItemID,A106,PH_Date,L106))</f>
        <v>182</v>
      </c>
      <c r="K106" s="2" t="s">
        <v>26</v>
      </c>
      <c r="L106" s="4" t="n">
        <f aca="false">IF(COUNTIF(PH_ItemID,A106)=0,"",SUMPRODUCT(MAX((PH_ItemID=A106)*PH_Date)))</f>
        <v>46315</v>
      </c>
      <c r="M106" s="5" t="n">
        <f aca="true">IF(ISNUMBER(L106),TODAY()-L106,"")</f>
        <v>6</v>
      </c>
      <c r="N106" s="2" t="s">
        <v>27</v>
      </c>
      <c r="O106" s="4" t="str">
        <f aca="false">IF(L106="","",IF(SUMPRODUCT(MAX((PH_ItemID=A106)*(PH_Date&lt;L106)*PH_Date))=0,"",SUMPRODUCT(MAX((PH_ItemID=A106)*(PH_Date&lt;L106)*PH_Date))))</f>
        <v/>
      </c>
      <c r="P106" s="3" t="str">
        <f aca="false">IF(O106="","",AVERAGEIFS(PH_Price,PH_ItemID,A106,PH_Date,O106))</f>
        <v/>
      </c>
      <c r="Q106" s="6" t="str">
        <f aca="false">IF(OR(J106="",P106=""),"",J106/P106-1)</f>
        <v/>
      </c>
      <c r="R106" s="2" t="str">
        <f aca="false">IF(J106="","unpriced",IF(P106="","new",IF(Q106&gt;0.05,"▲ up",IF(Q106&lt;-0.05,"▼ down","► stable"))))</f>
        <v>new</v>
      </c>
      <c r="S106" s="2" t="s">
        <v>447</v>
      </c>
    </row>
    <row r="107" customFormat="false" ht="15" hidden="false" customHeight="false" outlineLevel="0" collapsed="false">
      <c r="A107" s="2" t="s">
        <v>450</v>
      </c>
      <c r="B107" s="2" t="s">
        <v>397</v>
      </c>
      <c r="C107" s="2" t="s">
        <v>451</v>
      </c>
      <c r="D107" s="2" t="s">
        <v>445</v>
      </c>
      <c r="E107" s="2" t="s">
        <v>446</v>
      </c>
      <c r="F107" s="2" t="s">
        <v>24</v>
      </c>
      <c r="G107" s="2"/>
      <c r="H107" s="2"/>
      <c r="I107" s="2" t="s">
        <v>25</v>
      </c>
      <c r="J107" s="3" t="n">
        <f aca="false">IF(L107="","",AVERAGEIFS(PH_Price,PH_ItemID,A107,PH_Date,L107))</f>
        <v>578</v>
      </c>
      <c r="K107" s="2" t="s">
        <v>26</v>
      </c>
      <c r="L107" s="4" t="n">
        <f aca="false">IF(COUNTIF(PH_ItemID,A107)=0,"",SUMPRODUCT(MAX((PH_ItemID=A107)*PH_Date)))</f>
        <v>46315</v>
      </c>
      <c r="M107" s="5" t="n">
        <f aca="true">IF(ISNUMBER(L107),TODAY()-L107,"")</f>
        <v>6</v>
      </c>
      <c r="N107" s="2" t="s">
        <v>27</v>
      </c>
      <c r="O107" s="4" t="str">
        <f aca="false">IF(L107="","",IF(SUMPRODUCT(MAX((PH_ItemID=A107)*(PH_Date&lt;L107)*PH_Date))=0,"",SUMPRODUCT(MAX((PH_ItemID=A107)*(PH_Date&lt;L107)*PH_Date))))</f>
        <v/>
      </c>
      <c r="P107" s="3" t="str">
        <f aca="false">IF(O107="","",AVERAGEIFS(PH_Price,PH_ItemID,A107,PH_Date,O107))</f>
        <v/>
      </c>
      <c r="Q107" s="6" t="str">
        <f aca="false">IF(OR(J107="",P107=""),"",J107/P107-1)</f>
        <v/>
      </c>
      <c r="R107" s="2" t="str">
        <f aca="false">IF(J107="","unpriced",IF(P107="","new",IF(Q107&gt;0.05,"▲ up",IF(Q107&lt;-0.05,"▼ down","► stable"))))</f>
        <v>new</v>
      </c>
      <c r="S107" s="2" t="s">
        <v>378</v>
      </c>
    </row>
    <row r="108" customFormat="false" ht="15" hidden="false" customHeight="false" outlineLevel="0" collapsed="false">
      <c r="A108" s="2" t="s">
        <v>452</v>
      </c>
      <c r="B108" s="2" t="s">
        <v>397</v>
      </c>
      <c r="C108" s="2" t="s">
        <v>453</v>
      </c>
      <c r="D108" s="2" t="s">
        <v>454</v>
      </c>
      <c r="E108" s="2" t="s">
        <v>455</v>
      </c>
      <c r="F108" s="2" t="s">
        <v>456</v>
      </c>
      <c r="G108" s="2" t="s">
        <v>278</v>
      </c>
      <c r="H108" s="2" t="s">
        <v>457</v>
      </c>
      <c r="I108" s="2" t="s">
        <v>280</v>
      </c>
      <c r="J108" s="3" t="n">
        <f aca="false">IF(L108="","",AVERAGEIFS(PH_Price,PH_ItemID,A108,PH_Date,L108))</f>
        <v>569</v>
      </c>
      <c r="K108" s="2" t="s">
        <v>26</v>
      </c>
      <c r="L108" s="4" t="n">
        <f aca="false">IF(COUNTIF(PH_ItemID,A108)=0,"",SUMPRODUCT(MAX((PH_ItemID=A108)*PH_Date)))</f>
        <v>46315</v>
      </c>
      <c r="M108" s="5" t="n">
        <f aca="true">IF(ISNUMBER(L108),TODAY()-L108,"")</f>
        <v>6</v>
      </c>
      <c r="N108" s="2" t="s">
        <v>27</v>
      </c>
      <c r="O108" s="4" t="str">
        <f aca="false">IF(L108="","",IF(SUMPRODUCT(MAX((PH_ItemID=A108)*(PH_Date&lt;L108)*PH_Date))=0,"",SUMPRODUCT(MAX((PH_ItemID=A108)*(PH_Date&lt;L108)*PH_Date))))</f>
        <v/>
      </c>
      <c r="P108" s="3" t="str">
        <f aca="false">IF(O108="","",AVERAGEIFS(PH_Price,PH_ItemID,A108,PH_Date,O108))</f>
        <v/>
      </c>
      <c r="Q108" s="6" t="str">
        <f aca="false">IF(OR(J108="",P108=""),"",J108/P108-1)</f>
        <v/>
      </c>
      <c r="R108" s="2" t="str">
        <f aca="false">IF(J108="","unpriced",IF(P108="","new",IF(Q108&gt;0.05,"▲ up",IF(Q108&lt;-0.05,"▼ down","► stable"))))</f>
        <v>new</v>
      </c>
      <c r="S108" s="2" t="s">
        <v>281</v>
      </c>
    </row>
    <row r="109" customFormat="false" ht="15" hidden="false" customHeight="false" outlineLevel="0" collapsed="false">
      <c r="A109" s="2" t="s">
        <v>458</v>
      </c>
      <c r="B109" s="2" t="s">
        <v>397</v>
      </c>
      <c r="C109" s="2" t="s">
        <v>459</v>
      </c>
      <c r="D109" s="2" t="s">
        <v>460</v>
      </c>
      <c r="E109" s="2" t="s">
        <v>461</v>
      </c>
      <c r="F109" s="2" t="s">
        <v>119</v>
      </c>
      <c r="G109" s="2"/>
      <c r="H109" s="2"/>
      <c r="I109" s="2" t="s">
        <v>25</v>
      </c>
      <c r="J109" s="3" t="n">
        <f aca="false">IF(L109="","",AVERAGEIFS(PH_Price,PH_ItemID,A109,PH_Date,L109))</f>
        <v>119</v>
      </c>
      <c r="K109" s="2" t="s">
        <v>26</v>
      </c>
      <c r="L109" s="4" t="n">
        <f aca="false">IF(COUNTIF(PH_ItemID,A109)=0,"",SUMPRODUCT(MAX((PH_ItemID=A109)*PH_Date)))</f>
        <v>46315</v>
      </c>
      <c r="M109" s="5" t="n">
        <f aca="true">IF(ISNUMBER(L109),TODAY()-L109,"")</f>
        <v>6</v>
      </c>
      <c r="N109" s="2" t="s">
        <v>27</v>
      </c>
      <c r="O109" s="4" t="str">
        <f aca="false">IF(L109="","",IF(SUMPRODUCT(MAX((PH_ItemID=A109)*(PH_Date&lt;L109)*PH_Date))=0,"",SUMPRODUCT(MAX((PH_ItemID=A109)*(PH_Date&lt;L109)*PH_Date))))</f>
        <v/>
      </c>
      <c r="P109" s="3" t="str">
        <f aca="false">IF(O109="","",AVERAGEIFS(PH_Price,PH_ItemID,A109,PH_Date,O109))</f>
        <v/>
      </c>
      <c r="Q109" s="6" t="str">
        <f aca="false">IF(OR(J109="",P109=""),"",J109/P109-1)</f>
        <v/>
      </c>
      <c r="R109" s="2" t="str">
        <f aca="false">IF(J109="","unpriced",IF(P109="","new",IF(Q109&gt;0.05,"▲ up",IF(Q109&lt;-0.05,"▼ down","► stable"))))</f>
        <v>new</v>
      </c>
      <c r="S109" s="2"/>
    </row>
    <row r="110" customFormat="false" ht="15" hidden="false" customHeight="false" outlineLevel="0" collapsed="false">
      <c r="A110" s="2" t="s">
        <v>462</v>
      </c>
      <c r="B110" s="2" t="s">
        <v>397</v>
      </c>
      <c r="C110" s="2" t="s">
        <v>463</v>
      </c>
      <c r="D110" s="2" t="s">
        <v>464</v>
      </c>
      <c r="E110" s="2" t="s">
        <v>465</v>
      </c>
      <c r="F110" s="2" t="s">
        <v>119</v>
      </c>
      <c r="G110" s="2"/>
      <c r="H110" s="2"/>
      <c r="I110" s="2" t="s">
        <v>25</v>
      </c>
      <c r="J110" s="3" t="n">
        <f aca="false">IF(L110="","",AVERAGEIFS(PH_Price,PH_ItemID,A110,PH_Date,L110))</f>
        <v>135</v>
      </c>
      <c r="K110" s="2" t="s">
        <v>26</v>
      </c>
      <c r="L110" s="4" t="n">
        <f aca="false">IF(COUNTIF(PH_ItemID,A110)=0,"",SUMPRODUCT(MAX((PH_ItemID=A110)*PH_Date)))</f>
        <v>46315</v>
      </c>
      <c r="M110" s="5" t="n">
        <f aca="true">IF(ISNUMBER(L110),TODAY()-L110,"")</f>
        <v>6</v>
      </c>
      <c r="N110" s="2" t="s">
        <v>27</v>
      </c>
      <c r="O110" s="4" t="str">
        <f aca="false">IF(L110="","",IF(SUMPRODUCT(MAX((PH_ItemID=A110)*(PH_Date&lt;L110)*PH_Date))=0,"",SUMPRODUCT(MAX((PH_ItemID=A110)*(PH_Date&lt;L110)*PH_Date))))</f>
        <v/>
      </c>
      <c r="P110" s="3" t="str">
        <f aca="false">IF(O110="","",AVERAGEIFS(PH_Price,PH_ItemID,A110,PH_Date,O110))</f>
        <v/>
      </c>
      <c r="Q110" s="6" t="str">
        <f aca="false">IF(OR(J110="",P110=""),"",J110/P110-1)</f>
        <v/>
      </c>
      <c r="R110" s="2" t="str">
        <f aca="false">IF(J110="","unpriced",IF(P110="","new",IF(Q110&gt;0.05,"▲ up",IF(Q110&lt;-0.05,"▼ down","► stable"))))</f>
        <v>new</v>
      </c>
      <c r="S110" s="2"/>
    </row>
    <row r="111" customFormat="false" ht="15" hidden="false" customHeight="false" outlineLevel="0" collapsed="false">
      <c r="A111" s="2" t="s">
        <v>466</v>
      </c>
      <c r="B111" s="2" t="s">
        <v>397</v>
      </c>
      <c r="C111" s="2" t="s">
        <v>467</v>
      </c>
      <c r="D111" s="2" t="s">
        <v>468</v>
      </c>
      <c r="E111" s="2" t="s">
        <v>469</v>
      </c>
      <c r="F111" s="2" t="s">
        <v>119</v>
      </c>
      <c r="G111" s="2"/>
      <c r="H111" s="2"/>
      <c r="I111" s="2" t="s">
        <v>25</v>
      </c>
      <c r="J111" s="3" t="n">
        <f aca="false">IF(L111="","",AVERAGEIFS(PH_Price,PH_ItemID,A111,PH_Date,L111))</f>
        <v>239</v>
      </c>
      <c r="K111" s="2" t="s">
        <v>26</v>
      </c>
      <c r="L111" s="4" t="n">
        <f aca="false">IF(COUNTIF(PH_ItemID,A111)=0,"",SUMPRODUCT(MAX((PH_ItemID=A111)*PH_Date)))</f>
        <v>46315</v>
      </c>
      <c r="M111" s="5" t="n">
        <f aca="true">IF(ISNUMBER(L111),TODAY()-L111,"")</f>
        <v>6</v>
      </c>
      <c r="N111" s="2" t="s">
        <v>27</v>
      </c>
      <c r="O111" s="4" t="str">
        <f aca="false">IF(L111="","",IF(SUMPRODUCT(MAX((PH_ItemID=A111)*(PH_Date&lt;L111)*PH_Date))=0,"",SUMPRODUCT(MAX((PH_ItemID=A111)*(PH_Date&lt;L111)*PH_Date))))</f>
        <v/>
      </c>
      <c r="P111" s="3" t="str">
        <f aca="false">IF(O111="","",AVERAGEIFS(PH_Price,PH_ItemID,A111,PH_Date,O111))</f>
        <v/>
      </c>
      <c r="Q111" s="6" t="str">
        <f aca="false">IF(OR(J111="",P111=""),"",J111/P111-1)</f>
        <v/>
      </c>
      <c r="R111" s="2" t="str">
        <f aca="false">IF(J111="","unpriced",IF(P111="","new",IF(Q111&gt;0.05,"▲ up",IF(Q111&lt;-0.05,"▼ down","► stable"))))</f>
        <v>new</v>
      </c>
      <c r="S111" s="2"/>
    </row>
    <row r="112" customFormat="false" ht="15" hidden="false" customHeight="false" outlineLevel="0" collapsed="false">
      <c r="A112" s="2" t="s">
        <v>470</v>
      </c>
      <c r="B112" s="2" t="s">
        <v>397</v>
      </c>
      <c r="C112" s="2" t="s">
        <v>471</v>
      </c>
      <c r="D112" s="2" t="s">
        <v>472</v>
      </c>
      <c r="E112" s="2" t="s">
        <v>473</v>
      </c>
      <c r="F112" s="2" t="s">
        <v>119</v>
      </c>
      <c r="G112" s="2"/>
      <c r="H112" s="2"/>
      <c r="I112" s="2" t="s">
        <v>25</v>
      </c>
      <c r="J112" s="3" t="n">
        <f aca="false">IF(L112="","",AVERAGEIFS(PH_Price,PH_ItemID,A112,PH_Date,L112))</f>
        <v>245</v>
      </c>
      <c r="K112" s="2" t="s">
        <v>26</v>
      </c>
      <c r="L112" s="4" t="n">
        <f aca="false">IF(COUNTIF(PH_ItemID,A112)=0,"",SUMPRODUCT(MAX((PH_ItemID=A112)*PH_Date)))</f>
        <v>46315</v>
      </c>
      <c r="M112" s="5" t="n">
        <f aca="true">IF(ISNUMBER(L112),TODAY()-L112,"")</f>
        <v>6</v>
      </c>
      <c r="N112" s="2" t="s">
        <v>27</v>
      </c>
      <c r="O112" s="4" t="str">
        <f aca="false">IF(L112="","",IF(SUMPRODUCT(MAX((PH_ItemID=A112)*(PH_Date&lt;L112)*PH_Date))=0,"",SUMPRODUCT(MAX((PH_ItemID=A112)*(PH_Date&lt;L112)*PH_Date))))</f>
        <v/>
      </c>
      <c r="P112" s="3" t="str">
        <f aca="false">IF(O112="","",AVERAGEIFS(PH_Price,PH_ItemID,A112,PH_Date,O112))</f>
        <v/>
      </c>
      <c r="Q112" s="6" t="str">
        <f aca="false">IF(OR(J112="",P112=""),"",J112/P112-1)</f>
        <v/>
      </c>
      <c r="R112" s="2" t="str">
        <f aca="false">IF(J112="","unpriced",IF(P112="","new",IF(Q112&gt;0.05,"▲ up",IF(Q112&lt;-0.05,"▼ down","► stable"))))</f>
        <v>new</v>
      </c>
      <c r="S112" s="2"/>
    </row>
    <row r="113" customFormat="false" ht="15" hidden="false" customHeight="false" outlineLevel="0" collapsed="false">
      <c r="A113" s="2" t="s">
        <v>474</v>
      </c>
      <c r="B113" s="2" t="s">
        <v>397</v>
      </c>
      <c r="C113" s="2" t="s">
        <v>475</v>
      </c>
      <c r="D113" s="2" t="s">
        <v>476</v>
      </c>
      <c r="E113" s="2" t="s">
        <v>477</v>
      </c>
      <c r="F113" s="2" t="s">
        <v>119</v>
      </c>
      <c r="G113" s="2"/>
      <c r="H113" s="2"/>
      <c r="I113" s="2" t="s">
        <v>25</v>
      </c>
      <c r="J113" s="3" t="n">
        <f aca="false">IF(L113="","",AVERAGEIFS(PH_Price,PH_ItemID,A113,PH_Date,L113))</f>
        <v>89</v>
      </c>
      <c r="K113" s="2" t="s">
        <v>26</v>
      </c>
      <c r="L113" s="4" t="n">
        <f aca="false">IF(COUNTIF(PH_ItemID,A113)=0,"",SUMPRODUCT(MAX((PH_ItemID=A113)*PH_Date)))</f>
        <v>46315</v>
      </c>
      <c r="M113" s="5" t="n">
        <f aca="true">IF(ISNUMBER(L113),TODAY()-L113,"")</f>
        <v>6</v>
      </c>
      <c r="N113" s="2" t="s">
        <v>27</v>
      </c>
      <c r="O113" s="4" t="str">
        <f aca="false">IF(L113="","",IF(SUMPRODUCT(MAX((PH_ItemID=A113)*(PH_Date&lt;L113)*PH_Date))=0,"",SUMPRODUCT(MAX((PH_ItemID=A113)*(PH_Date&lt;L113)*PH_Date))))</f>
        <v/>
      </c>
      <c r="P113" s="3" t="str">
        <f aca="false">IF(O113="","",AVERAGEIFS(PH_Price,PH_ItemID,A113,PH_Date,O113))</f>
        <v/>
      </c>
      <c r="Q113" s="6" t="str">
        <f aca="false">IF(OR(J113="",P113=""),"",J113/P113-1)</f>
        <v/>
      </c>
      <c r="R113" s="2" t="str">
        <f aca="false">IF(J113="","unpriced",IF(P113="","new",IF(Q113&gt;0.05,"▲ up",IF(Q113&lt;-0.05,"▼ down","► stable"))))</f>
        <v>new</v>
      </c>
      <c r="S113" s="2"/>
    </row>
    <row r="114" customFormat="false" ht="15" hidden="false" customHeight="false" outlineLevel="0" collapsed="false">
      <c r="A114" s="2" t="s">
        <v>478</v>
      </c>
      <c r="B114" s="2" t="s">
        <v>397</v>
      </c>
      <c r="C114" s="2" t="s">
        <v>479</v>
      </c>
      <c r="D114" s="2" t="s">
        <v>480</v>
      </c>
      <c r="E114" s="2" t="s">
        <v>481</v>
      </c>
      <c r="F114" s="2" t="s">
        <v>359</v>
      </c>
      <c r="G114" s="2"/>
      <c r="H114" s="2"/>
      <c r="I114" s="2" t="s">
        <v>25</v>
      </c>
      <c r="J114" s="3" t="n">
        <f aca="false">IF(L114="","",AVERAGEIFS(PH_Price,PH_ItemID,A114,PH_Date,L114))</f>
        <v>195</v>
      </c>
      <c r="K114" s="2" t="s">
        <v>26</v>
      </c>
      <c r="L114" s="4" t="n">
        <f aca="false">IF(COUNTIF(PH_ItemID,A114)=0,"",SUMPRODUCT(MAX((PH_ItemID=A114)*PH_Date)))</f>
        <v>46315</v>
      </c>
      <c r="M114" s="5" t="n">
        <f aca="true">IF(ISNUMBER(L114),TODAY()-L114,"")</f>
        <v>6</v>
      </c>
      <c r="N114" s="2" t="s">
        <v>27</v>
      </c>
      <c r="O114" s="4" t="str">
        <f aca="false">IF(L114="","",IF(SUMPRODUCT(MAX((PH_ItemID=A114)*(PH_Date&lt;L114)*PH_Date))=0,"",SUMPRODUCT(MAX((PH_ItemID=A114)*(PH_Date&lt;L114)*PH_Date))))</f>
        <v/>
      </c>
      <c r="P114" s="3" t="str">
        <f aca="false">IF(O114="","",AVERAGEIFS(PH_Price,PH_ItemID,A114,PH_Date,O114))</f>
        <v/>
      </c>
      <c r="Q114" s="6" t="str">
        <f aca="false">IF(OR(J114="",P114=""),"",J114/P114-1)</f>
        <v/>
      </c>
      <c r="R114" s="2" t="str">
        <f aca="false">IF(J114="","unpriced",IF(P114="","new",IF(Q114&gt;0.05,"▲ up",IF(Q114&lt;-0.05,"▼ down","► stable"))))</f>
        <v>new</v>
      </c>
      <c r="S114" s="2" t="s">
        <v>482</v>
      </c>
    </row>
    <row r="115" customFormat="false" ht="15" hidden="false" customHeight="false" outlineLevel="0" collapsed="false">
      <c r="A115" s="2" t="s">
        <v>483</v>
      </c>
      <c r="B115" s="2" t="s">
        <v>397</v>
      </c>
      <c r="C115" s="2" t="s">
        <v>484</v>
      </c>
      <c r="D115" s="2" t="s">
        <v>480</v>
      </c>
      <c r="E115" s="2" t="s">
        <v>481</v>
      </c>
      <c r="F115" s="2" t="s">
        <v>359</v>
      </c>
      <c r="G115" s="2"/>
      <c r="H115" s="2"/>
      <c r="I115" s="2" t="s">
        <v>25</v>
      </c>
      <c r="J115" s="3" t="n">
        <f aca="false">IF(L115="","",AVERAGEIFS(PH_Price,PH_ItemID,A115,PH_Date,L115))</f>
        <v>449</v>
      </c>
      <c r="K115" s="2" t="s">
        <v>26</v>
      </c>
      <c r="L115" s="4" t="n">
        <f aca="false">IF(COUNTIF(PH_ItemID,A115)=0,"",SUMPRODUCT(MAX((PH_ItemID=A115)*PH_Date)))</f>
        <v>46315</v>
      </c>
      <c r="M115" s="5" t="n">
        <f aca="true">IF(ISNUMBER(L115),TODAY()-L115,"")</f>
        <v>6</v>
      </c>
      <c r="N115" s="2" t="s">
        <v>27</v>
      </c>
      <c r="O115" s="4" t="str">
        <f aca="false">IF(L115="","",IF(SUMPRODUCT(MAX((PH_ItemID=A115)*(PH_Date&lt;L115)*PH_Date))=0,"",SUMPRODUCT(MAX((PH_ItemID=A115)*(PH_Date&lt;L115)*PH_Date))))</f>
        <v/>
      </c>
      <c r="P115" s="3" t="str">
        <f aca="false">IF(O115="","",AVERAGEIFS(PH_Price,PH_ItemID,A115,PH_Date,O115))</f>
        <v/>
      </c>
      <c r="Q115" s="6" t="str">
        <f aca="false">IF(OR(J115="",P115=""),"",J115/P115-1)</f>
        <v/>
      </c>
      <c r="R115" s="2" t="str">
        <f aca="false">IF(J115="","unpriced",IF(P115="","new",IF(Q115&gt;0.05,"▲ up",IF(Q115&lt;-0.05,"▼ down","► stable"))))</f>
        <v>new</v>
      </c>
      <c r="S115" s="2" t="s">
        <v>482</v>
      </c>
    </row>
    <row r="116" customFormat="false" ht="15" hidden="false" customHeight="false" outlineLevel="0" collapsed="false">
      <c r="A116" s="2" t="s">
        <v>485</v>
      </c>
      <c r="B116" s="2" t="s">
        <v>397</v>
      </c>
      <c r="C116" s="2" t="s">
        <v>486</v>
      </c>
      <c r="D116" s="2" t="s">
        <v>487</v>
      </c>
      <c r="E116" s="2" t="s">
        <v>481</v>
      </c>
      <c r="F116" s="2" t="s">
        <v>359</v>
      </c>
      <c r="G116" s="2"/>
      <c r="H116" s="2"/>
      <c r="I116" s="2" t="s">
        <v>25</v>
      </c>
      <c r="J116" s="3" t="n">
        <f aca="false">IF(L116="","",AVERAGEIFS(PH_Price,PH_ItemID,A116,PH_Date,L116))</f>
        <v>219</v>
      </c>
      <c r="K116" s="2" t="s">
        <v>26</v>
      </c>
      <c r="L116" s="4" t="n">
        <f aca="false">IF(COUNTIF(PH_ItemID,A116)=0,"",SUMPRODUCT(MAX((PH_ItemID=A116)*PH_Date)))</f>
        <v>46315</v>
      </c>
      <c r="M116" s="5" t="n">
        <f aca="true">IF(ISNUMBER(L116),TODAY()-L116,"")</f>
        <v>6</v>
      </c>
      <c r="N116" s="2" t="s">
        <v>27</v>
      </c>
      <c r="O116" s="4" t="str">
        <f aca="false">IF(L116="","",IF(SUMPRODUCT(MAX((PH_ItemID=A116)*(PH_Date&lt;L116)*PH_Date))=0,"",SUMPRODUCT(MAX((PH_ItemID=A116)*(PH_Date&lt;L116)*PH_Date))))</f>
        <v/>
      </c>
      <c r="P116" s="3" t="str">
        <f aca="false">IF(O116="","",AVERAGEIFS(PH_Price,PH_ItemID,A116,PH_Date,O116))</f>
        <v/>
      </c>
      <c r="Q116" s="6" t="str">
        <f aca="false">IF(OR(J116="",P116=""),"",J116/P116-1)</f>
        <v/>
      </c>
      <c r="R116" s="2" t="str">
        <f aca="false">IF(J116="","unpriced",IF(P116="","new",IF(Q116&gt;0.05,"▲ up",IF(Q116&lt;-0.05,"▼ down","► stable"))))</f>
        <v>new</v>
      </c>
      <c r="S116" s="2" t="s">
        <v>482</v>
      </c>
    </row>
    <row r="117" customFormat="false" ht="15" hidden="false" customHeight="false" outlineLevel="0" collapsed="false">
      <c r="A117" s="2" t="s">
        <v>488</v>
      </c>
      <c r="B117" s="2" t="s">
        <v>397</v>
      </c>
      <c r="C117" s="2" t="s">
        <v>489</v>
      </c>
      <c r="D117" s="2" t="s">
        <v>487</v>
      </c>
      <c r="E117" s="2" t="s">
        <v>481</v>
      </c>
      <c r="F117" s="2" t="s">
        <v>359</v>
      </c>
      <c r="G117" s="2"/>
      <c r="H117" s="2"/>
      <c r="I117" s="2" t="s">
        <v>25</v>
      </c>
      <c r="J117" s="3" t="n">
        <f aca="false">IF(L117="","",AVERAGEIFS(PH_Price,PH_ItemID,A117,PH_Date,L117))</f>
        <v>529</v>
      </c>
      <c r="K117" s="2" t="s">
        <v>26</v>
      </c>
      <c r="L117" s="4" t="n">
        <f aca="false">IF(COUNTIF(PH_ItemID,A117)=0,"",SUMPRODUCT(MAX((PH_ItemID=A117)*PH_Date)))</f>
        <v>46315</v>
      </c>
      <c r="M117" s="5" t="n">
        <f aca="true">IF(ISNUMBER(L117),TODAY()-L117,"")</f>
        <v>6</v>
      </c>
      <c r="N117" s="2" t="s">
        <v>27</v>
      </c>
      <c r="O117" s="4" t="str">
        <f aca="false">IF(L117="","",IF(SUMPRODUCT(MAX((PH_ItemID=A117)*(PH_Date&lt;L117)*PH_Date))=0,"",SUMPRODUCT(MAX((PH_ItemID=A117)*(PH_Date&lt;L117)*PH_Date))))</f>
        <v/>
      </c>
      <c r="P117" s="3" t="str">
        <f aca="false">IF(O117="","",AVERAGEIFS(PH_Price,PH_ItemID,A117,PH_Date,O117))</f>
        <v/>
      </c>
      <c r="Q117" s="6" t="str">
        <f aca="false">IF(OR(J117="",P117=""),"",J117/P117-1)</f>
        <v/>
      </c>
      <c r="R117" s="2" t="str">
        <f aca="false">IF(J117="","unpriced",IF(P117="","new",IF(Q117&gt;0.05,"▲ up",IF(Q117&lt;-0.05,"▼ down","► stable"))))</f>
        <v>new</v>
      </c>
      <c r="S117" s="2" t="s">
        <v>482</v>
      </c>
    </row>
    <row r="118" customFormat="false" ht="15" hidden="false" customHeight="false" outlineLevel="0" collapsed="false">
      <c r="A118" s="2" t="s">
        <v>490</v>
      </c>
      <c r="B118" s="2" t="s">
        <v>397</v>
      </c>
      <c r="C118" s="2" t="s">
        <v>491</v>
      </c>
      <c r="D118" s="2" t="s">
        <v>492</v>
      </c>
      <c r="E118" s="2" t="s">
        <v>481</v>
      </c>
      <c r="F118" s="2" t="s">
        <v>359</v>
      </c>
      <c r="G118" s="2"/>
      <c r="H118" s="2"/>
      <c r="I118" s="2" t="s">
        <v>25</v>
      </c>
      <c r="J118" s="3" t="n">
        <f aca="false">IF(L118="","",AVERAGEIFS(PH_Price,PH_ItemID,A118,PH_Date,L118))</f>
        <v>407</v>
      </c>
      <c r="K118" s="2" t="s">
        <v>26</v>
      </c>
      <c r="L118" s="4" t="n">
        <f aca="false">IF(COUNTIF(PH_ItemID,A118)=0,"",SUMPRODUCT(MAX((PH_ItemID=A118)*PH_Date)))</f>
        <v>46315</v>
      </c>
      <c r="M118" s="5" t="n">
        <f aca="true">IF(ISNUMBER(L118),TODAY()-L118,"")</f>
        <v>6</v>
      </c>
      <c r="N118" s="2" t="s">
        <v>27</v>
      </c>
      <c r="O118" s="4" t="str">
        <f aca="false">IF(L118="","",IF(SUMPRODUCT(MAX((PH_ItemID=A118)*(PH_Date&lt;L118)*PH_Date))=0,"",SUMPRODUCT(MAX((PH_ItemID=A118)*(PH_Date&lt;L118)*PH_Date))))</f>
        <v/>
      </c>
      <c r="P118" s="3" t="str">
        <f aca="false">IF(O118="","",AVERAGEIFS(PH_Price,PH_ItemID,A118,PH_Date,O118))</f>
        <v/>
      </c>
      <c r="Q118" s="6" t="str">
        <f aca="false">IF(OR(J118="",P118=""),"",J118/P118-1)</f>
        <v/>
      </c>
      <c r="R118" s="2" t="str">
        <f aca="false">IF(J118="","unpriced",IF(P118="","new",IF(Q118&gt;0.05,"▲ up",IF(Q118&lt;-0.05,"▼ down","► stable"))))</f>
        <v>new</v>
      </c>
      <c r="S118" s="2" t="s">
        <v>482</v>
      </c>
    </row>
    <row r="119" customFormat="false" ht="15" hidden="false" customHeight="false" outlineLevel="0" collapsed="false">
      <c r="A119" s="2" t="s">
        <v>493</v>
      </c>
      <c r="B119" s="2" t="s">
        <v>397</v>
      </c>
      <c r="C119" s="2" t="s">
        <v>494</v>
      </c>
      <c r="D119" s="2" t="s">
        <v>492</v>
      </c>
      <c r="E119" s="2" t="s">
        <v>481</v>
      </c>
      <c r="F119" s="2" t="s">
        <v>359</v>
      </c>
      <c r="G119" s="2"/>
      <c r="H119" s="2"/>
      <c r="I119" s="2" t="s">
        <v>25</v>
      </c>
      <c r="J119" s="3" t="n">
        <f aca="false">IF(L119="","",AVERAGEIFS(PH_Price,PH_ItemID,A119,PH_Date,L119))</f>
        <v>479</v>
      </c>
      <c r="K119" s="2" t="s">
        <v>26</v>
      </c>
      <c r="L119" s="4" t="n">
        <f aca="false">IF(COUNTIF(PH_ItemID,A119)=0,"",SUMPRODUCT(MAX((PH_ItemID=A119)*PH_Date)))</f>
        <v>46315</v>
      </c>
      <c r="M119" s="5" t="n">
        <f aca="true">IF(ISNUMBER(L119),TODAY()-L119,"")</f>
        <v>6</v>
      </c>
      <c r="N119" s="2" t="s">
        <v>27</v>
      </c>
      <c r="O119" s="4" t="str">
        <f aca="false">IF(L119="","",IF(SUMPRODUCT(MAX((PH_ItemID=A119)*(PH_Date&lt;L119)*PH_Date))=0,"",SUMPRODUCT(MAX((PH_ItemID=A119)*(PH_Date&lt;L119)*PH_Date))))</f>
        <v/>
      </c>
      <c r="P119" s="3" t="str">
        <f aca="false">IF(O119="","",AVERAGEIFS(PH_Price,PH_ItemID,A119,PH_Date,O119))</f>
        <v/>
      </c>
      <c r="Q119" s="6" t="str">
        <f aca="false">IF(OR(J119="",P119=""),"",J119/P119-1)</f>
        <v/>
      </c>
      <c r="R119" s="2" t="str">
        <f aca="false">IF(J119="","unpriced",IF(P119="","new",IF(Q119&gt;0.05,"▲ up",IF(Q119&lt;-0.05,"▼ down","► stable"))))</f>
        <v>new</v>
      </c>
      <c r="S119" s="2" t="s">
        <v>482</v>
      </c>
    </row>
    <row r="120" customFormat="false" ht="15" hidden="false" customHeight="false" outlineLevel="0" collapsed="false">
      <c r="A120" s="2" t="s">
        <v>495</v>
      </c>
      <c r="B120" s="2" t="s">
        <v>496</v>
      </c>
      <c r="C120" s="2" t="s">
        <v>497</v>
      </c>
      <c r="D120" s="2" t="s">
        <v>498</v>
      </c>
      <c r="E120" s="2" t="s">
        <v>49</v>
      </c>
      <c r="F120" s="2" t="s">
        <v>119</v>
      </c>
      <c r="G120" s="2"/>
      <c r="H120" s="2"/>
      <c r="I120" s="2" t="s">
        <v>25</v>
      </c>
      <c r="J120" s="3" t="n">
        <f aca="false">IF(L120="","",AVERAGEIFS(PH_Price,PH_ItemID,A120,PH_Date,L120))</f>
        <v>359</v>
      </c>
      <c r="K120" s="2" t="s">
        <v>26</v>
      </c>
      <c r="L120" s="4" t="n">
        <f aca="false">IF(COUNTIF(PH_ItemID,A120)=0,"",SUMPRODUCT(MAX((PH_ItemID=A120)*PH_Date)))</f>
        <v>46315</v>
      </c>
      <c r="M120" s="5" t="n">
        <f aca="true">IF(ISNUMBER(L120),TODAY()-L120,"")</f>
        <v>6</v>
      </c>
      <c r="N120" s="2" t="s">
        <v>27</v>
      </c>
      <c r="O120" s="4" t="str">
        <f aca="false">IF(L120="","",IF(SUMPRODUCT(MAX((PH_ItemID=A120)*(PH_Date&lt;L120)*PH_Date))=0,"",SUMPRODUCT(MAX((PH_ItemID=A120)*(PH_Date&lt;L120)*PH_Date))))</f>
        <v/>
      </c>
      <c r="P120" s="3" t="str">
        <f aca="false">IF(O120="","",AVERAGEIFS(PH_Price,PH_ItemID,A120,PH_Date,O120))</f>
        <v/>
      </c>
      <c r="Q120" s="6" t="str">
        <f aca="false">IF(OR(J120="",P120=""),"",J120/P120-1)</f>
        <v/>
      </c>
      <c r="R120" s="2" t="str">
        <f aca="false">IF(J120="","unpriced",IF(P120="","new",IF(Q120&gt;0.05,"▲ up",IF(Q120&lt;-0.05,"▼ down","► stable"))))</f>
        <v>new</v>
      </c>
      <c r="S120" s="2"/>
    </row>
    <row r="121" customFormat="false" ht="15" hidden="false" customHeight="false" outlineLevel="0" collapsed="false">
      <c r="A121" s="2" t="s">
        <v>499</v>
      </c>
      <c r="B121" s="2" t="s">
        <v>496</v>
      </c>
      <c r="C121" s="2" t="s">
        <v>500</v>
      </c>
      <c r="D121" s="2" t="s">
        <v>501</v>
      </c>
      <c r="E121" s="2" t="s">
        <v>502</v>
      </c>
      <c r="F121" s="2" t="s">
        <v>119</v>
      </c>
      <c r="G121" s="2" t="s">
        <v>278</v>
      </c>
      <c r="H121" s="2" t="s">
        <v>503</v>
      </c>
      <c r="I121" s="2" t="s">
        <v>288</v>
      </c>
      <c r="J121" s="3" t="n">
        <f aca="false">IF(L121="","",AVERAGEIFS(PH_Price,PH_ItemID,A121,PH_Date,L121))</f>
        <v>459</v>
      </c>
      <c r="K121" s="2" t="s">
        <v>26</v>
      </c>
      <c r="L121" s="4" t="n">
        <f aca="false">IF(COUNTIF(PH_ItemID,A121)=0,"",SUMPRODUCT(MAX((PH_ItemID=A121)*PH_Date)))</f>
        <v>46315</v>
      </c>
      <c r="M121" s="5" t="n">
        <f aca="true">IF(ISNUMBER(L121),TODAY()-L121,"")</f>
        <v>6</v>
      </c>
      <c r="N121" s="2" t="s">
        <v>27</v>
      </c>
      <c r="O121" s="4" t="str">
        <f aca="false">IF(L121="","",IF(SUMPRODUCT(MAX((PH_ItemID=A121)*(PH_Date&lt;L121)*PH_Date))=0,"",SUMPRODUCT(MAX((PH_ItemID=A121)*(PH_Date&lt;L121)*PH_Date))))</f>
        <v/>
      </c>
      <c r="P121" s="3" t="str">
        <f aca="false">IF(O121="","",AVERAGEIFS(PH_Price,PH_ItemID,A121,PH_Date,O121))</f>
        <v/>
      </c>
      <c r="Q121" s="6" t="str">
        <f aca="false">IF(OR(J121="",P121=""),"",J121/P121-1)</f>
        <v/>
      </c>
      <c r="R121" s="2" t="str">
        <f aca="false">IF(J121="","unpriced",IF(P121="","new",IF(Q121&gt;0.05,"▲ up",IF(Q121&lt;-0.05,"▼ down","► stable"))))</f>
        <v>new</v>
      </c>
      <c r="S121" s="2" t="s">
        <v>504</v>
      </c>
    </row>
    <row r="122" customFormat="false" ht="15" hidden="false" customHeight="false" outlineLevel="0" collapsed="false">
      <c r="A122" s="2" t="s">
        <v>505</v>
      </c>
      <c r="B122" s="2" t="s">
        <v>496</v>
      </c>
      <c r="C122" s="2" t="s">
        <v>506</v>
      </c>
      <c r="D122" s="2" t="s">
        <v>507</v>
      </c>
      <c r="E122" s="2" t="s">
        <v>303</v>
      </c>
      <c r="F122" s="2" t="s">
        <v>304</v>
      </c>
      <c r="G122" s="2" t="s">
        <v>508</v>
      </c>
      <c r="H122" s="2"/>
      <c r="I122" s="2" t="s">
        <v>95</v>
      </c>
      <c r="J122" s="3" t="n">
        <f aca="false">IF(L122="","",AVERAGEIFS(PH_Price,PH_ItemID,A122,PH_Date,L122))</f>
        <v>589</v>
      </c>
      <c r="K122" s="2" t="s">
        <v>26</v>
      </c>
      <c r="L122" s="4" t="n">
        <f aca="false">IF(COUNTIF(PH_ItemID,A122)=0,"",SUMPRODUCT(MAX((PH_ItemID=A122)*PH_Date)))</f>
        <v>46315</v>
      </c>
      <c r="M122" s="5" t="n">
        <f aca="true">IF(ISNUMBER(L122),TODAY()-L122,"")</f>
        <v>6</v>
      </c>
      <c r="N122" s="2" t="s">
        <v>27</v>
      </c>
      <c r="O122" s="4" t="str">
        <f aca="false">IF(L122="","",IF(SUMPRODUCT(MAX((PH_ItemID=A122)*(PH_Date&lt;L122)*PH_Date))=0,"",SUMPRODUCT(MAX((PH_ItemID=A122)*(PH_Date&lt;L122)*PH_Date))))</f>
        <v/>
      </c>
      <c r="P122" s="3" t="str">
        <f aca="false">IF(O122="","",AVERAGEIFS(PH_Price,PH_ItemID,A122,PH_Date,O122))</f>
        <v/>
      </c>
      <c r="Q122" s="6" t="str">
        <f aca="false">IF(OR(J122="",P122=""),"",J122/P122-1)</f>
        <v/>
      </c>
      <c r="R122" s="2" t="str">
        <f aca="false">IF(J122="","unpriced",IF(P122="","new",IF(Q122&gt;0.05,"▲ up",IF(Q122&lt;-0.05,"▼ down","► stable"))))</f>
        <v>new</v>
      </c>
      <c r="S122" s="2"/>
    </row>
    <row r="123" customFormat="false" ht="15" hidden="false" customHeight="false" outlineLevel="0" collapsed="false">
      <c r="A123" s="2" t="s">
        <v>509</v>
      </c>
      <c r="B123" s="2" t="s">
        <v>496</v>
      </c>
      <c r="C123" s="2" t="s">
        <v>510</v>
      </c>
      <c r="D123" s="2" t="s">
        <v>511</v>
      </c>
      <c r="E123" s="2" t="s">
        <v>512</v>
      </c>
      <c r="F123" s="2" t="s">
        <v>93</v>
      </c>
      <c r="G123" s="2" t="s">
        <v>513</v>
      </c>
      <c r="H123" s="2" t="s">
        <v>514</v>
      </c>
      <c r="I123" s="2" t="s">
        <v>280</v>
      </c>
      <c r="J123" s="3" t="n">
        <f aca="false">IF(L123="","",AVERAGEIFS(PH_Price,PH_ItemID,A123,PH_Date,L123))</f>
        <v>1648</v>
      </c>
      <c r="K123" s="2" t="s">
        <v>26</v>
      </c>
      <c r="L123" s="4" t="n">
        <f aca="false">IF(COUNTIF(PH_ItemID,A123)=0,"",SUMPRODUCT(MAX((PH_ItemID=A123)*PH_Date)))</f>
        <v>46321</v>
      </c>
      <c r="M123" s="5" t="n">
        <f aca="true">IF(ISNUMBER(L123),TODAY()-L123,"")</f>
        <v>0</v>
      </c>
      <c r="N123" s="2" t="s">
        <v>27</v>
      </c>
      <c r="O123" s="4" t="n">
        <f aca="false">IF(L123="","",IF(SUMPRODUCT(MAX((PH_ItemID=A123)*(PH_Date&lt;L123)*PH_Date))=0,"",SUMPRODUCT(MAX((PH_ItemID=A123)*(PH_Date&lt;L123)*PH_Date))))</f>
        <v>46315</v>
      </c>
      <c r="P123" s="3" t="n">
        <f aca="false">IF(O123="","",AVERAGEIFS(PH_Price,PH_ItemID,A123,PH_Date,O123))</f>
        <v>1140</v>
      </c>
      <c r="Q123" s="6" t="n">
        <f aca="false">IF(OR(J123="",P123=""),"",J123/P123-1)</f>
        <v>0.445614035087719</v>
      </c>
      <c r="R123" s="2" t="str">
        <f aca="false">IF(J123="","unpriced",IF(P123="","new",IF(Q123&gt;0.05,"▲ up",IF(Q123&lt;-0.05,"▼ down","► stable"))))</f>
        <v>▲ up</v>
      </c>
      <c r="S123" s="2" t="s">
        <v>281</v>
      </c>
    </row>
    <row r="124" customFormat="false" ht="15" hidden="false" customHeight="false" outlineLevel="0" collapsed="false">
      <c r="A124" s="2" t="s">
        <v>515</v>
      </c>
      <c r="B124" s="2" t="s">
        <v>496</v>
      </c>
      <c r="C124" s="2" t="s">
        <v>516</v>
      </c>
      <c r="D124" s="2" t="s">
        <v>517</v>
      </c>
      <c r="E124" s="2" t="s">
        <v>518</v>
      </c>
      <c r="F124" s="2" t="s">
        <v>304</v>
      </c>
      <c r="G124" s="2" t="s">
        <v>278</v>
      </c>
      <c r="H124" s="2" t="s">
        <v>519</v>
      </c>
      <c r="I124" s="2" t="s">
        <v>280</v>
      </c>
      <c r="J124" s="3" t="n">
        <f aca="false">IF(L124="","",AVERAGEIFS(PH_Price,PH_ItemID,A124,PH_Date,L124))</f>
        <v>1499</v>
      </c>
      <c r="K124" s="2" t="s">
        <v>26</v>
      </c>
      <c r="L124" s="4" t="n">
        <f aca="false">IF(COUNTIF(PH_ItemID,A124)=0,"",SUMPRODUCT(MAX((PH_ItemID=A124)*PH_Date)))</f>
        <v>46315</v>
      </c>
      <c r="M124" s="5" t="n">
        <f aca="true">IF(ISNUMBER(L124),TODAY()-L124,"")</f>
        <v>6</v>
      </c>
      <c r="N124" s="2" t="s">
        <v>27</v>
      </c>
      <c r="O124" s="4" t="str">
        <f aca="false">IF(L124="","",IF(SUMPRODUCT(MAX((PH_ItemID=A124)*(PH_Date&lt;L124)*PH_Date))=0,"",SUMPRODUCT(MAX((PH_ItemID=A124)*(PH_Date&lt;L124)*PH_Date))))</f>
        <v/>
      </c>
      <c r="P124" s="3" t="str">
        <f aca="false">IF(O124="","",AVERAGEIFS(PH_Price,PH_ItemID,A124,PH_Date,O124))</f>
        <v/>
      </c>
      <c r="Q124" s="6" t="str">
        <f aca="false">IF(OR(J124="",P124=""),"",J124/P124-1)</f>
        <v/>
      </c>
      <c r="R124" s="2" t="str">
        <f aca="false">IF(J124="","unpriced",IF(P124="","new",IF(Q124&gt;0.05,"▲ up",IF(Q124&lt;-0.05,"▼ down","► stable"))))</f>
        <v>new</v>
      </c>
      <c r="S124" s="2" t="s">
        <v>281</v>
      </c>
    </row>
    <row r="125" customFormat="false" ht="15" hidden="false" customHeight="false" outlineLevel="0" collapsed="false">
      <c r="A125" s="2" t="s">
        <v>520</v>
      </c>
      <c r="B125" s="2" t="s">
        <v>496</v>
      </c>
      <c r="C125" s="2" t="s">
        <v>521</v>
      </c>
      <c r="D125" s="2" t="s">
        <v>522</v>
      </c>
      <c r="E125" s="2" t="s">
        <v>523</v>
      </c>
      <c r="F125" s="2" t="s">
        <v>119</v>
      </c>
      <c r="G125" s="2"/>
      <c r="H125" s="2"/>
      <c r="I125" s="2" t="s">
        <v>25</v>
      </c>
      <c r="J125" s="3" t="n">
        <f aca="false">IF(L125="","",AVERAGEIFS(PH_Price,PH_ItemID,A125,PH_Date,L125))</f>
        <v>280</v>
      </c>
      <c r="K125" s="2" t="s">
        <v>26</v>
      </c>
      <c r="L125" s="4" t="n">
        <f aca="false">IF(COUNTIF(PH_ItemID,A125)=0,"",SUMPRODUCT(MAX((PH_ItemID=A125)*PH_Date)))</f>
        <v>46315</v>
      </c>
      <c r="M125" s="5" t="n">
        <f aca="true">IF(ISNUMBER(L125),TODAY()-L125,"")</f>
        <v>6</v>
      </c>
      <c r="N125" s="2" t="s">
        <v>27</v>
      </c>
      <c r="O125" s="4" t="str">
        <f aca="false">IF(L125="","",IF(SUMPRODUCT(MAX((PH_ItemID=A125)*(PH_Date&lt;L125)*PH_Date))=0,"",SUMPRODUCT(MAX((PH_ItemID=A125)*(PH_Date&lt;L125)*PH_Date))))</f>
        <v/>
      </c>
      <c r="P125" s="3" t="str">
        <f aca="false">IF(O125="","",AVERAGEIFS(PH_Price,PH_ItemID,A125,PH_Date,O125))</f>
        <v/>
      </c>
      <c r="Q125" s="6" t="str">
        <f aca="false">IF(OR(J125="",P125=""),"",J125/P125-1)</f>
        <v/>
      </c>
      <c r="R125" s="2" t="str">
        <f aca="false">IF(J125="","unpriced",IF(P125="","new",IF(Q125&gt;0.05,"▲ up",IF(Q125&lt;-0.05,"▼ down","► stable"))))</f>
        <v>new</v>
      </c>
      <c r="S125" s="2" t="s">
        <v>524</v>
      </c>
    </row>
    <row r="126" customFormat="false" ht="15" hidden="false" customHeight="false" outlineLevel="0" collapsed="false">
      <c r="A126" s="2" t="s">
        <v>525</v>
      </c>
      <c r="B126" s="2" t="s">
        <v>496</v>
      </c>
      <c r="C126" s="2" t="s">
        <v>526</v>
      </c>
      <c r="D126" s="2" t="s">
        <v>527</v>
      </c>
      <c r="E126" s="2" t="s">
        <v>303</v>
      </c>
      <c r="F126" s="2" t="s">
        <v>304</v>
      </c>
      <c r="G126" s="2"/>
      <c r="H126" s="2"/>
      <c r="I126" s="2" t="s">
        <v>25</v>
      </c>
      <c r="J126" s="3" t="n">
        <f aca="false">IF(L126="","",AVERAGEIFS(PH_Price,PH_ItemID,A126,PH_Date,L126))</f>
        <v>270</v>
      </c>
      <c r="K126" s="2" t="s">
        <v>26</v>
      </c>
      <c r="L126" s="4" t="n">
        <f aca="false">IF(COUNTIF(PH_ItemID,A126)=0,"",SUMPRODUCT(MAX((PH_ItemID=A126)*PH_Date)))</f>
        <v>46315</v>
      </c>
      <c r="M126" s="5" t="n">
        <f aca="true">IF(ISNUMBER(L126),TODAY()-L126,"")</f>
        <v>6</v>
      </c>
      <c r="N126" s="2" t="s">
        <v>27</v>
      </c>
      <c r="O126" s="4" t="str">
        <f aca="false">IF(L126="","",IF(SUMPRODUCT(MAX((PH_ItemID=A126)*(PH_Date&lt;L126)*PH_Date))=0,"",SUMPRODUCT(MAX((PH_ItemID=A126)*(PH_Date&lt;L126)*PH_Date))))</f>
        <v/>
      </c>
      <c r="P126" s="3" t="str">
        <f aca="false">IF(O126="","",AVERAGEIFS(PH_Price,PH_ItemID,A126,PH_Date,O126))</f>
        <v/>
      </c>
      <c r="Q126" s="6" t="str">
        <f aca="false">IF(OR(J126="",P126=""),"",J126/P126-1)</f>
        <v/>
      </c>
      <c r="R126" s="2" t="str">
        <f aca="false">IF(J126="","unpriced",IF(P126="","new",IF(Q126&gt;0.05,"▲ up",IF(Q126&lt;-0.05,"▼ down","► stable"))))</f>
        <v>new</v>
      </c>
      <c r="S126" s="2"/>
    </row>
    <row r="127" customFormat="false" ht="15" hidden="false" customHeight="false" outlineLevel="0" collapsed="false">
      <c r="A127" s="2" t="s">
        <v>528</v>
      </c>
      <c r="B127" s="2" t="s">
        <v>496</v>
      </c>
      <c r="C127" s="2" t="s">
        <v>529</v>
      </c>
      <c r="D127" s="2" t="s">
        <v>530</v>
      </c>
      <c r="E127" s="2" t="s">
        <v>303</v>
      </c>
      <c r="F127" s="2" t="s">
        <v>304</v>
      </c>
      <c r="G127" s="2"/>
      <c r="H127" s="2"/>
      <c r="I127" s="2" t="s">
        <v>25</v>
      </c>
      <c r="J127" s="3" t="n">
        <f aca="false">IF(L127="","",AVERAGEIFS(PH_Price,PH_ItemID,A127,PH_Date,L127))</f>
        <v>280.72</v>
      </c>
      <c r="K127" s="2" t="s">
        <v>531</v>
      </c>
      <c r="L127" s="4" t="n">
        <f aca="false">IF(COUNTIF(PH_ItemID,A127)=0,"",SUMPRODUCT(MAX((PH_ItemID=A127)*PH_Date)))</f>
        <v>46315</v>
      </c>
      <c r="M127" s="5" t="n">
        <f aca="true">IF(ISNUMBER(L127),TODAY()-L127,"")</f>
        <v>6</v>
      </c>
      <c r="N127" s="2" t="s">
        <v>27</v>
      </c>
      <c r="O127" s="4" t="str">
        <f aca="false">IF(L127="","",IF(SUMPRODUCT(MAX((PH_ItemID=A127)*(PH_Date&lt;L127)*PH_Date))=0,"",SUMPRODUCT(MAX((PH_ItemID=A127)*(PH_Date&lt;L127)*PH_Date))))</f>
        <v/>
      </c>
      <c r="P127" s="3" t="str">
        <f aca="false">IF(O127="","",AVERAGEIFS(PH_Price,PH_ItemID,A127,PH_Date,O127))</f>
        <v/>
      </c>
      <c r="Q127" s="6" t="str">
        <f aca="false">IF(OR(J127="",P127=""),"",J127/P127-1)</f>
        <v/>
      </c>
      <c r="R127" s="2" t="str">
        <f aca="false">IF(J127="","unpriced",IF(P127="","new",IF(Q127&gt;0.05,"▲ up",IF(Q127&lt;-0.05,"▼ down","► stable"))))</f>
        <v>new</v>
      </c>
      <c r="S127" s="2" t="s">
        <v>532</v>
      </c>
    </row>
    <row r="128" customFormat="false" ht="15" hidden="false" customHeight="false" outlineLevel="0" collapsed="false">
      <c r="A128" s="2" t="s">
        <v>533</v>
      </c>
      <c r="B128" s="2" t="s">
        <v>496</v>
      </c>
      <c r="C128" s="2" t="s">
        <v>534</v>
      </c>
      <c r="D128" s="2" t="s">
        <v>535</v>
      </c>
      <c r="E128" s="2" t="s">
        <v>536</v>
      </c>
      <c r="F128" s="2" t="s">
        <v>537</v>
      </c>
      <c r="G128" s="2"/>
      <c r="H128" s="2"/>
      <c r="I128" s="2" t="s">
        <v>25</v>
      </c>
      <c r="J128" s="3" t="n">
        <f aca="false">IF(L128="","",AVERAGEIFS(PH_Price,PH_ItemID,A128,PH_Date,L128))</f>
        <v>1212</v>
      </c>
      <c r="K128" s="2" t="s">
        <v>26</v>
      </c>
      <c r="L128" s="4" t="n">
        <f aca="false">IF(COUNTIF(PH_ItemID,A128)=0,"",SUMPRODUCT(MAX((PH_ItemID=A128)*PH_Date)))</f>
        <v>46315</v>
      </c>
      <c r="M128" s="5" t="n">
        <f aca="true">IF(ISNUMBER(L128),TODAY()-L128,"")</f>
        <v>6</v>
      </c>
      <c r="N128" s="2" t="s">
        <v>27</v>
      </c>
      <c r="O128" s="4" t="str">
        <f aca="false">IF(L128="","",IF(SUMPRODUCT(MAX((PH_ItemID=A128)*(PH_Date&lt;L128)*PH_Date))=0,"",SUMPRODUCT(MAX((PH_ItemID=A128)*(PH_Date&lt;L128)*PH_Date))))</f>
        <v/>
      </c>
      <c r="P128" s="3" t="str">
        <f aca="false">IF(O128="","",AVERAGEIFS(PH_Price,PH_ItemID,A128,PH_Date,O128))</f>
        <v/>
      </c>
      <c r="Q128" s="6" t="str">
        <f aca="false">IF(OR(J128="",P128=""),"",J128/P128-1)</f>
        <v/>
      </c>
      <c r="R128" s="2" t="str">
        <f aca="false">IF(J128="","unpriced",IF(P128="","new",IF(Q128&gt;0.05,"▲ up",IF(Q128&lt;-0.05,"▼ down","► stable"))))</f>
        <v>new</v>
      </c>
      <c r="S128" s="2" t="s">
        <v>378</v>
      </c>
    </row>
    <row r="129" customFormat="false" ht="15" hidden="false" customHeight="false" outlineLevel="0" collapsed="false">
      <c r="A129" s="2" t="s">
        <v>538</v>
      </c>
      <c r="B129" s="2" t="s">
        <v>496</v>
      </c>
      <c r="C129" s="2" t="s">
        <v>539</v>
      </c>
      <c r="D129" s="2" t="s">
        <v>540</v>
      </c>
      <c r="E129" s="2" t="s">
        <v>541</v>
      </c>
      <c r="F129" s="2" t="s">
        <v>299</v>
      </c>
      <c r="G129" s="2" t="s">
        <v>278</v>
      </c>
      <c r="H129" s="2" t="s">
        <v>542</v>
      </c>
      <c r="I129" s="2" t="s">
        <v>288</v>
      </c>
      <c r="J129" s="3" t="n">
        <f aca="false">IF(L129="","",AVERAGEIFS(PH_Price,PH_ItemID,A129,PH_Date,L129))</f>
        <v>144</v>
      </c>
      <c r="K129" s="2" t="s">
        <v>26</v>
      </c>
      <c r="L129" s="4" t="n">
        <f aca="false">IF(COUNTIF(PH_ItemID,A129)=0,"",SUMPRODUCT(MAX((PH_ItemID=A129)*PH_Date)))</f>
        <v>46315</v>
      </c>
      <c r="M129" s="5" t="n">
        <f aca="true">IF(ISNUMBER(L129),TODAY()-L129,"")</f>
        <v>6</v>
      </c>
      <c r="N129" s="2" t="s">
        <v>27</v>
      </c>
      <c r="O129" s="4" t="str">
        <f aca="false">IF(L129="","",IF(SUMPRODUCT(MAX((PH_ItemID=A129)*(PH_Date&lt;L129)*PH_Date))=0,"",SUMPRODUCT(MAX((PH_ItemID=A129)*(PH_Date&lt;L129)*PH_Date))))</f>
        <v/>
      </c>
      <c r="P129" s="3" t="str">
        <f aca="false">IF(O129="","",AVERAGEIFS(PH_Price,PH_ItemID,A129,PH_Date,O129))</f>
        <v/>
      </c>
      <c r="Q129" s="6" t="str">
        <f aca="false">IF(OR(J129="",P129=""),"",J129/P129-1)</f>
        <v/>
      </c>
      <c r="R129" s="2" t="str">
        <f aca="false">IF(J129="","unpriced",IF(P129="","new",IF(Q129&gt;0.05,"▲ up",IF(Q129&lt;-0.05,"▼ down","► stable"))))</f>
        <v>new</v>
      </c>
      <c r="S129" s="2" t="s">
        <v>543</v>
      </c>
    </row>
    <row r="130" customFormat="false" ht="15" hidden="false" customHeight="false" outlineLevel="0" collapsed="false">
      <c r="A130" s="2" t="s">
        <v>544</v>
      </c>
      <c r="B130" s="2" t="s">
        <v>496</v>
      </c>
      <c r="C130" s="2" t="s">
        <v>545</v>
      </c>
      <c r="D130" s="2" t="s">
        <v>546</v>
      </c>
      <c r="E130" s="2" t="s">
        <v>547</v>
      </c>
      <c r="F130" s="2" t="s">
        <v>119</v>
      </c>
      <c r="G130" s="2"/>
      <c r="H130" s="2"/>
      <c r="I130" s="2" t="s">
        <v>25</v>
      </c>
      <c r="J130" s="3" t="n">
        <f aca="false">IF(L130="","",AVERAGEIFS(PH_Price,PH_ItemID,A130,PH_Date,L130))</f>
        <v>88</v>
      </c>
      <c r="K130" s="2" t="s">
        <v>26</v>
      </c>
      <c r="L130" s="4" t="n">
        <f aca="false">IF(COUNTIF(PH_ItemID,A130)=0,"",SUMPRODUCT(MAX((PH_ItemID=A130)*PH_Date)))</f>
        <v>46315</v>
      </c>
      <c r="M130" s="5" t="n">
        <f aca="true">IF(ISNUMBER(L130),TODAY()-L130,"")</f>
        <v>6</v>
      </c>
      <c r="N130" s="2" t="s">
        <v>27</v>
      </c>
      <c r="O130" s="4" t="str">
        <f aca="false">IF(L130="","",IF(SUMPRODUCT(MAX((PH_ItemID=A130)*(PH_Date&lt;L130)*PH_Date))=0,"",SUMPRODUCT(MAX((PH_ItemID=A130)*(PH_Date&lt;L130)*PH_Date))))</f>
        <v/>
      </c>
      <c r="P130" s="3" t="str">
        <f aca="false">IF(O130="","",AVERAGEIFS(PH_Price,PH_ItemID,A130,PH_Date,O130))</f>
        <v/>
      </c>
      <c r="Q130" s="6" t="str">
        <f aca="false">IF(OR(J130="",P130=""),"",J130/P130-1)</f>
        <v/>
      </c>
      <c r="R130" s="2" t="str">
        <f aca="false">IF(J130="","unpriced",IF(P130="","new",IF(Q130&gt;0.05,"▲ up",IF(Q130&lt;-0.05,"▼ down","► stable"))))</f>
        <v>new</v>
      </c>
      <c r="S130" s="2"/>
    </row>
    <row r="131" customFormat="false" ht="15" hidden="false" customHeight="false" outlineLevel="0" collapsed="false">
      <c r="A131" s="2" t="s">
        <v>548</v>
      </c>
      <c r="B131" s="2" t="s">
        <v>496</v>
      </c>
      <c r="C131" s="2" t="s">
        <v>549</v>
      </c>
      <c r="D131" s="2" t="s">
        <v>550</v>
      </c>
      <c r="E131" s="2" t="s">
        <v>523</v>
      </c>
      <c r="F131" s="2" t="s">
        <v>119</v>
      </c>
      <c r="G131" s="2"/>
      <c r="H131" s="2"/>
      <c r="I131" s="2" t="s">
        <v>25</v>
      </c>
      <c r="J131" s="3" t="n">
        <f aca="false">IF(L131="","",AVERAGEIFS(PH_Price,PH_ItemID,A131,PH_Date,L131))</f>
        <v>163</v>
      </c>
      <c r="K131" s="2" t="s">
        <v>26</v>
      </c>
      <c r="L131" s="4" t="n">
        <f aca="false">IF(COUNTIF(PH_ItemID,A131)=0,"",SUMPRODUCT(MAX((PH_ItemID=A131)*PH_Date)))</f>
        <v>46315</v>
      </c>
      <c r="M131" s="5" t="n">
        <f aca="true">IF(ISNUMBER(L131),TODAY()-L131,"")</f>
        <v>6</v>
      </c>
      <c r="N131" s="2" t="s">
        <v>27</v>
      </c>
      <c r="O131" s="4" t="str">
        <f aca="false">IF(L131="","",IF(SUMPRODUCT(MAX((PH_ItemID=A131)*(PH_Date&lt;L131)*PH_Date))=0,"",SUMPRODUCT(MAX((PH_ItemID=A131)*(PH_Date&lt;L131)*PH_Date))))</f>
        <v/>
      </c>
      <c r="P131" s="3" t="str">
        <f aca="false">IF(O131="","",AVERAGEIFS(PH_Price,PH_ItemID,A131,PH_Date,O131))</f>
        <v/>
      </c>
      <c r="Q131" s="6" t="str">
        <f aca="false">IF(OR(J131="",P131=""),"",J131/P131-1)</f>
        <v/>
      </c>
      <c r="R131" s="2" t="str">
        <f aca="false">IF(J131="","unpriced",IF(P131="","new",IF(Q131&gt;0.05,"▲ up",IF(Q131&lt;-0.05,"▼ down","► stable"))))</f>
        <v>new</v>
      </c>
      <c r="S131" s="2"/>
    </row>
    <row r="132" customFormat="false" ht="15" hidden="false" customHeight="false" outlineLevel="0" collapsed="false">
      <c r="A132" s="2" t="s">
        <v>551</v>
      </c>
      <c r="B132" s="2" t="s">
        <v>496</v>
      </c>
      <c r="C132" s="2" t="s">
        <v>552</v>
      </c>
      <c r="D132" s="2" t="s">
        <v>553</v>
      </c>
      <c r="E132" s="2" t="s">
        <v>554</v>
      </c>
      <c r="F132" s="2" t="s">
        <v>119</v>
      </c>
      <c r="G132" s="2"/>
      <c r="H132" s="2"/>
      <c r="I132" s="2" t="s">
        <v>25</v>
      </c>
      <c r="J132" s="3" t="n">
        <f aca="false">IF(L132="","",AVERAGEIFS(PH_Price,PH_ItemID,A132,PH_Date,L132))</f>
        <v>320</v>
      </c>
      <c r="K132" s="2" t="s">
        <v>26</v>
      </c>
      <c r="L132" s="4" t="n">
        <f aca="false">IF(COUNTIF(PH_ItemID,A132)=0,"",SUMPRODUCT(MAX((PH_ItemID=A132)*PH_Date)))</f>
        <v>46315</v>
      </c>
      <c r="M132" s="5" t="n">
        <f aca="true">IF(ISNUMBER(L132),TODAY()-L132,"")</f>
        <v>6</v>
      </c>
      <c r="N132" s="2" t="s">
        <v>27</v>
      </c>
      <c r="O132" s="4" t="str">
        <f aca="false">IF(L132="","",IF(SUMPRODUCT(MAX((PH_ItemID=A132)*(PH_Date&lt;L132)*PH_Date))=0,"",SUMPRODUCT(MAX((PH_ItemID=A132)*(PH_Date&lt;L132)*PH_Date))))</f>
        <v/>
      </c>
      <c r="P132" s="3" t="str">
        <f aca="false">IF(O132="","",AVERAGEIFS(PH_Price,PH_ItemID,A132,PH_Date,O132))</f>
        <v/>
      </c>
      <c r="Q132" s="6" t="str">
        <f aca="false">IF(OR(J132="",P132=""),"",J132/P132-1)</f>
        <v/>
      </c>
      <c r="R132" s="2" t="str">
        <f aca="false">IF(J132="","unpriced",IF(P132="","new",IF(Q132&gt;0.05,"▲ up",IF(Q132&lt;-0.05,"▼ down","► stable"))))</f>
        <v>new</v>
      </c>
      <c r="S132" s="2"/>
    </row>
    <row r="133" customFormat="false" ht="15" hidden="false" customHeight="false" outlineLevel="0" collapsed="false">
      <c r="A133" s="2" t="s">
        <v>555</v>
      </c>
      <c r="B133" s="2" t="s">
        <v>496</v>
      </c>
      <c r="C133" s="2" t="s">
        <v>556</v>
      </c>
      <c r="D133" s="2" t="s">
        <v>557</v>
      </c>
      <c r="E133" s="2" t="s">
        <v>554</v>
      </c>
      <c r="F133" s="2" t="s">
        <v>119</v>
      </c>
      <c r="G133" s="2"/>
      <c r="H133" s="2"/>
      <c r="I133" s="2" t="s">
        <v>25</v>
      </c>
      <c r="J133" s="3" t="n">
        <f aca="false">IF(L133="","",AVERAGEIFS(PH_Price,PH_ItemID,A133,PH_Date,L133))</f>
        <v>358</v>
      </c>
      <c r="K133" s="2" t="s">
        <v>26</v>
      </c>
      <c r="L133" s="4" t="n">
        <f aca="false">IF(COUNTIF(PH_ItemID,A133)=0,"",SUMPRODUCT(MAX((PH_ItemID=A133)*PH_Date)))</f>
        <v>46315</v>
      </c>
      <c r="M133" s="5" t="n">
        <f aca="true">IF(ISNUMBER(L133),TODAY()-L133,"")</f>
        <v>6</v>
      </c>
      <c r="N133" s="2" t="s">
        <v>27</v>
      </c>
      <c r="O133" s="4" t="str">
        <f aca="false">IF(L133="","",IF(SUMPRODUCT(MAX((PH_ItemID=A133)*(PH_Date&lt;L133)*PH_Date))=0,"",SUMPRODUCT(MAX((PH_ItemID=A133)*(PH_Date&lt;L133)*PH_Date))))</f>
        <v/>
      </c>
      <c r="P133" s="3" t="str">
        <f aca="false">IF(O133="","",AVERAGEIFS(PH_Price,PH_ItemID,A133,PH_Date,O133))</f>
        <v/>
      </c>
      <c r="Q133" s="6" t="str">
        <f aca="false">IF(OR(J133="",P133=""),"",J133/P133-1)</f>
        <v/>
      </c>
      <c r="R133" s="2" t="str">
        <f aca="false">IF(J133="","unpriced",IF(P133="","new",IF(Q133&gt;0.05,"▲ up",IF(Q133&lt;-0.05,"▼ down","► stable"))))</f>
        <v>new</v>
      </c>
      <c r="S133" s="2"/>
    </row>
    <row r="134" customFormat="false" ht="15" hidden="false" customHeight="false" outlineLevel="0" collapsed="false">
      <c r="A134" s="2" t="s">
        <v>558</v>
      </c>
      <c r="B134" s="2" t="s">
        <v>496</v>
      </c>
      <c r="C134" s="2" t="s">
        <v>559</v>
      </c>
      <c r="D134" s="2" t="s">
        <v>560</v>
      </c>
      <c r="E134" s="2" t="s">
        <v>554</v>
      </c>
      <c r="F134" s="2" t="s">
        <v>119</v>
      </c>
      <c r="G134" s="2"/>
      <c r="H134" s="2"/>
      <c r="I134" s="2" t="s">
        <v>25</v>
      </c>
      <c r="J134" s="3" t="n">
        <f aca="false">IF(L134="","",AVERAGEIFS(PH_Price,PH_ItemID,A134,PH_Date,L134))</f>
        <v>1105</v>
      </c>
      <c r="K134" s="2" t="s">
        <v>26</v>
      </c>
      <c r="L134" s="4" t="n">
        <f aca="false">IF(COUNTIF(PH_ItemID,A134)=0,"",SUMPRODUCT(MAX((PH_ItemID=A134)*PH_Date)))</f>
        <v>46315</v>
      </c>
      <c r="M134" s="5" t="n">
        <f aca="true">IF(ISNUMBER(L134),TODAY()-L134,"")</f>
        <v>6</v>
      </c>
      <c r="N134" s="2" t="s">
        <v>27</v>
      </c>
      <c r="O134" s="4" t="str">
        <f aca="false">IF(L134="","",IF(SUMPRODUCT(MAX((PH_ItemID=A134)*(PH_Date&lt;L134)*PH_Date))=0,"",SUMPRODUCT(MAX((PH_ItemID=A134)*(PH_Date&lt;L134)*PH_Date))))</f>
        <v/>
      </c>
      <c r="P134" s="3" t="str">
        <f aca="false">IF(O134="","",AVERAGEIFS(PH_Price,PH_ItemID,A134,PH_Date,O134))</f>
        <v/>
      </c>
      <c r="Q134" s="6" t="str">
        <f aca="false">IF(OR(J134="",P134=""),"",J134/P134-1)</f>
        <v/>
      </c>
      <c r="R134" s="2" t="str">
        <f aca="false">IF(J134="","unpriced",IF(P134="","new",IF(Q134&gt;0.05,"▲ up",IF(Q134&lt;-0.05,"▼ down","► stable"))))</f>
        <v>new</v>
      </c>
      <c r="S134" s="2" t="s">
        <v>561</v>
      </c>
    </row>
    <row r="135" customFormat="false" ht="15" hidden="false" customHeight="false" outlineLevel="0" collapsed="false">
      <c r="A135" s="2" t="s">
        <v>562</v>
      </c>
      <c r="B135" s="2" t="s">
        <v>496</v>
      </c>
      <c r="C135" s="2" t="s">
        <v>563</v>
      </c>
      <c r="D135" s="2" t="s">
        <v>564</v>
      </c>
      <c r="E135" s="2" t="s">
        <v>565</v>
      </c>
      <c r="F135" s="2" t="s">
        <v>119</v>
      </c>
      <c r="G135" s="2" t="s">
        <v>566</v>
      </c>
      <c r="H135" s="2"/>
      <c r="I135" s="2" t="s">
        <v>95</v>
      </c>
      <c r="J135" s="3" t="n">
        <f aca="false">IF(L135="","",AVERAGEIFS(PH_Price,PH_ItemID,A135,PH_Date,L135))</f>
        <v>281.42</v>
      </c>
      <c r="K135" s="2" t="s">
        <v>26</v>
      </c>
      <c r="L135" s="4" t="n">
        <f aca="false">IF(COUNTIF(PH_ItemID,A135)=0,"",SUMPRODUCT(MAX((PH_ItemID=A135)*PH_Date)))</f>
        <v>46315</v>
      </c>
      <c r="M135" s="5" t="n">
        <f aca="true">IF(ISNUMBER(L135),TODAY()-L135,"")</f>
        <v>6</v>
      </c>
      <c r="N135" s="2" t="s">
        <v>567</v>
      </c>
      <c r="O135" s="4" t="str">
        <f aca="false">IF(L135="","",IF(SUMPRODUCT(MAX((PH_ItemID=A135)*(PH_Date&lt;L135)*PH_Date))=0,"",SUMPRODUCT(MAX((PH_ItemID=A135)*(PH_Date&lt;L135)*PH_Date))))</f>
        <v/>
      </c>
      <c r="P135" s="3" t="str">
        <f aca="false">IF(O135="","",AVERAGEIFS(PH_Price,PH_ItemID,A135,PH_Date,O135))</f>
        <v/>
      </c>
      <c r="Q135" s="6" t="str">
        <f aca="false">IF(OR(J135="",P135=""),"",J135/P135-1)</f>
        <v/>
      </c>
      <c r="R135" s="2" t="str">
        <f aca="false">IF(J135="","unpriced",IF(P135="","new",IF(Q135&gt;0.05,"▲ up",IF(Q135&lt;-0.05,"▼ down","► stable"))))</f>
        <v>new</v>
      </c>
      <c r="S135" s="2" t="s">
        <v>568</v>
      </c>
    </row>
    <row r="136" customFormat="false" ht="15" hidden="false" customHeight="false" outlineLevel="0" collapsed="false">
      <c r="A136" s="2" t="s">
        <v>569</v>
      </c>
      <c r="B136" s="2" t="s">
        <v>496</v>
      </c>
      <c r="C136" s="2" t="s">
        <v>570</v>
      </c>
      <c r="D136" s="2" t="s">
        <v>571</v>
      </c>
      <c r="E136" s="2" t="s">
        <v>572</v>
      </c>
      <c r="F136" s="2" t="s">
        <v>573</v>
      </c>
      <c r="G136" s="2"/>
      <c r="H136" s="2"/>
      <c r="I136" s="2" t="s">
        <v>25</v>
      </c>
      <c r="J136" s="3" t="n">
        <f aca="false">IF(L136="","",AVERAGEIFS(PH_Price,PH_ItemID,A136,PH_Date,L136))</f>
        <v>1914</v>
      </c>
      <c r="K136" s="2" t="s">
        <v>26</v>
      </c>
      <c r="L136" s="4" t="n">
        <f aca="false">IF(COUNTIF(PH_ItemID,A136)=0,"",SUMPRODUCT(MAX((PH_ItemID=A136)*PH_Date)))</f>
        <v>46315</v>
      </c>
      <c r="M136" s="5" t="n">
        <f aca="true">IF(ISNUMBER(L136),TODAY()-L136,"")</f>
        <v>6</v>
      </c>
      <c r="N136" s="2" t="s">
        <v>567</v>
      </c>
      <c r="O136" s="4" t="str">
        <f aca="false">IF(L136="","",IF(SUMPRODUCT(MAX((PH_ItemID=A136)*(PH_Date&lt;L136)*PH_Date))=0,"",SUMPRODUCT(MAX((PH_ItemID=A136)*(PH_Date&lt;L136)*PH_Date))))</f>
        <v/>
      </c>
      <c r="P136" s="3" t="str">
        <f aca="false">IF(O136="","",AVERAGEIFS(PH_Price,PH_ItemID,A136,PH_Date,O136))</f>
        <v/>
      </c>
      <c r="Q136" s="6" t="str">
        <f aca="false">IF(OR(J136="",P136=""),"",J136/P136-1)</f>
        <v/>
      </c>
      <c r="R136" s="2" t="str">
        <f aca="false">IF(J136="","unpriced",IF(P136="","new",IF(Q136&gt;0.05,"▲ up",IF(Q136&lt;-0.05,"▼ down","► stable"))))</f>
        <v>new</v>
      </c>
      <c r="S136" s="2" t="s">
        <v>568</v>
      </c>
    </row>
    <row r="137" customFormat="false" ht="15" hidden="false" customHeight="false" outlineLevel="0" collapsed="false">
      <c r="A137" s="2" t="s">
        <v>574</v>
      </c>
      <c r="B137" s="2" t="s">
        <v>496</v>
      </c>
      <c r="C137" s="2" t="s">
        <v>575</v>
      </c>
      <c r="D137" s="2" t="s">
        <v>576</v>
      </c>
      <c r="E137" s="2" t="s">
        <v>577</v>
      </c>
      <c r="F137" s="2" t="s">
        <v>578</v>
      </c>
      <c r="G137" s="2"/>
      <c r="H137" s="2"/>
      <c r="I137" s="2" t="s">
        <v>25</v>
      </c>
      <c r="J137" s="3" t="n">
        <f aca="false">IF(L137="","",AVERAGEIFS(PH_Price,PH_ItemID,A137,PH_Date,L137))</f>
        <v>2100</v>
      </c>
      <c r="K137" s="2" t="s">
        <v>26</v>
      </c>
      <c r="L137" s="4" t="n">
        <f aca="false">IF(COUNTIF(PH_ItemID,A137)=0,"",SUMPRODUCT(MAX((PH_ItemID=A137)*PH_Date)))</f>
        <v>46315</v>
      </c>
      <c r="M137" s="5" t="n">
        <f aca="true">IF(ISNUMBER(L137),TODAY()-L137,"")</f>
        <v>6</v>
      </c>
      <c r="N137" s="2" t="s">
        <v>567</v>
      </c>
      <c r="O137" s="4" t="str">
        <f aca="false">IF(L137="","",IF(SUMPRODUCT(MAX((PH_ItemID=A137)*(PH_Date&lt;L137)*PH_Date))=0,"",SUMPRODUCT(MAX((PH_ItemID=A137)*(PH_Date&lt;L137)*PH_Date))))</f>
        <v/>
      </c>
      <c r="P137" s="3" t="str">
        <f aca="false">IF(O137="","",AVERAGEIFS(PH_Price,PH_ItemID,A137,PH_Date,O137))</f>
        <v/>
      </c>
      <c r="Q137" s="6" t="str">
        <f aca="false">IF(OR(J137="",P137=""),"",J137/P137-1)</f>
        <v/>
      </c>
      <c r="R137" s="2" t="str">
        <f aca="false">IF(J137="","unpriced",IF(P137="","new",IF(Q137&gt;0.05,"▲ up",IF(Q137&lt;-0.05,"▼ down","► stable"))))</f>
        <v>new</v>
      </c>
      <c r="S137" s="2" t="s">
        <v>579</v>
      </c>
    </row>
    <row r="138" customFormat="false" ht="15" hidden="false" customHeight="false" outlineLevel="0" collapsed="false">
      <c r="A138" s="2" t="s">
        <v>580</v>
      </c>
      <c r="B138" s="2" t="s">
        <v>496</v>
      </c>
      <c r="C138" s="2" t="s">
        <v>581</v>
      </c>
      <c r="D138" s="2" t="s">
        <v>576</v>
      </c>
      <c r="E138" s="2" t="s">
        <v>577</v>
      </c>
      <c r="F138" s="2" t="s">
        <v>578</v>
      </c>
      <c r="G138" s="2"/>
      <c r="H138" s="2"/>
      <c r="I138" s="2" t="s">
        <v>25</v>
      </c>
      <c r="J138" s="3" t="n">
        <f aca="false">IF(L138="","",AVERAGEIFS(PH_Price,PH_ItemID,A138,PH_Date,L138))</f>
        <v>2950</v>
      </c>
      <c r="K138" s="2" t="s">
        <v>26</v>
      </c>
      <c r="L138" s="4" t="n">
        <f aca="false">IF(COUNTIF(PH_ItemID,A138)=0,"",SUMPRODUCT(MAX((PH_ItemID=A138)*PH_Date)))</f>
        <v>46315</v>
      </c>
      <c r="M138" s="5" t="n">
        <f aca="true">IF(ISNUMBER(L138),TODAY()-L138,"")</f>
        <v>6</v>
      </c>
      <c r="N138" s="2" t="s">
        <v>567</v>
      </c>
      <c r="O138" s="4" t="str">
        <f aca="false">IF(L138="","",IF(SUMPRODUCT(MAX((PH_ItemID=A138)*(PH_Date&lt;L138)*PH_Date))=0,"",SUMPRODUCT(MAX((PH_ItemID=A138)*(PH_Date&lt;L138)*PH_Date))))</f>
        <v/>
      </c>
      <c r="P138" s="3" t="str">
        <f aca="false">IF(O138="","",AVERAGEIFS(PH_Price,PH_ItemID,A138,PH_Date,O138))</f>
        <v/>
      </c>
      <c r="Q138" s="6" t="str">
        <f aca="false">IF(OR(J138="",P138=""),"",J138/P138-1)</f>
        <v/>
      </c>
      <c r="R138" s="2" t="str">
        <f aca="false">IF(J138="","unpriced",IF(P138="","new",IF(Q138&gt;0.05,"▲ up",IF(Q138&lt;-0.05,"▼ down","► stable"))))</f>
        <v>new</v>
      </c>
      <c r="S138" s="2" t="s">
        <v>579</v>
      </c>
    </row>
    <row r="139" customFormat="false" ht="15" hidden="false" customHeight="false" outlineLevel="0" collapsed="false">
      <c r="A139" s="2" t="s">
        <v>582</v>
      </c>
      <c r="B139" s="2" t="s">
        <v>52</v>
      </c>
      <c r="C139" s="2" t="s">
        <v>583</v>
      </c>
      <c r="D139" s="2" t="s">
        <v>584</v>
      </c>
      <c r="E139" s="2" t="s">
        <v>585</v>
      </c>
      <c r="F139" s="2" t="s">
        <v>93</v>
      </c>
      <c r="G139" s="2" t="s">
        <v>586</v>
      </c>
      <c r="H139" s="2" t="s">
        <v>587</v>
      </c>
      <c r="I139" s="2" t="s">
        <v>288</v>
      </c>
      <c r="J139" s="3" t="n">
        <f aca="false">IF(L139="","",AVERAGEIFS(PH_Price,PH_ItemID,A139,PH_Date,L139))</f>
        <v>796.92</v>
      </c>
      <c r="K139" s="2" t="s">
        <v>96</v>
      </c>
      <c r="L139" s="4" t="n">
        <f aca="false">IF(COUNTIF(PH_ItemID,A139)=0,"",SUMPRODUCT(MAX((PH_ItemID=A139)*PH_Date)))</f>
        <v>46321</v>
      </c>
      <c r="M139" s="5" t="n">
        <f aca="true">IF(ISNUMBER(L139),TODAY()-L139,"")</f>
        <v>0</v>
      </c>
      <c r="N139" s="2" t="s">
        <v>27</v>
      </c>
      <c r="O139" s="4" t="n">
        <f aca="false">IF(L139="","",IF(SUMPRODUCT(MAX((PH_ItemID=A139)*(PH_Date&lt;L139)*PH_Date))=0,"",SUMPRODUCT(MAX((PH_ItemID=A139)*(PH_Date&lt;L139)*PH_Date))))</f>
        <v>46305</v>
      </c>
      <c r="P139" s="3" t="n">
        <f aca="false">IF(O139="","",AVERAGEIFS(PH_Price,PH_ItemID,A139,PH_Date,O139))</f>
        <v>520.26</v>
      </c>
      <c r="Q139" s="6" t="n">
        <f aca="false">IF(OR(J139="",P139=""),"",J139/P139-1)</f>
        <v>0.531772575250836</v>
      </c>
      <c r="R139" s="2" t="str">
        <f aca="false">IF(J139="","unpriced",IF(P139="","new",IF(Q139&gt;0.05,"▲ up",IF(Q139&lt;-0.05,"▼ down","► stable"))))</f>
        <v>▲ up</v>
      </c>
      <c r="S139" s="2" t="s">
        <v>588</v>
      </c>
    </row>
    <row r="140" customFormat="false" ht="15" hidden="false" customHeight="false" outlineLevel="0" collapsed="false">
      <c r="A140" s="2" t="s">
        <v>589</v>
      </c>
      <c r="B140" s="2" t="s">
        <v>590</v>
      </c>
      <c r="C140" s="2" t="s">
        <v>591</v>
      </c>
      <c r="D140" s="2" t="s">
        <v>592</v>
      </c>
      <c r="E140" s="2" t="s">
        <v>593</v>
      </c>
      <c r="F140" s="2" t="s">
        <v>594</v>
      </c>
      <c r="G140" s="2" t="s">
        <v>278</v>
      </c>
      <c r="H140" s="2" t="s">
        <v>595</v>
      </c>
      <c r="I140" s="2" t="s">
        <v>596</v>
      </c>
      <c r="J140" s="3" t="n">
        <f aca="false">IF(L140="","",AVERAGEIFS(PH_Price,PH_ItemID,A140,PH_Date,L140))</f>
        <v>51</v>
      </c>
      <c r="K140" s="2" t="s">
        <v>26</v>
      </c>
      <c r="L140" s="4" t="n">
        <f aca="false">IF(COUNTIF(PH_ItemID,A140)=0,"",SUMPRODUCT(MAX((PH_ItemID=A140)*PH_Date)))</f>
        <v>46316</v>
      </c>
      <c r="M140" s="5" t="n">
        <f aca="true">IF(ISNUMBER(L140),TODAY()-L140,"")</f>
        <v>5</v>
      </c>
      <c r="N140" s="2" t="s">
        <v>27</v>
      </c>
      <c r="O140" s="4" t="str">
        <f aca="false">IF(L140="","",IF(SUMPRODUCT(MAX((PH_ItemID=A140)*(PH_Date&lt;L140)*PH_Date))=0,"",SUMPRODUCT(MAX((PH_ItemID=A140)*(PH_Date&lt;L140)*PH_Date))))</f>
        <v/>
      </c>
      <c r="P140" s="3" t="str">
        <f aca="false">IF(O140="","",AVERAGEIFS(PH_Price,PH_ItemID,A140,PH_Date,O140))</f>
        <v/>
      </c>
      <c r="Q140" s="6" t="str">
        <f aca="false">IF(OR(J140="",P140=""),"",J140/P140-1)</f>
        <v/>
      </c>
      <c r="R140" s="2" t="str">
        <f aca="false">IF(J140="","unpriced",IF(P140="","new",IF(Q140&gt;0.05,"▲ up",IF(Q140&lt;-0.05,"▼ down","► stable"))))</f>
        <v>new</v>
      </c>
      <c r="S140" s="2" t="s">
        <v>597</v>
      </c>
    </row>
    <row r="141" customFormat="false" ht="15" hidden="false" customHeight="false" outlineLevel="0" collapsed="false">
      <c r="A141" s="2" t="s">
        <v>598</v>
      </c>
      <c r="B141" s="2" t="s">
        <v>590</v>
      </c>
      <c r="C141" s="2" t="s">
        <v>599</v>
      </c>
      <c r="D141" s="2" t="s">
        <v>600</v>
      </c>
      <c r="E141" s="2" t="s">
        <v>601</v>
      </c>
      <c r="F141" s="2" t="s">
        <v>602</v>
      </c>
      <c r="G141" s="2" t="s">
        <v>603</v>
      </c>
      <c r="H141" s="2" t="s">
        <v>604</v>
      </c>
      <c r="I141" s="2" t="s">
        <v>596</v>
      </c>
      <c r="J141" s="3" t="n">
        <f aca="false">IF(L141="","",AVERAGEIFS(PH_Price,PH_ItemID,A141,PH_Date,L141))</f>
        <v>107</v>
      </c>
      <c r="K141" s="2" t="s">
        <v>96</v>
      </c>
      <c r="L141" s="4" t="n">
        <f aca="false">IF(COUNTIF(PH_ItemID,A141)=0,"",SUMPRODUCT(MAX((PH_ItemID=A141)*PH_Date)))</f>
        <v>46316</v>
      </c>
      <c r="M141" s="5" t="n">
        <f aca="true">IF(ISNUMBER(L141),TODAY()-L141,"")</f>
        <v>5</v>
      </c>
      <c r="N141" s="2" t="s">
        <v>27</v>
      </c>
      <c r="O141" s="4" t="str">
        <f aca="false">IF(L141="","",IF(SUMPRODUCT(MAX((PH_ItemID=A141)*(PH_Date&lt;L141)*PH_Date))=0,"",SUMPRODUCT(MAX((PH_ItemID=A141)*(PH_Date&lt;L141)*PH_Date))))</f>
        <v/>
      </c>
      <c r="P141" s="3" t="str">
        <f aca="false">IF(O141="","",AVERAGEIFS(PH_Price,PH_ItemID,A141,PH_Date,O141))</f>
        <v/>
      </c>
      <c r="Q141" s="6" t="str">
        <f aca="false">IF(OR(J141="",P141=""),"",J141/P141-1)</f>
        <v/>
      </c>
      <c r="R141" s="2" t="str">
        <f aca="false">IF(J141="","unpriced",IF(P141="","new",IF(Q141&gt;0.05,"▲ up",IF(Q141&lt;-0.05,"▼ down","► stable"))))</f>
        <v>new</v>
      </c>
      <c r="S141" s="2"/>
    </row>
    <row r="142" customFormat="false" ht="15" hidden="false" customHeight="false" outlineLevel="0" collapsed="false">
      <c r="A142" s="2" t="s">
        <v>605</v>
      </c>
      <c r="B142" s="2" t="s">
        <v>590</v>
      </c>
      <c r="C142" s="2" t="s">
        <v>606</v>
      </c>
      <c r="D142" s="2" t="s">
        <v>607</v>
      </c>
      <c r="E142" s="2" t="s">
        <v>608</v>
      </c>
      <c r="F142" s="2" t="s">
        <v>594</v>
      </c>
      <c r="G142" s="2" t="s">
        <v>278</v>
      </c>
      <c r="H142" s="2" t="s">
        <v>595</v>
      </c>
      <c r="I142" s="2" t="s">
        <v>596</v>
      </c>
      <c r="J142" s="3" t="n">
        <f aca="false">IF(L142="","",AVERAGEIFS(PH_Price,PH_ItemID,A142,PH_Date,L142))</f>
        <v>78</v>
      </c>
      <c r="K142" s="2" t="s">
        <v>26</v>
      </c>
      <c r="L142" s="4" t="n">
        <f aca="false">IF(COUNTIF(PH_ItemID,A142)=0,"",SUMPRODUCT(MAX((PH_ItemID=A142)*PH_Date)))</f>
        <v>46316</v>
      </c>
      <c r="M142" s="5" t="n">
        <f aca="true">IF(ISNUMBER(L142),TODAY()-L142,"")</f>
        <v>5</v>
      </c>
      <c r="N142" s="2" t="s">
        <v>27</v>
      </c>
      <c r="O142" s="4" t="str">
        <f aca="false">IF(L142="","",IF(SUMPRODUCT(MAX((PH_ItemID=A142)*(PH_Date&lt;L142)*PH_Date))=0,"",SUMPRODUCT(MAX((PH_ItemID=A142)*(PH_Date&lt;L142)*PH_Date))))</f>
        <v/>
      </c>
      <c r="P142" s="3" t="str">
        <f aca="false">IF(O142="","",AVERAGEIFS(PH_Price,PH_ItemID,A142,PH_Date,O142))</f>
        <v/>
      </c>
      <c r="Q142" s="6" t="str">
        <f aca="false">IF(OR(J142="",P142=""),"",J142/P142-1)</f>
        <v/>
      </c>
      <c r="R142" s="2" t="str">
        <f aca="false">IF(J142="","unpriced",IF(P142="","new",IF(Q142&gt;0.05,"▲ up",IF(Q142&lt;-0.05,"▼ down","► stable"))))</f>
        <v>new</v>
      </c>
      <c r="S142" s="2" t="s">
        <v>609</v>
      </c>
    </row>
    <row r="143" customFormat="false" ht="15" hidden="false" customHeight="false" outlineLevel="0" collapsed="false">
      <c r="A143" s="2" t="s">
        <v>610</v>
      </c>
      <c r="B143" s="2" t="s">
        <v>590</v>
      </c>
      <c r="C143" s="2" t="s">
        <v>611</v>
      </c>
      <c r="D143" s="2" t="s">
        <v>612</v>
      </c>
      <c r="E143" s="2" t="s">
        <v>613</v>
      </c>
      <c r="F143" s="2" t="s">
        <v>614</v>
      </c>
      <c r="G143" s="2" t="s">
        <v>615</v>
      </c>
      <c r="H143" s="2" t="s">
        <v>616</v>
      </c>
      <c r="I143" s="2" t="s">
        <v>596</v>
      </c>
      <c r="J143" s="3" t="n">
        <f aca="false">IF(L143="","",AVERAGEIFS(PH_Price,PH_ItemID,A143,PH_Date,L143))</f>
        <v>37</v>
      </c>
      <c r="K143" s="2" t="s">
        <v>96</v>
      </c>
      <c r="L143" s="4" t="n">
        <f aca="false">IF(COUNTIF(PH_ItemID,A143)=0,"",SUMPRODUCT(MAX((PH_ItemID=A143)*PH_Date)))</f>
        <v>46316</v>
      </c>
      <c r="M143" s="5" t="n">
        <f aca="true">IF(ISNUMBER(L143),TODAY()-L143,"")</f>
        <v>5</v>
      </c>
      <c r="N143" s="2" t="s">
        <v>27</v>
      </c>
      <c r="O143" s="4" t="str">
        <f aca="false">IF(L143="","",IF(SUMPRODUCT(MAX((PH_ItemID=A143)*(PH_Date&lt;L143)*PH_Date))=0,"",SUMPRODUCT(MAX((PH_ItemID=A143)*(PH_Date&lt;L143)*PH_Date))))</f>
        <v/>
      </c>
      <c r="P143" s="3" t="str">
        <f aca="false">IF(O143="","",AVERAGEIFS(PH_Price,PH_ItemID,A143,PH_Date,O143))</f>
        <v/>
      </c>
      <c r="Q143" s="6" t="str">
        <f aca="false">IF(OR(J143="",P143=""),"",J143/P143-1)</f>
        <v/>
      </c>
      <c r="R143" s="2" t="str">
        <f aca="false">IF(J143="","unpriced",IF(P143="","new",IF(Q143&gt;0.05,"▲ up",IF(Q143&lt;-0.05,"▼ down","► stable"))))</f>
        <v>new</v>
      </c>
      <c r="S143" s="2"/>
    </row>
    <row r="144" customFormat="false" ht="15" hidden="false" customHeight="false" outlineLevel="0" collapsed="false">
      <c r="A144" s="2" t="s">
        <v>617</v>
      </c>
      <c r="B144" s="2" t="s">
        <v>618</v>
      </c>
      <c r="C144" s="2" t="s">
        <v>619</v>
      </c>
      <c r="D144" s="2" t="s">
        <v>620</v>
      </c>
      <c r="E144" s="2" t="s">
        <v>621</v>
      </c>
      <c r="F144" s="2" t="s">
        <v>622</v>
      </c>
      <c r="G144" s="2" t="s">
        <v>623</v>
      </c>
      <c r="H144" s="2" t="s">
        <v>624</v>
      </c>
      <c r="I144" s="2" t="s">
        <v>596</v>
      </c>
      <c r="J144" s="3" t="n">
        <f aca="false">IF(L144="","",AVERAGEIFS(PH_Price,PH_ItemID,A144,PH_Date,L144))</f>
        <v>137</v>
      </c>
      <c r="K144" s="2" t="s">
        <v>96</v>
      </c>
      <c r="L144" s="4" t="n">
        <f aca="false">IF(COUNTIF(PH_ItemID,A144)=0,"",SUMPRODUCT(MAX((PH_ItemID=A144)*PH_Date)))</f>
        <v>46316</v>
      </c>
      <c r="M144" s="5" t="n">
        <f aca="true">IF(ISNUMBER(L144),TODAY()-L144,"")</f>
        <v>5</v>
      </c>
      <c r="N144" s="2" t="s">
        <v>27</v>
      </c>
      <c r="O144" s="4" t="str">
        <f aca="false">IF(L144="","",IF(SUMPRODUCT(MAX((PH_ItemID=A144)*(PH_Date&lt;L144)*PH_Date))=0,"",SUMPRODUCT(MAX((PH_ItemID=A144)*(PH_Date&lt;L144)*PH_Date))))</f>
        <v/>
      </c>
      <c r="P144" s="3" t="str">
        <f aca="false">IF(O144="","",AVERAGEIFS(PH_Price,PH_ItemID,A144,PH_Date,O144))</f>
        <v/>
      </c>
      <c r="Q144" s="6" t="str">
        <f aca="false">IF(OR(J144="",P144=""),"",J144/P144-1)</f>
        <v/>
      </c>
      <c r="R144" s="2" t="str">
        <f aca="false">IF(J144="","unpriced",IF(P144="","new",IF(Q144&gt;0.05,"▲ up",IF(Q144&lt;-0.05,"▼ down","► stable"))))</f>
        <v>new</v>
      </c>
      <c r="S144" s="2"/>
    </row>
    <row r="145" customFormat="false" ht="15" hidden="false" customHeight="false" outlineLevel="0" collapsed="false">
      <c r="A145" s="2" t="s">
        <v>625</v>
      </c>
      <c r="B145" s="2" t="s">
        <v>618</v>
      </c>
      <c r="C145" s="2" t="s">
        <v>626</v>
      </c>
      <c r="D145" s="2" t="s">
        <v>620</v>
      </c>
      <c r="E145" s="2" t="s">
        <v>627</v>
      </c>
      <c r="F145" s="2" t="s">
        <v>622</v>
      </c>
      <c r="G145" s="2" t="s">
        <v>615</v>
      </c>
      <c r="H145" s="2" t="s">
        <v>628</v>
      </c>
      <c r="I145" s="2" t="s">
        <v>596</v>
      </c>
      <c r="J145" s="3" t="n">
        <f aca="false">IF(L145="","",AVERAGEIFS(PH_Price,PH_ItemID,A145,PH_Date,L145))</f>
        <v>160</v>
      </c>
      <c r="K145" s="2" t="s">
        <v>26</v>
      </c>
      <c r="L145" s="4" t="n">
        <f aca="false">IF(COUNTIF(PH_ItemID,A145)=0,"",SUMPRODUCT(MAX((PH_ItemID=A145)*PH_Date)))</f>
        <v>46316</v>
      </c>
      <c r="M145" s="5" t="n">
        <f aca="true">IF(ISNUMBER(L145),TODAY()-L145,"")</f>
        <v>5</v>
      </c>
      <c r="N145" s="2" t="s">
        <v>27</v>
      </c>
      <c r="O145" s="4" t="str">
        <f aca="false">IF(L145="","",IF(SUMPRODUCT(MAX((PH_ItemID=A145)*(PH_Date&lt;L145)*PH_Date))=0,"",SUMPRODUCT(MAX((PH_ItemID=A145)*(PH_Date&lt;L145)*PH_Date))))</f>
        <v/>
      </c>
      <c r="P145" s="3" t="str">
        <f aca="false">IF(O145="","",AVERAGEIFS(PH_Price,PH_ItemID,A145,PH_Date,O145))</f>
        <v/>
      </c>
      <c r="Q145" s="6" t="str">
        <f aca="false">IF(OR(J145="",P145=""),"",J145/P145-1)</f>
        <v/>
      </c>
      <c r="R145" s="2" t="str">
        <f aca="false">IF(J145="","unpriced",IF(P145="","new",IF(Q145&gt;0.05,"▲ up",IF(Q145&lt;-0.05,"▼ down","► stable"))))</f>
        <v>new</v>
      </c>
      <c r="S145" s="2"/>
    </row>
    <row r="146" customFormat="false" ht="15" hidden="false" customHeight="false" outlineLevel="0" collapsed="false">
      <c r="A146" s="2" t="s">
        <v>629</v>
      </c>
      <c r="B146" s="2" t="s">
        <v>618</v>
      </c>
      <c r="C146" s="2" t="s">
        <v>630</v>
      </c>
      <c r="D146" s="2" t="s">
        <v>620</v>
      </c>
      <c r="E146" s="2" t="s">
        <v>631</v>
      </c>
      <c r="F146" s="2" t="s">
        <v>622</v>
      </c>
      <c r="G146" s="2" t="s">
        <v>632</v>
      </c>
      <c r="H146" s="2" t="s">
        <v>633</v>
      </c>
      <c r="I146" s="2" t="s">
        <v>596</v>
      </c>
      <c r="J146" s="3" t="n">
        <f aca="false">IF(L146="","",AVERAGEIFS(PH_Price,PH_ItemID,A146,PH_Date,L146))</f>
        <v>225.27</v>
      </c>
      <c r="K146" s="2" t="s">
        <v>26</v>
      </c>
      <c r="L146" s="4" t="n">
        <f aca="false">IF(COUNTIF(PH_ItemID,A146)=0,"",SUMPRODUCT(MAX((PH_ItemID=A146)*PH_Date)))</f>
        <v>46316</v>
      </c>
      <c r="M146" s="5" t="n">
        <f aca="true">IF(ISNUMBER(L146),TODAY()-L146,"")</f>
        <v>5</v>
      </c>
      <c r="N146" s="2" t="s">
        <v>27</v>
      </c>
      <c r="O146" s="4" t="str">
        <f aca="false">IF(L146="","",IF(SUMPRODUCT(MAX((PH_ItemID=A146)*(PH_Date&lt;L146)*PH_Date))=0,"",SUMPRODUCT(MAX((PH_ItemID=A146)*(PH_Date&lt;L146)*PH_Date))))</f>
        <v/>
      </c>
      <c r="P146" s="3" t="str">
        <f aca="false">IF(O146="","",AVERAGEIFS(PH_Price,PH_ItemID,A146,PH_Date,O146))</f>
        <v/>
      </c>
      <c r="Q146" s="6" t="str">
        <f aca="false">IF(OR(J146="",P146=""),"",J146/P146-1)</f>
        <v/>
      </c>
      <c r="R146" s="2" t="str">
        <f aca="false">IF(J146="","unpriced",IF(P146="","new",IF(Q146&gt;0.05,"▲ up",IF(Q146&lt;-0.05,"▼ down","► stable"))))</f>
        <v>new</v>
      </c>
      <c r="S146" s="2"/>
    </row>
    <row r="147" customFormat="false" ht="15" hidden="false" customHeight="false" outlineLevel="0" collapsed="false">
      <c r="A147" s="2" t="s">
        <v>634</v>
      </c>
      <c r="B147" s="2" t="s">
        <v>618</v>
      </c>
      <c r="C147" s="2" t="s">
        <v>635</v>
      </c>
      <c r="D147" s="2" t="s">
        <v>636</v>
      </c>
      <c r="E147" s="2" t="s">
        <v>637</v>
      </c>
      <c r="F147" s="2" t="s">
        <v>638</v>
      </c>
      <c r="G147" s="2"/>
      <c r="H147" s="2"/>
      <c r="I147" s="2" t="s">
        <v>25</v>
      </c>
      <c r="J147" s="3" t="str">
        <f aca="false">IF(L147="","",AVERAGEIFS(PH_Price,PH_ItemID,A147,PH_Date,L147))</f>
        <v/>
      </c>
      <c r="K147" s="2" t="s">
        <v>26</v>
      </c>
      <c r="L147" s="4" t="str">
        <f aca="false">IF(COUNTIF(PH_ItemID,A147)=0,"",SUMPRODUCT(MAX((PH_ItemID=A147)*PH_Date)))</f>
        <v/>
      </c>
      <c r="M147" s="5" t="str">
        <f aca="true">IF(ISNUMBER(L147),TODAY()-L147,"")</f>
        <v/>
      </c>
      <c r="N147" s="2" t="s">
        <v>27</v>
      </c>
      <c r="O147" s="4" t="str">
        <f aca="false">IF(L147="","",IF(SUMPRODUCT(MAX((PH_ItemID=A147)*(PH_Date&lt;L147)*PH_Date))=0,"",SUMPRODUCT(MAX((PH_ItemID=A147)*(PH_Date&lt;L147)*PH_Date))))</f>
        <v/>
      </c>
      <c r="P147" s="3" t="str">
        <f aca="false">IF(O147="","",AVERAGEIFS(PH_Price,PH_ItemID,A147,PH_Date,O147))</f>
        <v/>
      </c>
      <c r="Q147" s="6" t="str">
        <f aca="false">IF(OR(J147="",P147=""),"",J147/P147-1)</f>
        <v/>
      </c>
      <c r="R147" s="2" t="str">
        <f aca="false">IF(J147="","unpriced",IF(P147="","new",IF(Q147&gt;0.05,"▲ up",IF(Q147&lt;-0.05,"▼ down","► stable"))))</f>
        <v>unpriced</v>
      </c>
      <c r="S147" s="2" t="s">
        <v>639</v>
      </c>
    </row>
    <row r="148" customFormat="false" ht="15" hidden="false" customHeight="false" outlineLevel="0" collapsed="false">
      <c r="A148" s="2" t="s">
        <v>640</v>
      </c>
      <c r="B148" s="2" t="s">
        <v>618</v>
      </c>
      <c r="C148" s="2" t="s">
        <v>641</v>
      </c>
      <c r="D148" s="2" t="s">
        <v>642</v>
      </c>
      <c r="E148" s="2" t="s">
        <v>643</v>
      </c>
      <c r="F148" s="2" t="s">
        <v>103</v>
      </c>
      <c r="G148" s="2"/>
      <c r="H148" s="2"/>
      <c r="I148" s="2" t="s">
        <v>25</v>
      </c>
      <c r="J148" s="3" t="str">
        <f aca="false">IF(L148="","",AVERAGEIFS(PH_Price,PH_ItemID,A148,PH_Date,L148))</f>
        <v/>
      </c>
      <c r="K148" s="2" t="s">
        <v>26</v>
      </c>
      <c r="L148" s="4" t="str">
        <f aca="false">IF(COUNTIF(PH_ItemID,A148)=0,"",SUMPRODUCT(MAX((PH_ItemID=A148)*PH_Date)))</f>
        <v/>
      </c>
      <c r="M148" s="5" t="str">
        <f aca="true">IF(ISNUMBER(L148),TODAY()-L148,"")</f>
        <v/>
      </c>
      <c r="N148" s="2" t="s">
        <v>104</v>
      </c>
      <c r="O148" s="4" t="str">
        <f aca="false">IF(L148="","",IF(SUMPRODUCT(MAX((PH_ItemID=A148)*(PH_Date&lt;L148)*PH_Date))=0,"",SUMPRODUCT(MAX((PH_ItemID=A148)*(PH_Date&lt;L148)*PH_Date))))</f>
        <v/>
      </c>
      <c r="P148" s="3" t="str">
        <f aca="false">IF(O148="","",AVERAGEIFS(PH_Price,PH_ItemID,A148,PH_Date,O148))</f>
        <v/>
      </c>
      <c r="Q148" s="6" t="str">
        <f aca="false">IF(OR(J148="",P148=""),"",J148/P148-1)</f>
        <v/>
      </c>
      <c r="R148" s="2" t="str">
        <f aca="false">IF(J148="","unpriced",IF(P148="","new",IF(Q148&gt;0.05,"▲ up",IF(Q148&lt;-0.05,"▼ down","► stable"))))</f>
        <v>unpriced</v>
      </c>
      <c r="S148" s="2" t="s">
        <v>644</v>
      </c>
    </row>
    <row r="149" customFormat="false" ht="15" hidden="false" customHeight="false" outlineLevel="0" collapsed="false">
      <c r="A149" s="2" t="s">
        <v>645</v>
      </c>
      <c r="B149" s="2" t="s">
        <v>646</v>
      </c>
      <c r="C149" s="2" t="s">
        <v>647</v>
      </c>
      <c r="D149" s="2" t="s">
        <v>648</v>
      </c>
      <c r="E149" s="2" t="s">
        <v>649</v>
      </c>
      <c r="F149" s="2" t="s">
        <v>650</v>
      </c>
      <c r="G149" s="2" t="s">
        <v>278</v>
      </c>
      <c r="H149" s="2" t="s">
        <v>651</v>
      </c>
      <c r="I149" s="2" t="s">
        <v>596</v>
      </c>
      <c r="J149" s="3" t="n">
        <f aca="false">IF(L149="","",AVERAGEIFS(PH_Price,PH_ItemID,A149,PH_Date,L149))</f>
        <v>1175</v>
      </c>
      <c r="K149" s="2" t="s">
        <v>26</v>
      </c>
      <c r="L149" s="4" t="n">
        <f aca="false">IF(COUNTIF(PH_ItemID,A149)=0,"",SUMPRODUCT(MAX((PH_ItemID=A149)*PH_Date)))</f>
        <v>46316</v>
      </c>
      <c r="M149" s="5" t="n">
        <f aca="true">IF(ISNUMBER(L149),TODAY()-L149,"")</f>
        <v>5</v>
      </c>
      <c r="N149" s="2" t="s">
        <v>27</v>
      </c>
      <c r="O149" s="4" t="str">
        <f aca="false">IF(L149="","",IF(SUMPRODUCT(MAX((PH_ItemID=A149)*(PH_Date&lt;L149)*PH_Date))=0,"",SUMPRODUCT(MAX((PH_ItemID=A149)*(PH_Date&lt;L149)*PH_Date))))</f>
        <v/>
      </c>
      <c r="P149" s="3" t="str">
        <f aca="false">IF(O149="","",AVERAGEIFS(PH_Price,PH_ItemID,A149,PH_Date,O149))</f>
        <v/>
      </c>
      <c r="Q149" s="6" t="str">
        <f aca="false">IF(OR(J149="",P149=""),"",J149/P149-1)</f>
        <v/>
      </c>
      <c r="R149" s="2" t="str">
        <f aca="false">IF(J149="","unpriced",IF(P149="","new",IF(Q149&gt;0.05,"▲ up",IF(Q149&lt;-0.05,"▼ down","► stable"))))</f>
        <v>new</v>
      </c>
      <c r="S149" s="2"/>
    </row>
    <row r="150" customFormat="false" ht="15" hidden="false" customHeight="false" outlineLevel="0" collapsed="false">
      <c r="A150" s="2" t="s">
        <v>652</v>
      </c>
      <c r="B150" s="2" t="s">
        <v>646</v>
      </c>
      <c r="C150" s="2" t="s">
        <v>653</v>
      </c>
      <c r="D150" s="2" t="s">
        <v>654</v>
      </c>
      <c r="E150" s="2" t="s">
        <v>655</v>
      </c>
      <c r="F150" s="2" t="s">
        <v>650</v>
      </c>
      <c r="G150" s="2" t="s">
        <v>278</v>
      </c>
      <c r="H150" s="2" t="s">
        <v>656</v>
      </c>
      <c r="I150" s="2" t="s">
        <v>596</v>
      </c>
      <c r="J150" s="3" t="n">
        <f aca="false">IF(L150="","",AVERAGEIFS(PH_Price,PH_ItemID,A150,PH_Date,L150))</f>
        <v>1515</v>
      </c>
      <c r="K150" s="2" t="s">
        <v>26</v>
      </c>
      <c r="L150" s="4" t="n">
        <f aca="false">IF(COUNTIF(PH_ItemID,A150)=0,"",SUMPRODUCT(MAX((PH_ItemID=A150)*PH_Date)))</f>
        <v>46316</v>
      </c>
      <c r="M150" s="5" t="n">
        <f aca="true">IF(ISNUMBER(L150),TODAY()-L150,"")</f>
        <v>5</v>
      </c>
      <c r="N150" s="2" t="s">
        <v>27</v>
      </c>
      <c r="O150" s="4" t="str">
        <f aca="false">IF(L150="","",IF(SUMPRODUCT(MAX((PH_ItemID=A150)*(PH_Date&lt;L150)*PH_Date))=0,"",SUMPRODUCT(MAX((PH_ItemID=A150)*(PH_Date&lt;L150)*PH_Date))))</f>
        <v/>
      </c>
      <c r="P150" s="3" t="str">
        <f aca="false">IF(O150="","",AVERAGEIFS(PH_Price,PH_ItemID,A150,PH_Date,O150))</f>
        <v/>
      </c>
      <c r="Q150" s="6" t="str">
        <f aca="false">IF(OR(J150="",P150=""),"",J150/P150-1)</f>
        <v/>
      </c>
      <c r="R150" s="2" t="str">
        <f aca="false">IF(J150="","unpriced",IF(P150="","new",IF(Q150&gt;0.05,"▲ up",IF(Q150&lt;-0.05,"▼ down","► stable"))))</f>
        <v>new</v>
      </c>
      <c r="S150" s="2" t="s">
        <v>657</v>
      </c>
    </row>
    <row r="151" customFormat="false" ht="15" hidden="false" customHeight="false" outlineLevel="0" collapsed="false">
      <c r="A151" s="2" t="s">
        <v>658</v>
      </c>
      <c r="B151" s="2" t="s">
        <v>646</v>
      </c>
      <c r="C151" s="2" t="s">
        <v>659</v>
      </c>
      <c r="D151" s="2" t="s">
        <v>660</v>
      </c>
      <c r="E151" s="2" t="s">
        <v>661</v>
      </c>
      <c r="F151" s="2" t="s">
        <v>662</v>
      </c>
      <c r="G151" s="2" t="s">
        <v>278</v>
      </c>
      <c r="H151" s="2" t="s">
        <v>663</v>
      </c>
      <c r="I151" s="2" t="s">
        <v>596</v>
      </c>
      <c r="J151" s="3" t="n">
        <f aca="false">IF(L151="","",AVERAGEIFS(PH_Price,PH_ItemID,A151,PH_Date,L151))</f>
        <v>1779</v>
      </c>
      <c r="K151" s="2" t="s">
        <v>26</v>
      </c>
      <c r="L151" s="4" t="n">
        <f aca="false">IF(COUNTIF(PH_ItemID,A151)=0,"",SUMPRODUCT(MAX((PH_ItemID=A151)*PH_Date)))</f>
        <v>46316</v>
      </c>
      <c r="M151" s="5" t="n">
        <f aca="true">IF(ISNUMBER(L151),TODAY()-L151,"")</f>
        <v>5</v>
      </c>
      <c r="N151" s="2" t="s">
        <v>27</v>
      </c>
      <c r="O151" s="4" t="str">
        <f aca="false">IF(L151="","",IF(SUMPRODUCT(MAX((PH_ItemID=A151)*(PH_Date&lt;L151)*PH_Date))=0,"",SUMPRODUCT(MAX((PH_ItemID=A151)*(PH_Date&lt;L151)*PH_Date))))</f>
        <v/>
      </c>
      <c r="P151" s="3" t="str">
        <f aca="false">IF(O151="","",AVERAGEIFS(PH_Price,PH_ItemID,A151,PH_Date,O151))</f>
        <v/>
      </c>
      <c r="Q151" s="6" t="str">
        <f aca="false">IF(OR(J151="",P151=""),"",J151/P151-1)</f>
        <v/>
      </c>
      <c r="R151" s="2" t="str">
        <f aca="false">IF(J151="","unpriced",IF(P151="","new",IF(Q151&gt;0.05,"▲ up",IF(Q151&lt;-0.05,"▼ down","► stable"))))</f>
        <v>new</v>
      </c>
      <c r="S151" s="2" t="s">
        <v>664</v>
      </c>
    </row>
    <row r="152" customFormat="false" ht="15" hidden="false" customHeight="false" outlineLevel="0" collapsed="false">
      <c r="A152" s="2" t="s">
        <v>665</v>
      </c>
      <c r="B152" s="2" t="s">
        <v>646</v>
      </c>
      <c r="C152" s="2" t="s">
        <v>666</v>
      </c>
      <c r="D152" s="2" t="s">
        <v>667</v>
      </c>
      <c r="E152" s="2" t="s">
        <v>668</v>
      </c>
      <c r="F152" s="2" t="s">
        <v>119</v>
      </c>
      <c r="G152" s="2" t="s">
        <v>278</v>
      </c>
      <c r="H152" s="2" t="s">
        <v>669</v>
      </c>
      <c r="I152" s="2" t="s">
        <v>288</v>
      </c>
      <c r="J152" s="3" t="n">
        <f aca="false">IF(L152="","",AVERAGEIFS(PH_Price,PH_ItemID,A152,PH_Date,L152))</f>
        <v>959</v>
      </c>
      <c r="K152" s="2" t="s">
        <v>26</v>
      </c>
      <c r="L152" s="4" t="n">
        <f aca="false">IF(COUNTIF(PH_ItemID,A152)=0,"",SUMPRODUCT(MAX((PH_ItemID=A152)*PH_Date)))</f>
        <v>46316</v>
      </c>
      <c r="M152" s="5" t="n">
        <f aca="true">IF(ISNUMBER(L152),TODAY()-L152,"")</f>
        <v>5</v>
      </c>
      <c r="N152" s="2" t="s">
        <v>27</v>
      </c>
      <c r="O152" s="4" t="str">
        <f aca="false">IF(L152="","",IF(SUMPRODUCT(MAX((PH_ItemID=A152)*(PH_Date&lt;L152)*PH_Date))=0,"",SUMPRODUCT(MAX((PH_ItemID=A152)*(PH_Date&lt;L152)*PH_Date))))</f>
        <v/>
      </c>
      <c r="P152" s="3" t="str">
        <f aca="false">IF(O152="","",AVERAGEIFS(PH_Price,PH_ItemID,A152,PH_Date,O152))</f>
        <v/>
      </c>
      <c r="Q152" s="6" t="str">
        <f aca="false">IF(OR(J152="",P152=""),"",J152/P152-1)</f>
        <v/>
      </c>
      <c r="R152" s="2" t="str">
        <f aca="false">IF(J152="","unpriced",IF(P152="","new",IF(Q152&gt;0.05,"▲ up",IF(Q152&lt;-0.05,"▼ down","► stable"))))</f>
        <v>new</v>
      </c>
      <c r="S152" s="2" t="s">
        <v>670</v>
      </c>
    </row>
    <row r="153" customFormat="false" ht="15" hidden="false" customHeight="false" outlineLevel="0" collapsed="false">
      <c r="A153" s="2" t="s">
        <v>671</v>
      </c>
      <c r="B153" s="2" t="s">
        <v>646</v>
      </c>
      <c r="C153" s="2" t="s">
        <v>672</v>
      </c>
      <c r="D153" s="2" t="s">
        <v>557</v>
      </c>
      <c r="E153" s="2" t="s">
        <v>673</v>
      </c>
      <c r="F153" s="2" t="s">
        <v>119</v>
      </c>
      <c r="G153" s="2" t="s">
        <v>278</v>
      </c>
      <c r="H153" s="2" t="s">
        <v>674</v>
      </c>
      <c r="I153" s="2" t="s">
        <v>288</v>
      </c>
      <c r="J153" s="3" t="n">
        <f aca="false">IF(L153="","",AVERAGEIFS(PH_Price,PH_ItemID,A153,PH_Date,L153))</f>
        <v>1699</v>
      </c>
      <c r="K153" s="2" t="s">
        <v>26</v>
      </c>
      <c r="L153" s="4" t="n">
        <f aca="false">IF(COUNTIF(PH_ItemID,A153)=0,"",SUMPRODUCT(MAX((PH_ItemID=A153)*PH_Date)))</f>
        <v>46316</v>
      </c>
      <c r="M153" s="5" t="n">
        <f aca="true">IF(ISNUMBER(L153),TODAY()-L153,"")</f>
        <v>5</v>
      </c>
      <c r="N153" s="2" t="s">
        <v>27</v>
      </c>
      <c r="O153" s="4" t="str">
        <f aca="false">IF(L153="","",IF(SUMPRODUCT(MAX((PH_ItemID=A153)*(PH_Date&lt;L153)*PH_Date))=0,"",SUMPRODUCT(MAX((PH_ItemID=A153)*(PH_Date&lt;L153)*PH_Date))))</f>
        <v/>
      </c>
      <c r="P153" s="3" t="str">
        <f aca="false">IF(O153="","",AVERAGEIFS(PH_Price,PH_ItemID,A153,PH_Date,O153))</f>
        <v/>
      </c>
      <c r="Q153" s="6" t="str">
        <f aca="false">IF(OR(J153="",P153=""),"",J153/P153-1)</f>
        <v/>
      </c>
      <c r="R153" s="2" t="str">
        <f aca="false">IF(J153="","unpriced",IF(P153="","new",IF(Q153&gt;0.05,"▲ up",IF(Q153&lt;-0.05,"▼ down","► stable"))))</f>
        <v>new</v>
      </c>
      <c r="S153" s="2" t="s">
        <v>675</v>
      </c>
    </row>
    <row r="154" customFormat="false" ht="15" hidden="false" customHeight="false" outlineLevel="0" collapsed="false">
      <c r="A154" s="2" t="s">
        <v>676</v>
      </c>
      <c r="B154" s="2" t="s">
        <v>677</v>
      </c>
      <c r="C154" s="2" t="s">
        <v>678</v>
      </c>
      <c r="D154" s="2" t="s">
        <v>679</v>
      </c>
      <c r="E154" s="2" t="s">
        <v>680</v>
      </c>
      <c r="F154" s="2" t="s">
        <v>119</v>
      </c>
      <c r="G154" s="2" t="s">
        <v>278</v>
      </c>
      <c r="H154" s="2" t="s">
        <v>681</v>
      </c>
      <c r="I154" s="2" t="s">
        <v>288</v>
      </c>
      <c r="J154" s="3" t="n">
        <f aca="false">IF(L154="","",AVERAGEIFS(PH_Price,PH_ItemID,A154,PH_Date,L154))</f>
        <v>197</v>
      </c>
      <c r="K154" s="2" t="s">
        <v>26</v>
      </c>
      <c r="L154" s="4" t="n">
        <f aca="false">IF(COUNTIF(PH_ItemID,A154)=0,"",SUMPRODUCT(MAX((PH_ItemID=A154)*PH_Date)))</f>
        <v>46316</v>
      </c>
      <c r="M154" s="5" t="n">
        <f aca="true">IF(ISNUMBER(L154),TODAY()-L154,"")</f>
        <v>5</v>
      </c>
      <c r="N154" s="2" t="s">
        <v>27</v>
      </c>
      <c r="O154" s="4" t="str">
        <f aca="false">IF(L154="","",IF(SUMPRODUCT(MAX((PH_ItemID=A154)*(PH_Date&lt;L154)*PH_Date))=0,"",SUMPRODUCT(MAX((PH_ItemID=A154)*(PH_Date&lt;L154)*PH_Date))))</f>
        <v/>
      </c>
      <c r="P154" s="3" t="str">
        <f aca="false">IF(O154="","",AVERAGEIFS(PH_Price,PH_ItemID,A154,PH_Date,O154))</f>
        <v/>
      </c>
      <c r="Q154" s="6" t="str">
        <f aca="false">IF(OR(J154="",P154=""),"",J154/P154-1)</f>
        <v/>
      </c>
      <c r="R154" s="2" t="str">
        <f aca="false">IF(J154="","unpriced",IF(P154="","new",IF(Q154&gt;0.05,"▲ up",IF(Q154&lt;-0.05,"▼ down","► stable"))))</f>
        <v>new</v>
      </c>
      <c r="S154" s="2" t="s">
        <v>682</v>
      </c>
    </row>
    <row r="155" customFormat="false" ht="15" hidden="false" customHeight="false" outlineLevel="0" collapsed="false">
      <c r="A155" s="2" t="s">
        <v>683</v>
      </c>
      <c r="B155" s="2" t="s">
        <v>677</v>
      </c>
      <c r="C155" s="2" t="s">
        <v>684</v>
      </c>
      <c r="D155" s="2" t="s">
        <v>685</v>
      </c>
      <c r="E155" s="2" t="s">
        <v>686</v>
      </c>
      <c r="F155" s="2" t="s">
        <v>119</v>
      </c>
      <c r="G155" s="2" t="s">
        <v>687</v>
      </c>
      <c r="H155" s="2" t="s">
        <v>688</v>
      </c>
      <c r="I155" s="2" t="s">
        <v>596</v>
      </c>
      <c r="J155" s="3" t="n">
        <f aca="false">IF(L155="","",AVERAGEIFS(PH_Price,PH_ItemID,A155,PH_Date,L155))</f>
        <v>295</v>
      </c>
      <c r="K155" s="2" t="s">
        <v>96</v>
      </c>
      <c r="L155" s="4" t="n">
        <f aca="false">IF(COUNTIF(PH_ItemID,A155)=0,"",SUMPRODUCT(MAX((PH_ItemID=A155)*PH_Date)))</f>
        <v>46316</v>
      </c>
      <c r="M155" s="5" t="n">
        <f aca="true">IF(ISNUMBER(L155),TODAY()-L155,"")</f>
        <v>5</v>
      </c>
      <c r="N155" s="2" t="s">
        <v>27</v>
      </c>
      <c r="O155" s="4" t="str">
        <f aca="false">IF(L155="","",IF(SUMPRODUCT(MAX((PH_ItemID=A155)*(PH_Date&lt;L155)*PH_Date))=0,"",SUMPRODUCT(MAX((PH_ItemID=A155)*(PH_Date&lt;L155)*PH_Date))))</f>
        <v/>
      </c>
      <c r="P155" s="3" t="str">
        <f aca="false">IF(O155="","",AVERAGEIFS(PH_Price,PH_ItemID,A155,PH_Date,O155))</f>
        <v/>
      </c>
      <c r="Q155" s="6" t="str">
        <f aca="false">IF(OR(J155="",P155=""),"",J155/P155-1)</f>
        <v/>
      </c>
      <c r="R155" s="2" t="str">
        <f aca="false">IF(J155="","unpriced",IF(P155="","new",IF(Q155&gt;0.05,"▲ up",IF(Q155&lt;-0.05,"▼ down","► stable"))))</f>
        <v>new</v>
      </c>
      <c r="S155" s="2"/>
    </row>
    <row r="156" customFormat="false" ht="15" hidden="false" customHeight="false" outlineLevel="0" collapsed="false">
      <c r="A156" s="2" t="s">
        <v>689</v>
      </c>
      <c r="B156" s="2" t="s">
        <v>677</v>
      </c>
      <c r="C156" s="2" t="s">
        <v>690</v>
      </c>
      <c r="D156" s="2" t="s">
        <v>691</v>
      </c>
      <c r="E156" s="2" t="s">
        <v>692</v>
      </c>
      <c r="F156" s="2" t="s">
        <v>119</v>
      </c>
      <c r="G156" s="2" t="s">
        <v>687</v>
      </c>
      <c r="H156" s="2" t="s">
        <v>688</v>
      </c>
      <c r="I156" s="2" t="s">
        <v>596</v>
      </c>
      <c r="J156" s="3" t="n">
        <f aca="false">IF(L156="","",AVERAGEIFS(PH_Price,PH_ItemID,A156,PH_Date,L156))</f>
        <v>1150</v>
      </c>
      <c r="K156" s="2" t="s">
        <v>96</v>
      </c>
      <c r="L156" s="4" t="n">
        <f aca="false">IF(COUNTIF(PH_ItemID,A156)=0,"",SUMPRODUCT(MAX((PH_ItemID=A156)*PH_Date)))</f>
        <v>46316</v>
      </c>
      <c r="M156" s="5" t="n">
        <f aca="true">IF(ISNUMBER(L156),TODAY()-L156,"")</f>
        <v>5</v>
      </c>
      <c r="N156" s="2" t="s">
        <v>27</v>
      </c>
      <c r="O156" s="4" t="str">
        <f aca="false">IF(L156="","",IF(SUMPRODUCT(MAX((PH_ItemID=A156)*(PH_Date&lt;L156)*PH_Date))=0,"",SUMPRODUCT(MAX((PH_ItemID=A156)*(PH_Date&lt;L156)*PH_Date))))</f>
        <v/>
      </c>
      <c r="P156" s="3" t="str">
        <f aca="false">IF(O156="","",AVERAGEIFS(PH_Price,PH_ItemID,A156,PH_Date,O156))</f>
        <v/>
      </c>
      <c r="Q156" s="6" t="str">
        <f aca="false">IF(OR(J156="",P156=""),"",J156/P156-1)</f>
        <v/>
      </c>
      <c r="R156" s="2" t="str">
        <f aca="false">IF(J156="","unpriced",IF(P156="","new",IF(Q156&gt;0.05,"▲ up",IF(Q156&lt;-0.05,"▼ down","► stable"))))</f>
        <v>new</v>
      </c>
      <c r="S156" s="2"/>
    </row>
    <row r="157" customFormat="false" ht="15" hidden="false" customHeight="false" outlineLevel="0" collapsed="false">
      <c r="A157" s="2" t="s">
        <v>693</v>
      </c>
      <c r="B157" s="2" t="s">
        <v>677</v>
      </c>
      <c r="C157" s="2" t="s">
        <v>694</v>
      </c>
      <c r="D157" s="2" t="s">
        <v>695</v>
      </c>
      <c r="E157" s="2" t="s">
        <v>49</v>
      </c>
      <c r="F157" s="2" t="s">
        <v>49</v>
      </c>
      <c r="G157" s="2" t="s">
        <v>696</v>
      </c>
      <c r="H157" s="2" t="s">
        <v>697</v>
      </c>
      <c r="I157" s="2" t="s">
        <v>596</v>
      </c>
      <c r="J157" s="3" t="n">
        <f aca="false">IF(L157="","",AVERAGEIFS(PH_Price,PH_ItemID,A157,PH_Date,L157))</f>
        <v>136</v>
      </c>
      <c r="K157" s="2" t="s">
        <v>96</v>
      </c>
      <c r="L157" s="4" t="n">
        <f aca="false">IF(COUNTIF(PH_ItemID,A157)=0,"",SUMPRODUCT(MAX((PH_ItemID=A157)*PH_Date)))</f>
        <v>46316</v>
      </c>
      <c r="M157" s="5" t="n">
        <f aca="true">IF(ISNUMBER(L157),TODAY()-L157,"")</f>
        <v>5</v>
      </c>
      <c r="N157" s="2" t="s">
        <v>27</v>
      </c>
      <c r="O157" s="4" t="str">
        <f aca="false">IF(L157="","",IF(SUMPRODUCT(MAX((PH_ItemID=A157)*(PH_Date&lt;L157)*PH_Date))=0,"",SUMPRODUCT(MAX((PH_ItemID=A157)*(PH_Date&lt;L157)*PH_Date))))</f>
        <v/>
      </c>
      <c r="P157" s="3" t="str">
        <f aca="false">IF(O157="","",AVERAGEIFS(PH_Price,PH_ItemID,A157,PH_Date,O157))</f>
        <v/>
      </c>
      <c r="Q157" s="6" t="str">
        <f aca="false">IF(OR(J157="",P157=""),"",J157/P157-1)</f>
        <v/>
      </c>
      <c r="R157" s="2" t="str">
        <f aca="false">IF(J157="","unpriced",IF(P157="","new",IF(Q157&gt;0.05,"▲ up",IF(Q157&lt;-0.05,"▼ down","► stable"))))</f>
        <v>new</v>
      </c>
      <c r="S157" s="2"/>
    </row>
    <row r="158" customFormat="false" ht="15" hidden="false" customHeight="false" outlineLevel="0" collapsed="false">
      <c r="A158" s="2" t="s">
        <v>698</v>
      </c>
      <c r="B158" s="2" t="s">
        <v>699</v>
      </c>
      <c r="C158" s="2" t="s">
        <v>700</v>
      </c>
      <c r="D158" s="2" t="s">
        <v>701</v>
      </c>
      <c r="E158" s="2" t="s">
        <v>702</v>
      </c>
      <c r="F158" s="2" t="s">
        <v>119</v>
      </c>
      <c r="G158" s="2" t="s">
        <v>278</v>
      </c>
      <c r="H158" s="2" t="s">
        <v>703</v>
      </c>
      <c r="I158" s="2" t="s">
        <v>596</v>
      </c>
      <c r="J158" s="3" t="n">
        <f aca="false">IF(L158="","",AVERAGEIFS(PH_Price,PH_ItemID,A158,PH_Date,L158))</f>
        <v>179</v>
      </c>
      <c r="K158" s="2" t="s">
        <v>26</v>
      </c>
      <c r="L158" s="4" t="n">
        <f aca="false">IF(COUNTIF(PH_ItemID,A158)=0,"",SUMPRODUCT(MAX((PH_ItemID=A158)*PH_Date)))</f>
        <v>46321</v>
      </c>
      <c r="M158" s="5" t="n">
        <f aca="true">IF(ISNUMBER(L158),TODAY()-L158,"")</f>
        <v>0</v>
      </c>
      <c r="N158" s="2" t="s">
        <v>27</v>
      </c>
      <c r="O158" s="4" t="n">
        <f aca="false">IF(L158="","",IF(SUMPRODUCT(MAX((PH_ItemID=A158)*(PH_Date&lt;L158)*PH_Date))=0,"",SUMPRODUCT(MAX((PH_ItemID=A158)*(PH_Date&lt;L158)*PH_Date))))</f>
        <v>46316</v>
      </c>
      <c r="P158" s="3" t="n">
        <f aca="false">IF(O158="","",AVERAGEIFS(PH_Price,PH_ItemID,A158,PH_Date,O158))</f>
        <v>175</v>
      </c>
      <c r="Q158" s="6" t="n">
        <f aca="false">IF(OR(J158="",P158=""),"",J158/P158-1)</f>
        <v>0.0228571428571429</v>
      </c>
      <c r="R158" s="2" t="str">
        <f aca="false">IF(J158="","unpriced",IF(P158="","new",IF(Q158&gt;0.05,"▲ up",IF(Q158&lt;-0.05,"▼ down","► stable"))))</f>
        <v>► stable</v>
      </c>
      <c r="S158" s="2"/>
    </row>
    <row r="159" customFormat="false" ht="15" hidden="false" customHeight="false" outlineLevel="0" collapsed="false">
      <c r="A159" s="2" t="s">
        <v>704</v>
      </c>
      <c r="B159" s="2" t="s">
        <v>699</v>
      </c>
      <c r="C159" s="2" t="s">
        <v>705</v>
      </c>
      <c r="D159" s="2" t="s">
        <v>706</v>
      </c>
      <c r="E159" s="2" t="s">
        <v>707</v>
      </c>
      <c r="F159" s="2" t="s">
        <v>119</v>
      </c>
      <c r="G159" s="2" t="s">
        <v>278</v>
      </c>
      <c r="H159" s="2" t="s">
        <v>708</v>
      </c>
      <c r="I159" s="2" t="s">
        <v>288</v>
      </c>
      <c r="J159" s="3" t="n">
        <f aca="false">IF(L159="","",AVERAGEIFS(PH_Price,PH_ItemID,A159,PH_Date,L159))</f>
        <v>197</v>
      </c>
      <c r="K159" s="2" t="s">
        <v>26</v>
      </c>
      <c r="L159" s="4" t="n">
        <f aca="false">IF(COUNTIF(PH_ItemID,A159)=0,"",SUMPRODUCT(MAX((PH_ItemID=A159)*PH_Date)))</f>
        <v>46316</v>
      </c>
      <c r="M159" s="5" t="n">
        <f aca="true">IF(ISNUMBER(L159),TODAY()-L159,"")</f>
        <v>5</v>
      </c>
      <c r="N159" s="2" t="s">
        <v>27</v>
      </c>
      <c r="O159" s="4" t="str">
        <f aca="false">IF(L159="","",IF(SUMPRODUCT(MAX((PH_ItemID=A159)*(PH_Date&lt;L159)*PH_Date))=0,"",SUMPRODUCT(MAX((PH_ItemID=A159)*(PH_Date&lt;L159)*PH_Date))))</f>
        <v/>
      </c>
      <c r="P159" s="3" t="str">
        <f aca="false">IF(O159="","",AVERAGEIFS(PH_Price,PH_ItemID,A159,PH_Date,O159))</f>
        <v/>
      </c>
      <c r="Q159" s="6" t="str">
        <f aca="false">IF(OR(J159="",P159=""),"",J159/P159-1)</f>
        <v/>
      </c>
      <c r="R159" s="2" t="str">
        <f aca="false">IF(J159="","unpriced",IF(P159="","new",IF(Q159&gt;0.05,"▲ up",IF(Q159&lt;-0.05,"▼ down","► stable"))))</f>
        <v>new</v>
      </c>
      <c r="S159" s="2" t="s">
        <v>709</v>
      </c>
    </row>
    <row r="160" customFormat="false" ht="15" hidden="false" customHeight="false" outlineLevel="0" collapsed="false">
      <c r="A160" s="2" t="s">
        <v>710</v>
      </c>
      <c r="B160" s="2" t="s">
        <v>699</v>
      </c>
      <c r="C160" s="2" t="s">
        <v>711</v>
      </c>
      <c r="D160" s="2" t="s">
        <v>712</v>
      </c>
      <c r="E160" s="2" t="s">
        <v>713</v>
      </c>
      <c r="F160" s="2" t="s">
        <v>119</v>
      </c>
      <c r="G160" s="2" t="s">
        <v>278</v>
      </c>
      <c r="H160" s="2" t="s">
        <v>714</v>
      </c>
      <c r="I160" s="2" t="s">
        <v>596</v>
      </c>
      <c r="J160" s="3" t="n">
        <f aca="false">IF(L160="","",AVERAGEIFS(PH_Price,PH_ItemID,A160,PH_Date,L160))</f>
        <v>305</v>
      </c>
      <c r="K160" s="2" t="s">
        <v>26</v>
      </c>
      <c r="L160" s="4" t="n">
        <f aca="false">IF(COUNTIF(PH_ItemID,A160)=0,"",SUMPRODUCT(MAX((PH_ItemID=A160)*PH_Date)))</f>
        <v>46316</v>
      </c>
      <c r="M160" s="5" t="n">
        <f aca="true">IF(ISNUMBER(L160),TODAY()-L160,"")</f>
        <v>5</v>
      </c>
      <c r="N160" s="2" t="s">
        <v>27</v>
      </c>
      <c r="O160" s="4" t="str">
        <f aca="false">IF(L160="","",IF(SUMPRODUCT(MAX((PH_ItemID=A160)*(PH_Date&lt;L160)*PH_Date))=0,"",SUMPRODUCT(MAX((PH_ItemID=A160)*(PH_Date&lt;L160)*PH_Date))))</f>
        <v/>
      </c>
      <c r="P160" s="3" t="str">
        <f aca="false">IF(O160="","",AVERAGEIFS(PH_Price,PH_ItemID,A160,PH_Date,O160))</f>
        <v/>
      </c>
      <c r="Q160" s="6" t="str">
        <f aca="false">IF(OR(J160="",P160=""),"",J160/P160-1)</f>
        <v/>
      </c>
      <c r="R160" s="2" t="str">
        <f aca="false">IF(J160="","unpriced",IF(P160="","new",IF(Q160&gt;0.05,"▲ up",IF(Q160&lt;-0.05,"▼ down","► stable"))))</f>
        <v>new</v>
      </c>
      <c r="S160" s="2"/>
    </row>
    <row r="161" customFormat="false" ht="15" hidden="false" customHeight="false" outlineLevel="0" collapsed="false">
      <c r="A161" s="2" t="s">
        <v>715</v>
      </c>
      <c r="B161" s="2" t="s">
        <v>699</v>
      </c>
      <c r="C161" s="2" t="s">
        <v>716</v>
      </c>
      <c r="D161" s="2" t="s">
        <v>717</v>
      </c>
      <c r="E161" s="2" t="s">
        <v>718</v>
      </c>
      <c r="F161" s="2" t="s">
        <v>719</v>
      </c>
      <c r="G161" s="2"/>
      <c r="H161" s="2"/>
      <c r="I161" s="2" t="s">
        <v>25</v>
      </c>
      <c r="J161" s="3" t="n">
        <f aca="false">IF(L161="","",AVERAGEIFS(PH_Price,PH_ItemID,A161,PH_Date,L161))</f>
        <v>0</v>
      </c>
      <c r="K161" s="2" t="s">
        <v>26</v>
      </c>
      <c r="L161" s="4" t="n">
        <f aca="false">IF(COUNTIF(PH_ItemID,A161)=0,"",SUMPRODUCT(MAX((PH_ItemID=A161)*PH_Date)))</f>
        <v>46316</v>
      </c>
      <c r="M161" s="5" t="n">
        <f aca="true">IF(ISNUMBER(L161),TODAY()-L161,"")</f>
        <v>5</v>
      </c>
      <c r="N161" s="2" t="s">
        <v>27</v>
      </c>
      <c r="O161" s="4" t="str">
        <f aca="false">IF(L161="","",IF(SUMPRODUCT(MAX((PH_ItemID=A161)*(PH_Date&lt;L161)*PH_Date))=0,"",SUMPRODUCT(MAX((PH_ItemID=A161)*(PH_Date&lt;L161)*PH_Date))))</f>
        <v/>
      </c>
      <c r="P161" s="3" t="str">
        <f aca="false">IF(O161="","",AVERAGEIFS(PH_Price,PH_ItemID,A161,PH_Date,O161))</f>
        <v/>
      </c>
      <c r="Q161" s="6" t="str">
        <f aca="false">IF(OR(J161="",P161=""),"",J161/P161-1)</f>
        <v/>
      </c>
      <c r="R161" s="2" t="str">
        <f aca="false">IF(J161="","unpriced",IF(P161="","new",IF(Q161&gt;0.05,"▲ up",IF(Q161&lt;-0.05,"▼ down","► stable"))))</f>
        <v>new</v>
      </c>
      <c r="S161" s="2" t="s">
        <v>720</v>
      </c>
    </row>
    <row r="162" customFormat="false" ht="15" hidden="false" customHeight="false" outlineLevel="0" collapsed="false">
      <c r="A162" s="2" t="s">
        <v>721</v>
      </c>
      <c r="B162" s="2" t="s">
        <v>397</v>
      </c>
      <c r="C162" s="2" t="s">
        <v>722</v>
      </c>
      <c r="D162" s="2" t="s">
        <v>723</v>
      </c>
      <c r="E162" s="2" t="s">
        <v>724</v>
      </c>
      <c r="F162" s="2" t="s">
        <v>725</v>
      </c>
      <c r="G162" s="2" t="s">
        <v>278</v>
      </c>
      <c r="H162" s="2" t="s">
        <v>726</v>
      </c>
      <c r="I162" s="2" t="s">
        <v>280</v>
      </c>
      <c r="J162" s="3" t="n">
        <f aca="false">IF(L162="","",AVERAGEIFS(PH_Price,PH_ItemID,A162,PH_Date,L162))</f>
        <v>685</v>
      </c>
      <c r="K162" s="2" t="s">
        <v>26</v>
      </c>
      <c r="L162" s="4" t="n">
        <f aca="false">IF(COUNTIF(PH_ItemID,A162)=0,"",SUMPRODUCT(MAX((PH_ItemID=A162)*PH_Date)))</f>
        <v>46315</v>
      </c>
      <c r="M162" s="5" t="n">
        <f aca="true">IF(ISNUMBER(L162),TODAY()-L162,"")</f>
        <v>6</v>
      </c>
      <c r="N162" s="2" t="s">
        <v>27</v>
      </c>
      <c r="O162" s="4" t="str">
        <f aca="false">IF(L162="","",IF(SUMPRODUCT(MAX((PH_ItemID=A162)*(PH_Date&lt;L162)*PH_Date))=0,"",SUMPRODUCT(MAX((PH_ItemID=A162)*(PH_Date&lt;L162)*PH_Date))))</f>
        <v/>
      </c>
      <c r="P162" s="3" t="str">
        <f aca="false">IF(O162="","",AVERAGEIFS(PH_Price,PH_ItemID,A162,PH_Date,O162))</f>
        <v/>
      </c>
      <c r="Q162" s="6" t="str">
        <f aca="false">IF(OR(J162="",P162=""),"",J162/P162-1)</f>
        <v/>
      </c>
      <c r="R162" s="2" t="str">
        <f aca="false">IF(J162="","unpriced",IF(P162="","new",IF(Q162&gt;0.05,"▲ up",IF(Q162&lt;-0.05,"▼ down","► stable"))))</f>
        <v>new</v>
      </c>
      <c r="S162" s="2" t="s">
        <v>727</v>
      </c>
    </row>
    <row r="163" customFormat="false" ht="15" hidden="false" customHeight="false" outlineLevel="0" collapsed="false">
      <c r="A163" s="2" t="s">
        <v>728</v>
      </c>
      <c r="B163" s="2" t="s">
        <v>397</v>
      </c>
      <c r="C163" s="2" t="s">
        <v>729</v>
      </c>
      <c r="D163" s="2" t="s">
        <v>730</v>
      </c>
      <c r="E163" s="2" t="s">
        <v>731</v>
      </c>
      <c r="F163" s="2" t="s">
        <v>732</v>
      </c>
      <c r="G163" s="2" t="s">
        <v>733</v>
      </c>
      <c r="H163" s="2" t="s">
        <v>734</v>
      </c>
      <c r="I163" s="2" t="s">
        <v>280</v>
      </c>
      <c r="J163" s="3" t="n">
        <f aca="false">IF(L163="","",AVERAGEIFS(PH_Price,PH_ItemID,A163,PH_Date,L163))</f>
        <v>1549</v>
      </c>
      <c r="K163" s="2" t="s">
        <v>26</v>
      </c>
      <c r="L163" s="4" t="n">
        <f aca="false">IF(COUNTIF(PH_ItemID,A163)=0,"",SUMPRODUCT(MAX((PH_ItemID=A163)*PH_Date)))</f>
        <v>46315</v>
      </c>
      <c r="M163" s="5" t="n">
        <f aca="true">IF(ISNUMBER(L163),TODAY()-L163,"")</f>
        <v>6</v>
      </c>
      <c r="N163" s="2" t="s">
        <v>97</v>
      </c>
      <c r="O163" s="4" t="str">
        <f aca="false">IF(L163="","",IF(SUMPRODUCT(MAX((PH_ItemID=A163)*(PH_Date&lt;L163)*PH_Date))=0,"",SUMPRODUCT(MAX((PH_ItemID=A163)*(PH_Date&lt;L163)*PH_Date))))</f>
        <v/>
      </c>
      <c r="P163" s="3" t="str">
        <f aca="false">IF(O163="","",AVERAGEIFS(PH_Price,PH_ItemID,A163,PH_Date,O163))</f>
        <v/>
      </c>
      <c r="Q163" s="6" t="str">
        <f aca="false">IF(OR(J163="",P163=""),"",J163/P163-1)</f>
        <v/>
      </c>
      <c r="R163" s="2" t="str">
        <f aca="false">IF(J163="","unpriced",IF(P163="","new",IF(Q163&gt;0.05,"▲ up",IF(Q163&lt;-0.05,"▼ down","► stable"))))</f>
        <v>new</v>
      </c>
      <c r="S163" s="2" t="s">
        <v>735</v>
      </c>
    </row>
    <row r="164" customFormat="false" ht="15" hidden="false" customHeight="false" outlineLevel="0" collapsed="false">
      <c r="A164" s="2" t="s">
        <v>736</v>
      </c>
      <c r="B164" s="2" t="s">
        <v>273</v>
      </c>
      <c r="C164" s="2" t="s">
        <v>737</v>
      </c>
      <c r="D164" s="2" t="s">
        <v>738</v>
      </c>
      <c r="E164" s="2" t="s">
        <v>739</v>
      </c>
      <c r="F164" s="2" t="s">
        <v>573</v>
      </c>
      <c r="G164" s="2" t="s">
        <v>278</v>
      </c>
      <c r="H164" s="2" t="s">
        <v>740</v>
      </c>
      <c r="I164" s="2" t="s">
        <v>280</v>
      </c>
      <c r="J164" s="3" t="n">
        <f aca="false">IF(L164="","",AVERAGEIFS(PH_Price,PH_ItemID,A164,PH_Date,L164))</f>
        <v>225</v>
      </c>
      <c r="K164" s="2" t="s">
        <v>26</v>
      </c>
      <c r="L164" s="4" t="n">
        <f aca="false">IF(COUNTIF(PH_ItemID,A164)=0,"",SUMPRODUCT(MAX((PH_ItemID=A164)*PH_Date)))</f>
        <v>46315</v>
      </c>
      <c r="M164" s="5" t="n">
        <f aca="true">IF(ISNUMBER(L164),TODAY()-L164,"")</f>
        <v>6</v>
      </c>
      <c r="N164" s="2" t="s">
        <v>27</v>
      </c>
      <c r="O164" s="4" t="str">
        <f aca="false">IF(L164="","",IF(SUMPRODUCT(MAX((PH_ItemID=A164)*(PH_Date&lt;L164)*PH_Date))=0,"",SUMPRODUCT(MAX((PH_ItemID=A164)*(PH_Date&lt;L164)*PH_Date))))</f>
        <v/>
      </c>
      <c r="P164" s="3" t="str">
        <f aca="false">IF(O164="","",AVERAGEIFS(PH_Price,PH_ItemID,A164,PH_Date,O164))</f>
        <v/>
      </c>
      <c r="Q164" s="6" t="str">
        <f aca="false">IF(OR(J164="",P164=""),"",J164/P164-1)</f>
        <v/>
      </c>
      <c r="R164" s="2" t="str">
        <f aca="false">IF(J164="","unpriced",IF(P164="","new",IF(Q164&gt;0.05,"▲ up",IF(Q164&lt;-0.05,"▼ down","► stable"))))</f>
        <v>new</v>
      </c>
      <c r="S164" s="2" t="s">
        <v>741</v>
      </c>
    </row>
    <row r="165" customFormat="false" ht="15" hidden="false" customHeight="false" outlineLevel="0" collapsed="false">
      <c r="A165" s="2" t="s">
        <v>742</v>
      </c>
      <c r="B165" s="2" t="s">
        <v>273</v>
      </c>
      <c r="C165" s="2" t="s">
        <v>743</v>
      </c>
      <c r="D165" s="2" t="s">
        <v>744</v>
      </c>
      <c r="E165" s="2" t="s">
        <v>745</v>
      </c>
      <c r="F165" s="2" t="s">
        <v>638</v>
      </c>
      <c r="G165" s="2"/>
      <c r="H165" s="2"/>
      <c r="I165" s="2" t="s">
        <v>25</v>
      </c>
      <c r="J165" s="3" t="n">
        <f aca="false">IF(L165="","",AVERAGEIFS(PH_Price,PH_ItemID,A165,PH_Date,L165))</f>
        <v>72</v>
      </c>
      <c r="K165" s="2" t="s">
        <v>26</v>
      </c>
      <c r="L165" s="4" t="n">
        <f aca="false">IF(COUNTIF(PH_ItemID,A165)=0,"",SUMPRODUCT(MAX((PH_ItemID=A165)*PH_Date)))</f>
        <v>46315</v>
      </c>
      <c r="M165" s="5" t="n">
        <f aca="true">IF(ISNUMBER(L165),TODAY()-L165,"")</f>
        <v>6</v>
      </c>
      <c r="N165" s="2" t="s">
        <v>27</v>
      </c>
      <c r="O165" s="4" t="str">
        <f aca="false">IF(L165="","",IF(SUMPRODUCT(MAX((PH_ItemID=A165)*(PH_Date&lt;L165)*PH_Date))=0,"",SUMPRODUCT(MAX((PH_ItemID=A165)*(PH_Date&lt;L165)*PH_Date))))</f>
        <v/>
      </c>
      <c r="P165" s="3" t="str">
        <f aca="false">IF(O165="","",AVERAGEIFS(PH_Price,PH_ItemID,A165,PH_Date,O165))</f>
        <v/>
      </c>
      <c r="Q165" s="6" t="str">
        <f aca="false">IF(OR(J165="",P165=""),"",J165/P165-1)</f>
        <v/>
      </c>
      <c r="R165" s="2" t="str">
        <f aca="false">IF(J165="","unpriced",IF(P165="","new",IF(Q165&gt;0.05,"▲ up",IF(Q165&lt;-0.05,"▼ down","► stable"))))</f>
        <v>new</v>
      </c>
      <c r="S165" s="2" t="s">
        <v>746</v>
      </c>
    </row>
    <row r="166" customFormat="false" ht="15" hidden="false" customHeight="false" outlineLevel="0" collapsed="false">
      <c r="A166" s="2" t="s">
        <v>747</v>
      </c>
      <c r="B166" s="2" t="s">
        <v>20</v>
      </c>
      <c r="C166" s="2" t="s">
        <v>748</v>
      </c>
      <c r="D166" s="2" t="s">
        <v>749</v>
      </c>
      <c r="E166" s="2" t="s">
        <v>750</v>
      </c>
      <c r="F166" s="2" t="s">
        <v>650</v>
      </c>
      <c r="G166" s="2" t="s">
        <v>278</v>
      </c>
      <c r="H166" s="2" t="s">
        <v>751</v>
      </c>
      <c r="I166" s="2" t="s">
        <v>752</v>
      </c>
      <c r="J166" s="3" t="n">
        <f aca="false">IF(L166="","",AVERAGEIFS(PH_Price,PH_ItemID,A166,PH_Date,L166))</f>
        <v>1969</v>
      </c>
      <c r="K166" s="2" t="s">
        <v>26</v>
      </c>
      <c r="L166" s="4" t="n">
        <f aca="false">IF(COUNTIF(PH_ItemID,A166)=0,"",SUMPRODUCT(MAX((PH_ItemID=A166)*PH_Date)))</f>
        <v>46319</v>
      </c>
      <c r="M166" s="5" t="n">
        <f aca="true">IF(ISNUMBER(L166),TODAY()-L166,"")</f>
        <v>2</v>
      </c>
      <c r="N166" s="2" t="s">
        <v>27</v>
      </c>
      <c r="O166" s="4" t="str">
        <f aca="false">IF(L166="","",IF(SUMPRODUCT(MAX((PH_ItemID=A166)*(PH_Date&lt;L166)*PH_Date))=0,"",SUMPRODUCT(MAX((PH_ItemID=A166)*(PH_Date&lt;L166)*PH_Date))))</f>
        <v/>
      </c>
      <c r="P166" s="3" t="str">
        <f aca="false">IF(O166="","",AVERAGEIFS(PH_Price,PH_ItemID,A166,PH_Date,O166))</f>
        <v/>
      </c>
      <c r="Q166" s="6" t="str">
        <f aca="false">IF(OR(J166="",P166=""),"",J166/P166-1)</f>
        <v/>
      </c>
      <c r="R166" s="2" t="str">
        <f aca="false">IF(J166="","unpriced",IF(P166="","new",IF(Q166&gt;0.05,"▲ up",IF(Q166&lt;-0.05,"▼ down","► stable"))))</f>
        <v>new</v>
      </c>
      <c r="S166" s="2" t="s">
        <v>753</v>
      </c>
    </row>
    <row r="167" customFormat="false" ht="15" hidden="false" customHeight="false" outlineLevel="0" collapsed="false">
      <c r="A167" s="2" t="s">
        <v>754</v>
      </c>
      <c r="B167" s="2" t="s">
        <v>20</v>
      </c>
      <c r="C167" s="2" t="s">
        <v>755</v>
      </c>
      <c r="D167" s="2" t="s">
        <v>756</v>
      </c>
      <c r="E167" s="2" t="s">
        <v>757</v>
      </c>
      <c r="F167" s="2" t="s">
        <v>758</v>
      </c>
      <c r="G167" s="2" t="s">
        <v>278</v>
      </c>
      <c r="H167" s="2" t="s">
        <v>759</v>
      </c>
      <c r="I167" s="2" t="s">
        <v>752</v>
      </c>
      <c r="J167" s="3" t="n">
        <f aca="false">IF(L167="","",AVERAGEIFS(PH_Price,PH_ItemID,A167,PH_Date,L167))</f>
        <v>455</v>
      </c>
      <c r="K167" s="2" t="s">
        <v>26</v>
      </c>
      <c r="L167" s="4" t="n">
        <f aca="false">IF(COUNTIF(PH_ItemID,A167)=0,"",SUMPRODUCT(MAX((PH_ItemID=A167)*PH_Date)))</f>
        <v>46319</v>
      </c>
      <c r="M167" s="5" t="n">
        <f aca="true">IF(ISNUMBER(L167),TODAY()-L167,"")</f>
        <v>2</v>
      </c>
      <c r="N167" s="2" t="s">
        <v>27</v>
      </c>
      <c r="O167" s="4" t="str">
        <f aca="false">IF(L167="","",IF(SUMPRODUCT(MAX((PH_ItemID=A167)*(PH_Date&lt;L167)*PH_Date))=0,"",SUMPRODUCT(MAX((PH_ItemID=A167)*(PH_Date&lt;L167)*PH_Date))))</f>
        <v/>
      </c>
      <c r="P167" s="3" t="str">
        <f aca="false">IF(O167="","",AVERAGEIFS(PH_Price,PH_ItemID,A167,PH_Date,O167))</f>
        <v/>
      </c>
      <c r="Q167" s="6" t="str">
        <f aca="false">IF(OR(J167="",P167=""),"",J167/P167-1)</f>
        <v/>
      </c>
      <c r="R167" s="2" t="str">
        <f aca="false">IF(J167="","unpriced",IF(P167="","new",IF(Q167&gt;0.05,"▲ up",IF(Q167&lt;-0.05,"▼ down","► stable"))))</f>
        <v>new</v>
      </c>
      <c r="S167" s="2" t="s">
        <v>753</v>
      </c>
    </row>
    <row r="168" customFormat="false" ht="15" hidden="false" customHeight="false" outlineLevel="0" collapsed="false">
      <c r="A168" s="2" t="s">
        <v>760</v>
      </c>
      <c r="B168" s="2" t="s">
        <v>20</v>
      </c>
      <c r="C168" s="2" t="s">
        <v>761</v>
      </c>
      <c r="D168" s="2" t="s">
        <v>762</v>
      </c>
      <c r="E168" s="2" t="s">
        <v>763</v>
      </c>
      <c r="F168" s="2" t="s">
        <v>650</v>
      </c>
      <c r="G168" s="2" t="s">
        <v>764</v>
      </c>
      <c r="H168" s="2" t="s">
        <v>765</v>
      </c>
      <c r="I168" s="2" t="s">
        <v>752</v>
      </c>
      <c r="J168" s="3" t="n">
        <f aca="false">IF(L168="","",AVERAGEIFS(PH_Price,PH_ItemID,A168,PH_Date,L168))</f>
        <v>1699</v>
      </c>
      <c r="K168" s="2" t="s">
        <v>96</v>
      </c>
      <c r="L168" s="4" t="n">
        <f aca="false">IF(COUNTIF(PH_ItemID,A168)=0,"",SUMPRODUCT(MAX((PH_ItemID=A168)*PH_Date)))</f>
        <v>46319</v>
      </c>
      <c r="M168" s="5" t="n">
        <f aca="true">IF(ISNUMBER(L168),TODAY()-L168,"")</f>
        <v>2</v>
      </c>
      <c r="N168" s="2" t="s">
        <v>27</v>
      </c>
      <c r="O168" s="4" t="str">
        <f aca="false">IF(L168="","",IF(SUMPRODUCT(MAX((PH_ItemID=A168)*(PH_Date&lt;L168)*PH_Date))=0,"",SUMPRODUCT(MAX((PH_ItemID=A168)*(PH_Date&lt;L168)*PH_Date))))</f>
        <v/>
      </c>
      <c r="P168" s="3" t="str">
        <f aca="false">IF(O168="","",AVERAGEIFS(PH_Price,PH_ItemID,A168,PH_Date,O168))</f>
        <v/>
      </c>
      <c r="Q168" s="6" t="str">
        <f aca="false">IF(OR(J168="",P168=""),"",J168/P168-1)</f>
        <v/>
      </c>
      <c r="R168" s="2" t="str">
        <f aca="false">IF(J168="","unpriced",IF(P168="","new",IF(Q168&gt;0.05,"▲ up",IF(Q168&lt;-0.05,"▼ down","► stable"))))</f>
        <v>new</v>
      </c>
      <c r="S168" s="2" t="s">
        <v>766</v>
      </c>
    </row>
    <row r="169" customFormat="false" ht="15" hidden="false" customHeight="false" outlineLevel="0" collapsed="false">
      <c r="A169" s="2" t="s">
        <v>767</v>
      </c>
      <c r="B169" s="2" t="s">
        <v>20</v>
      </c>
      <c r="C169" s="2" t="s">
        <v>768</v>
      </c>
      <c r="D169" s="2" t="s">
        <v>769</v>
      </c>
      <c r="E169" s="2" t="s">
        <v>757</v>
      </c>
      <c r="F169" s="2" t="s">
        <v>758</v>
      </c>
      <c r="G169" s="2" t="s">
        <v>764</v>
      </c>
      <c r="H169" s="2" t="s">
        <v>765</v>
      </c>
      <c r="I169" s="2" t="s">
        <v>752</v>
      </c>
      <c r="J169" s="3" t="n">
        <f aca="false">IF(L169="","",AVERAGEIFS(PH_Price,PH_ItemID,A169,PH_Date,L169))</f>
        <v>402</v>
      </c>
      <c r="K169" s="2" t="s">
        <v>96</v>
      </c>
      <c r="L169" s="4" t="n">
        <f aca="false">IF(COUNTIF(PH_ItemID,A169)=0,"",SUMPRODUCT(MAX((PH_ItemID=A169)*PH_Date)))</f>
        <v>46319</v>
      </c>
      <c r="M169" s="5" t="n">
        <f aca="true">IF(ISNUMBER(L169),TODAY()-L169,"")</f>
        <v>2</v>
      </c>
      <c r="N169" s="2" t="s">
        <v>27</v>
      </c>
      <c r="O169" s="4" t="str">
        <f aca="false">IF(L169="","",IF(SUMPRODUCT(MAX((PH_ItemID=A169)*(PH_Date&lt;L169)*PH_Date))=0,"",SUMPRODUCT(MAX((PH_ItemID=A169)*(PH_Date&lt;L169)*PH_Date))))</f>
        <v/>
      </c>
      <c r="P169" s="3" t="str">
        <f aca="false">IF(O169="","",AVERAGEIFS(PH_Price,PH_ItemID,A169,PH_Date,O169))</f>
        <v/>
      </c>
      <c r="Q169" s="6" t="str">
        <f aca="false">IF(OR(J169="",P169=""),"",J169/P169-1)</f>
        <v/>
      </c>
      <c r="R169" s="2" t="str">
        <f aca="false">IF(J169="","unpriced",IF(P169="","new",IF(Q169&gt;0.05,"▲ up",IF(Q169&lt;-0.05,"▼ down","► stable"))))</f>
        <v>new</v>
      </c>
      <c r="S169" s="2"/>
    </row>
    <row r="170" customFormat="false" ht="15" hidden="false" customHeight="false" outlineLevel="0" collapsed="false">
      <c r="A170" s="2" t="s">
        <v>770</v>
      </c>
      <c r="B170" s="2" t="s">
        <v>20</v>
      </c>
      <c r="C170" s="2" t="s">
        <v>771</v>
      </c>
      <c r="D170" s="2" t="s">
        <v>772</v>
      </c>
      <c r="E170" s="2" t="s">
        <v>773</v>
      </c>
      <c r="F170" s="2" t="s">
        <v>650</v>
      </c>
      <c r="G170" s="2" t="s">
        <v>278</v>
      </c>
      <c r="H170" s="2" t="s">
        <v>774</v>
      </c>
      <c r="I170" s="2" t="s">
        <v>752</v>
      </c>
      <c r="J170" s="3" t="n">
        <f aca="false">IF(L170="","",AVERAGEIFS(PH_Price,PH_ItemID,A170,PH_Date,L170))</f>
        <v>2595</v>
      </c>
      <c r="K170" s="2" t="s">
        <v>26</v>
      </c>
      <c r="L170" s="4" t="n">
        <f aca="false">IF(COUNTIF(PH_ItemID,A170)=0,"",SUMPRODUCT(MAX((PH_ItemID=A170)*PH_Date)))</f>
        <v>46319</v>
      </c>
      <c r="M170" s="5" t="n">
        <f aca="true">IF(ISNUMBER(L170),TODAY()-L170,"")</f>
        <v>2</v>
      </c>
      <c r="N170" s="2" t="s">
        <v>27</v>
      </c>
      <c r="O170" s="4" t="str">
        <f aca="false">IF(L170="","",IF(SUMPRODUCT(MAX((PH_ItemID=A170)*(PH_Date&lt;L170)*PH_Date))=0,"",SUMPRODUCT(MAX((PH_ItemID=A170)*(PH_Date&lt;L170)*PH_Date))))</f>
        <v/>
      </c>
      <c r="P170" s="3" t="str">
        <f aca="false">IF(O170="","",AVERAGEIFS(PH_Price,PH_ItemID,A170,PH_Date,O170))</f>
        <v/>
      </c>
      <c r="Q170" s="6" t="str">
        <f aca="false">IF(OR(J170="",P170=""),"",J170/P170-1)</f>
        <v/>
      </c>
      <c r="R170" s="2" t="str">
        <f aca="false">IF(J170="","unpriced",IF(P170="","new",IF(Q170&gt;0.05,"▲ up",IF(Q170&lt;-0.05,"▼ down","► stable"))))</f>
        <v>new</v>
      </c>
      <c r="S170" s="2"/>
    </row>
    <row r="171" customFormat="false" ht="15" hidden="false" customHeight="false" outlineLevel="0" collapsed="false">
      <c r="A171" s="2" t="s">
        <v>775</v>
      </c>
      <c r="B171" s="2" t="s">
        <v>20</v>
      </c>
      <c r="C171" s="2" t="s">
        <v>776</v>
      </c>
      <c r="D171" s="2" t="s">
        <v>777</v>
      </c>
      <c r="E171" s="2" t="s">
        <v>757</v>
      </c>
      <c r="F171" s="2" t="s">
        <v>758</v>
      </c>
      <c r="G171" s="2" t="s">
        <v>278</v>
      </c>
      <c r="H171" s="2" t="s">
        <v>778</v>
      </c>
      <c r="I171" s="2" t="s">
        <v>752</v>
      </c>
      <c r="J171" s="3" t="n">
        <f aca="false">IF(L171="","",AVERAGEIFS(PH_Price,PH_ItemID,A171,PH_Date,L171))</f>
        <v>609</v>
      </c>
      <c r="K171" s="2" t="s">
        <v>26</v>
      </c>
      <c r="L171" s="4" t="n">
        <f aca="false">IF(COUNTIF(PH_ItemID,A171)=0,"",SUMPRODUCT(MAX((PH_ItemID=A171)*PH_Date)))</f>
        <v>46319</v>
      </c>
      <c r="M171" s="5" t="n">
        <f aca="true">IF(ISNUMBER(L171),TODAY()-L171,"")</f>
        <v>2</v>
      </c>
      <c r="N171" s="2" t="s">
        <v>27</v>
      </c>
      <c r="O171" s="4" t="str">
        <f aca="false">IF(L171="","",IF(SUMPRODUCT(MAX((PH_ItemID=A171)*(PH_Date&lt;L171)*PH_Date))=0,"",SUMPRODUCT(MAX((PH_ItemID=A171)*(PH_Date&lt;L171)*PH_Date))))</f>
        <v/>
      </c>
      <c r="P171" s="3" t="str">
        <f aca="false">IF(O171="","",AVERAGEIFS(PH_Price,PH_ItemID,A171,PH_Date,O171))</f>
        <v/>
      </c>
      <c r="Q171" s="6" t="str">
        <f aca="false">IF(OR(J171="",P171=""),"",J171/P171-1)</f>
        <v/>
      </c>
      <c r="R171" s="2" t="str">
        <f aca="false">IF(J171="","unpriced",IF(P171="","new",IF(Q171&gt;0.05,"▲ up",IF(Q171&lt;-0.05,"▼ down","► stable"))))</f>
        <v>new</v>
      </c>
      <c r="S171" s="2"/>
    </row>
    <row r="172" customFormat="false" ht="15" hidden="false" customHeight="false" outlineLevel="0" collapsed="false">
      <c r="A172" s="2" t="s">
        <v>779</v>
      </c>
      <c r="B172" s="2" t="s">
        <v>20</v>
      </c>
      <c r="C172" s="2" t="s">
        <v>780</v>
      </c>
      <c r="D172" s="2" t="s">
        <v>781</v>
      </c>
      <c r="E172" s="2" t="s">
        <v>782</v>
      </c>
      <c r="F172" s="2" t="s">
        <v>758</v>
      </c>
      <c r="G172" s="2" t="s">
        <v>783</v>
      </c>
      <c r="H172" s="2" t="s">
        <v>784</v>
      </c>
      <c r="I172" s="2" t="s">
        <v>288</v>
      </c>
      <c r="J172" s="3" t="n">
        <f aca="false">IF(L172="","",AVERAGEIFS(PH_Price,PH_ItemID,A172,PH_Date,L172))</f>
        <v>990.5</v>
      </c>
      <c r="K172" s="2" t="s">
        <v>26</v>
      </c>
      <c r="L172" s="4" t="n">
        <f aca="false">IF(COUNTIF(PH_ItemID,A172)=0,"",SUMPRODUCT(MAX((PH_ItemID=A172)*PH_Date)))</f>
        <v>46321</v>
      </c>
      <c r="M172" s="5" t="n">
        <f aca="true">IF(ISNUMBER(L172),TODAY()-L172,"")</f>
        <v>0</v>
      </c>
      <c r="N172" s="2" t="s">
        <v>27</v>
      </c>
      <c r="O172" s="4" t="n">
        <f aca="false">IF(L172="","",IF(SUMPRODUCT(MAX((PH_ItemID=A172)*(PH_Date&lt;L172)*PH_Date))=0,"",SUMPRODUCT(MAX((PH_ItemID=A172)*(PH_Date&lt;L172)*PH_Date))))</f>
        <v>46319</v>
      </c>
      <c r="P172" s="3" t="n">
        <f aca="false">IF(O172="","",AVERAGEIFS(PH_Price,PH_ItemID,A172,PH_Date,O172))</f>
        <v>893</v>
      </c>
      <c r="Q172" s="6" t="n">
        <f aca="false">IF(OR(J172="",P172=""),"",J172/P172-1)</f>
        <v>0.109182530795073</v>
      </c>
      <c r="R172" s="2" t="str">
        <f aca="false">IF(J172="","unpriced",IF(P172="","new",IF(Q172&gt;0.05,"▲ up",IF(Q172&lt;-0.05,"▼ down","► stable"))))</f>
        <v>▲ up</v>
      </c>
      <c r="S172" s="2" t="s">
        <v>785</v>
      </c>
    </row>
    <row r="173" customFormat="false" ht="15" hidden="false" customHeight="false" outlineLevel="0" collapsed="false">
      <c r="A173" s="2" t="s">
        <v>786</v>
      </c>
      <c r="B173" s="2" t="s">
        <v>20</v>
      </c>
      <c r="C173" s="2" t="s">
        <v>787</v>
      </c>
      <c r="D173" s="2" t="s">
        <v>788</v>
      </c>
      <c r="E173" s="2" t="s">
        <v>789</v>
      </c>
      <c r="F173" s="2" t="s">
        <v>758</v>
      </c>
      <c r="G173" s="2" t="s">
        <v>783</v>
      </c>
      <c r="H173" s="2" t="s">
        <v>790</v>
      </c>
      <c r="I173" s="2" t="s">
        <v>752</v>
      </c>
      <c r="J173" s="3" t="n">
        <f aca="false">IF(L173="","",AVERAGEIFS(PH_Price,PH_ItemID,A173,PH_Date,L173))</f>
        <v>562</v>
      </c>
      <c r="K173" s="2" t="s">
        <v>96</v>
      </c>
      <c r="L173" s="4" t="n">
        <f aca="false">IF(COUNTIF(PH_ItemID,A173)=0,"",SUMPRODUCT(MAX((PH_ItemID=A173)*PH_Date)))</f>
        <v>46319</v>
      </c>
      <c r="M173" s="5" t="n">
        <f aca="true">IF(ISNUMBER(L173),TODAY()-L173,"")</f>
        <v>2</v>
      </c>
      <c r="N173" s="2" t="s">
        <v>27</v>
      </c>
      <c r="O173" s="4" t="str">
        <f aca="false">IF(L173="","",IF(SUMPRODUCT(MAX((PH_ItemID=A173)*(PH_Date&lt;L173)*PH_Date))=0,"",SUMPRODUCT(MAX((PH_ItemID=A173)*(PH_Date&lt;L173)*PH_Date))))</f>
        <v/>
      </c>
      <c r="P173" s="3" t="str">
        <f aca="false">IF(O173="","",AVERAGEIFS(PH_Price,PH_ItemID,A173,PH_Date,O173))</f>
        <v/>
      </c>
      <c r="Q173" s="6" t="str">
        <f aca="false">IF(OR(J173="",P173=""),"",J173/P173-1)</f>
        <v/>
      </c>
      <c r="R173" s="2" t="str">
        <f aca="false">IF(J173="","unpriced",IF(P173="","new",IF(Q173&gt;0.05,"▲ up",IF(Q173&lt;-0.05,"▼ down","► stable"))))</f>
        <v>new</v>
      </c>
      <c r="S173" s="2"/>
    </row>
    <row r="174" customFormat="false" ht="15" hidden="false" customHeight="false" outlineLevel="0" collapsed="false">
      <c r="A174" s="2" t="s">
        <v>791</v>
      </c>
      <c r="B174" s="2" t="s">
        <v>20</v>
      </c>
      <c r="C174" s="2" t="s">
        <v>792</v>
      </c>
      <c r="D174" s="2" t="s">
        <v>793</v>
      </c>
      <c r="E174" s="2" t="s">
        <v>789</v>
      </c>
      <c r="F174" s="2" t="s">
        <v>758</v>
      </c>
      <c r="G174" s="2" t="s">
        <v>764</v>
      </c>
      <c r="H174" s="2" t="s">
        <v>765</v>
      </c>
      <c r="I174" s="2" t="s">
        <v>752</v>
      </c>
      <c r="J174" s="3" t="n">
        <f aca="false">IF(L174="","",AVERAGEIFS(PH_Price,PH_ItemID,A174,PH_Date,L174))</f>
        <v>704.5</v>
      </c>
      <c r="K174" s="2" t="s">
        <v>96</v>
      </c>
      <c r="L174" s="4" t="n">
        <f aca="false">IF(COUNTIF(PH_ItemID,A174)=0,"",SUMPRODUCT(MAX((PH_ItemID=A174)*PH_Date)))</f>
        <v>46319</v>
      </c>
      <c r="M174" s="5" t="n">
        <f aca="true">IF(ISNUMBER(L174),TODAY()-L174,"")</f>
        <v>2</v>
      </c>
      <c r="N174" s="2" t="s">
        <v>27</v>
      </c>
      <c r="O174" s="4" t="str">
        <f aca="false">IF(L174="","",IF(SUMPRODUCT(MAX((PH_ItemID=A174)*(PH_Date&lt;L174)*PH_Date))=0,"",SUMPRODUCT(MAX((PH_ItemID=A174)*(PH_Date&lt;L174)*PH_Date))))</f>
        <v/>
      </c>
      <c r="P174" s="3" t="str">
        <f aca="false">IF(O174="","",AVERAGEIFS(PH_Price,PH_ItemID,A174,PH_Date,O174))</f>
        <v/>
      </c>
      <c r="Q174" s="6" t="str">
        <f aca="false">IF(OR(J174="",P174=""),"",J174/P174-1)</f>
        <v/>
      </c>
      <c r="R174" s="2" t="str">
        <f aca="false">IF(J174="","unpriced",IF(P174="","new",IF(Q174&gt;0.05,"▲ up",IF(Q174&lt;-0.05,"▼ down","► stable"))))</f>
        <v>new</v>
      </c>
      <c r="S174" s="2"/>
    </row>
    <row r="175" customFormat="false" ht="15" hidden="false" customHeight="false" outlineLevel="0" collapsed="false">
      <c r="A175" s="2" t="s">
        <v>794</v>
      </c>
      <c r="B175" s="2" t="s">
        <v>20</v>
      </c>
      <c r="C175" s="2" t="s">
        <v>795</v>
      </c>
      <c r="D175" s="2" t="s">
        <v>796</v>
      </c>
      <c r="E175" s="2" t="s">
        <v>797</v>
      </c>
      <c r="F175" s="2" t="s">
        <v>119</v>
      </c>
      <c r="G175" s="2" t="s">
        <v>278</v>
      </c>
      <c r="H175" s="2" t="s">
        <v>798</v>
      </c>
      <c r="I175" s="2" t="s">
        <v>752</v>
      </c>
      <c r="J175" s="3" t="n">
        <f aca="false">IF(L175="","",AVERAGEIFS(PH_Price,PH_ItemID,A175,PH_Date,L175))</f>
        <v>36</v>
      </c>
      <c r="K175" s="2" t="s">
        <v>26</v>
      </c>
      <c r="L175" s="4" t="n">
        <f aca="false">IF(COUNTIF(PH_ItemID,A175)=0,"",SUMPRODUCT(MAX((PH_ItemID=A175)*PH_Date)))</f>
        <v>46319</v>
      </c>
      <c r="M175" s="5" t="n">
        <f aca="true">IF(ISNUMBER(L175),TODAY()-L175,"")</f>
        <v>2</v>
      </c>
      <c r="N175" s="2" t="s">
        <v>27</v>
      </c>
      <c r="O175" s="4" t="str">
        <f aca="false">IF(L175="","",IF(SUMPRODUCT(MAX((PH_ItemID=A175)*(PH_Date&lt;L175)*PH_Date))=0,"",SUMPRODUCT(MAX((PH_ItemID=A175)*(PH_Date&lt;L175)*PH_Date))))</f>
        <v/>
      </c>
      <c r="P175" s="3" t="str">
        <f aca="false">IF(O175="","",AVERAGEIFS(PH_Price,PH_ItemID,A175,PH_Date,O175))</f>
        <v/>
      </c>
      <c r="Q175" s="6" t="str">
        <f aca="false">IF(OR(J175="",P175=""),"",J175/P175-1)</f>
        <v/>
      </c>
      <c r="R175" s="2" t="str">
        <f aca="false">IF(J175="","unpriced",IF(P175="","new",IF(Q175&gt;0.05,"▲ up",IF(Q175&lt;-0.05,"▼ down","► stable"))))</f>
        <v>new</v>
      </c>
      <c r="S175" s="2"/>
    </row>
    <row r="176" customFormat="false" ht="15" hidden="false" customHeight="false" outlineLevel="0" collapsed="false">
      <c r="A176" s="2" t="s">
        <v>799</v>
      </c>
      <c r="B176" s="2" t="s">
        <v>20</v>
      </c>
      <c r="C176" s="2" t="s">
        <v>800</v>
      </c>
      <c r="D176" s="2" t="s">
        <v>801</v>
      </c>
      <c r="E176" s="2" t="s">
        <v>797</v>
      </c>
      <c r="F176" s="2" t="s">
        <v>119</v>
      </c>
      <c r="G176" s="2" t="s">
        <v>278</v>
      </c>
      <c r="H176" s="2" t="s">
        <v>802</v>
      </c>
      <c r="I176" s="2" t="s">
        <v>752</v>
      </c>
      <c r="J176" s="3" t="n">
        <f aca="false">IF(L176="","",AVERAGEIFS(PH_Price,PH_ItemID,A176,PH_Date,L176))</f>
        <v>95</v>
      </c>
      <c r="K176" s="2" t="s">
        <v>26</v>
      </c>
      <c r="L176" s="4" t="n">
        <f aca="false">IF(COUNTIF(PH_ItemID,A176)=0,"",SUMPRODUCT(MAX((PH_ItemID=A176)*PH_Date)))</f>
        <v>46319</v>
      </c>
      <c r="M176" s="5" t="n">
        <f aca="true">IF(ISNUMBER(L176),TODAY()-L176,"")</f>
        <v>2</v>
      </c>
      <c r="N176" s="2" t="s">
        <v>27</v>
      </c>
      <c r="O176" s="4" t="str">
        <f aca="false">IF(L176="","",IF(SUMPRODUCT(MAX((PH_ItemID=A176)*(PH_Date&lt;L176)*PH_Date))=0,"",SUMPRODUCT(MAX((PH_ItemID=A176)*(PH_Date&lt;L176)*PH_Date))))</f>
        <v/>
      </c>
      <c r="P176" s="3" t="str">
        <f aca="false">IF(O176="","",AVERAGEIFS(PH_Price,PH_ItemID,A176,PH_Date,O176))</f>
        <v/>
      </c>
      <c r="Q176" s="6" t="str">
        <f aca="false">IF(OR(J176="",P176=""),"",J176/P176-1)</f>
        <v/>
      </c>
      <c r="R176" s="2" t="str">
        <f aca="false">IF(J176="","unpriced",IF(P176="","new",IF(Q176&gt;0.05,"▲ up",IF(Q176&lt;-0.05,"▼ down","► stable"))))</f>
        <v>new</v>
      </c>
      <c r="S176" s="2"/>
    </row>
    <row r="177" customFormat="false" ht="15" hidden="false" customHeight="false" outlineLevel="0" collapsed="false">
      <c r="A177" s="2" t="s">
        <v>803</v>
      </c>
      <c r="B177" s="2" t="s">
        <v>20</v>
      </c>
      <c r="C177" s="2" t="s">
        <v>804</v>
      </c>
      <c r="D177" s="2" t="s">
        <v>805</v>
      </c>
      <c r="E177" s="2" t="s">
        <v>806</v>
      </c>
      <c r="F177" s="2" t="s">
        <v>573</v>
      </c>
      <c r="G177" s="2" t="s">
        <v>807</v>
      </c>
      <c r="H177" s="2" t="s">
        <v>808</v>
      </c>
      <c r="I177" s="2" t="s">
        <v>288</v>
      </c>
      <c r="J177" s="3" t="n">
        <f aca="false">IF(L177="","",AVERAGEIFS(PH_Price,PH_ItemID,A177,PH_Date,L177))</f>
        <v>38</v>
      </c>
      <c r="K177" s="2" t="s">
        <v>96</v>
      </c>
      <c r="L177" s="4" t="n">
        <f aca="false">IF(COUNTIF(PH_ItemID,A177)=0,"",SUMPRODUCT(MAX((PH_ItemID=A177)*PH_Date)))</f>
        <v>46321</v>
      </c>
      <c r="M177" s="5" t="n">
        <f aca="true">IF(ISNUMBER(L177),TODAY()-L177,"")</f>
        <v>0</v>
      </c>
      <c r="N177" s="2" t="s">
        <v>27</v>
      </c>
      <c r="O177" s="4" t="n">
        <f aca="false">IF(L177="","",IF(SUMPRODUCT(MAX((PH_ItemID=A177)*(PH_Date&lt;L177)*PH_Date))=0,"",SUMPRODUCT(MAX((PH_ItemID=A177)*(PH_Date&lt;L177)*PH_Date))))</f>
        <v>46319</v>
      </c>
      <c r="P177" s="3" t="n">
        <f aca="false">IF(O177="","",AVERAGEIFS(PH_Price,PH_ItemID,A177,PH_Date,O177))</f>
        <v>40</v>
      </c>
      <c r="Q177" s="6" t="n">
        <f aca="false">IF(OR(J177="",P177=""),"",J177/P177-1)</f>
        <v>-0.05</v>
      </c>
      <c r="R177" s="2" t="str">
        <f aca="false">IF(J177="","unpriced",IF(P177="","new",IF(Q177&gt;0.05,"▲ up",IF(Q177&lt;-0.05,"▼ down","► stable"))))</f>
        <v>► stable</v>
      </c>
      <c r="S177" s="2" t="s">
        <v>809</v>
      </c>
    </row>
    <row r="178" customFormat="false" ht="15" hidden="false" customHeight="false" outlineLevel="0" collapsed="false">
      <c r="A178" s="2" t="s">
        <v>810</v>
      </c>
      <c r="B178" s="2" t="s">
        <v>52</v>
      </c>
      <c r="C178" s="2" t="s">
        <v>811</v>
      </c>
      <c r="D178" s="2" t="s">
        <v>812</v>
      </c>
      <c r="E178" s="2" t="s">
        <v>813</v>
      </c>
      <c r="F178" s="2" t="s">
        <v>814</v>
      </c>
      <c r="G178" s="2" t="s">
        <v>278</v>
      </c>
      <c r="H178" s="2" t="s">
        <v>815</v>
      </c>
      <c r="I178" s="2" t="s">
        <v>752</v>
      </c>
      <c r="J178" s="3" t="n">
        <f aca="false">IF(L178="","",AVERAGEIFS(PH_Price,PH_ItemID,A178,PH_Date,L178))</f>
        <v>129</v>
      </c>
      <c r="K178" s="2" t="s">
        <v>26</v>
      </c>
      <c r="L178" s="4" t="n">
        <f aca="false">IF(COUNTIF(PH_ItemID,A178)=0,"",SUMPRODUCT(MAX((PH_ItemID=A178)*PH_Date)))</f>
        <v>46319</v>
      </c>
      <c r="M178" s="5" t="n">
        <f aca="true">IF(ISNUMBER(L178),TODAY()-L178,"")</f>
        <v>2</v>
      </c>
      <c r="N178" s="2" t="s">
        <v>27</v>
      </c>
      <c r="O178" s="4" t="str">
        <f aca="false">IF(L178="","",IF(SUMPRODUCT(MAX((PH_ItemID=A178)*(PH_Date&lt;L178)*PH_Date))=0,"",SUMPRODUCT(MAX((PH_ItemID=A178)*(PH_Date&lt;L178)*PH_Date))))</f>
        <v/>
      </c>
      <c r="P178" s="3" t="str">
        <f aca="false">IF(O178="","",AVERAGEIFS(PH_Price,PH_ItemID,A178,PH_Date,O178))</f>
        <v/>
      </c>
      <c r="Q178" s="6" t="str">
        <f aca="false">IF(OR(J178="",P178=""),"",J178/P178-1)</f>
        <v/>
      </c>
      <c r="R178" s="2" t="str">
        <f aca="false">IF(J178="","unpriced",IF(P178="","new",IF(Q178&gt;0.05,"▲ up",IF(Q178&lt;-0.05,"▼ down","► stable"))))</f>
        <v>new</v>
      </c>
      <c r="S178" s="2"/>
    </row>
    <row r="179" customFormat="false" ht="15" hidden="false" customHeight="false" outlineLevel="0" collapsed="false">
      <c r="A179" s="2" t="s">
        <v>816</v>
      </c>
      <c r="B179" s="2" t="s">
        <v>52</v>
      </c>
      <c r="C179" s="2" t="s">
        <v>817</v>
      </c>
      <c r="D179" s="2" t="s">
        <v>818</v>
      </c>
      <c r="E179" s="2" t="s">
        <v>819</v>
      </c>
      <c r="F179" s="2" t="s">
        <v>622</v>
      </c>
      <c r="G179" s="2" t="s">
        <v>820</v>
      </c>
      <c r="H179" s="2" t="s">
        <v>821</v>
      </c>
      <c r="I179" s="2" t="s">
        <v>752</v>
      </c>
      <c r="J179" s="3" t="n">
        <f aca="false">IF(L179="","",AVERAGEIFS(PH_Price,PH_ItemID,A179,PH_Date,L179))</f>
        <v>302.66</v>
      </c>
      <c r="K179" s="2" t="s">
        <v>96</v>
      </c>
      <c r="L179" s="4" t="n">
        <f aca="false">IF(COUNTIF(PH_ItemID,A179)=0,"",SUMPRODUCT(MAX((PH_ItemID=A179)*PH_Date)))</f>
        <v>46319</v>
      </c>
      <c r="M179" s="5" t="n">
        <f aca="true">IF(ISNUMBER(L179),TODAY()-L179,"")</f>
        <v>2</v>
      </c>
      <c r="N179" s="2" t="s">
        <v>27</v>
      </c>
      <c r="O179" s="4" t="str">
        <f aca="false">IF(L179="","",IF(SUMPRODUCT(MAX((PH_ItemID=A179)*(PH_Date&lt;L179)*PH_Date))=0,"",SUMPRODUCT(MAX((PH_ItemID=A179)*(PH_Date&lt;L179)*PH_Date))))</f>
        <v/>
      </c>
      <c r="P179" s="3" t="str">
        <f aca="false">IF(O179="","",AVERAGEIFS(PH_Price,PH_ItemID,A179,PH_Date,O179))</f>
        <v/>
      </c>
      <c r="Q179" s="6" t="str">
        <f aca="false">IF(OR(J179="",P179=""),"",J179/P179-1)</f>
        <v/>
      </c>
      <c r="R179" s="2" t="str">
        <f aca="false">IF(J179="","unpriced",IF(P179="","new",IF(Q179&gt;0.05,"▲ up",IF(Q179&lt;-0.05,"▼ down","► stable"))))</f>
        <v>new</v>
      </c>
      <c r="S179" s="2"/>
    </row>
    <row r="180" customFormat="false" ht="15" hidden="false" customHeight="false" outlineLevel="0" collapsed="false">
      <c r="A180" s="2" t="s">
        <v>822</v>
      </c>
      <c r="B180" s="2" t="s">
        <v>52</v>
      </c>
      <c r="C180" s="2" t="s">
        <v>823</v>
      </c>
      <c r="D180" s="2" t="s">
        <v>824</v>
      </c>
      <c r="E180" s="2" t="s">
        <v>825</v>
      </c>
      <c r="F180" s="2" t="s">
        <v>119</v>
      </c>
      <c r="G180" s="2" t="s">
        <v>278</v>
      </c>
      <c r="H180" s="2" t="s">
        <v>826</v>
      </c>
      <c r="I180" s="2" t="s">
        <v>752</v>
      </c>
      <c r="J180" s="3" t="n">
        <f aca="false">IF(L180="","",AVERAGEIFS(PH_Price,PH_ItemID,A180,PH_Date,L180))</f>
        <v>565</v>
      </c>
      <c r="K180" s="2" t="s">
        <v>26</v>
      </c>
      <c r="L180" s="4" t="n">
        <f aca="false">IF(COUNTIF(PH_ItemID,A180)=0,"",SUMPRODUCT(MAX((PH_ItemID=A180)*PH_Date)))</f>
        <v>46321</v>
      </c>
      <c r="M180" s="5" t="n">
        <f aca="true">IF(ISNUMBER(L180),TODAY()-L180,"")</f>
        <v>0</v>
      </c>
      <c r="N180" s="2" t="s">
        <v>27</v>
      </c>
      <c r="O180" s="4" t="n">
        <f aca="false">IF(L180="","",IF(SUMPRODUCT(MAX((PH_ItemID=A180)*(PH_Date&lt;L180)*PH_Date))=0,"",SUMPRODUCT(MAX((PH_ItemID=A180)*(PH_Date&lt;L180)*PH_Date))))</f>
        <v>46319</v>
      </c>
      <c r="P180" s="3" t="n">
        <f aca="false">IF(O180="","",AVERAGEIFS(PH_Price,PH_ItemID,A180,PH_Date,O180))</f>
        <v>499</v>
      </c>
      <c r="Q180" s="6" t="n">
        <f aca="false">IF(OR(J180="",P180=""),"",J180/P180-1)</f>
        <v>0.132264529058116</v>
      </c>
      <c r="R180" s="2" t="str">
        <f aca="false">IF(J180="","unpriced",IF(P180="","new",IF(Q180&gt;0.05,"▲ up",IF(Q180&lt;-0.05,"▼ down","► stable"))))</f>
        <v>▲ up</v>
      </c>
      <c r="S180" s="2" t="s">
        <v>827</v>
      </c>
    </row>
    <row r="181" customFormat="false" ht="15" hidden="false" customHeight="false" outlineLevel="0" collapsed="false">
      <c r="A181" s="2" t="s">
        <v>828</v>
      </c>
      <c r="B181" s="2" t="s">
        <v>52</v>
      </c>
      <c r="C181" s="2" t="s">
        <v>829</v>
      </c>
      <c r="D181" s="2" t="s">
        <v>830</v>
      </c>
      <c r="E181" s="2" t="s">
        <v>831</v>
      </c>
      <c r="F181" s="2" t="s">
        <v>638</v>
      </c>
      <c r="G181" s="2"/>
      <c r="H181" s="2"/>
      <c r="I181" s="2" t="s">
        <v>25</v>
      </c>
      <c r="J181" s="3" t="str">
        <f aca="false">IF(L181="","",AVERAGEIFS(PH_Price,PH_ItemID,A181,PH_Date,L181))</f>
        <v/>
      </c>
      <c r="K181" s="2" t="s">
        <v>26</v>
      </c>
      <c r="L181" s="4" t="str">
        <f aca="false">IF(COUNTIF(PH_ItemID,A181)=0,"",SUMPRODUCT(MAX((PH_ItemID=A181)*PH_Date)))</f>
        <v/>
      </c>
      <c r="M181" s="5" t="str">
        <f aca="true">IF(ISNUMBER(L181),TODAY()-L181,"")</f>
        <v/>
      </c>
      <c r="N181" s="2" t="s">
        <v>27</v>
      </c>
      <c r="O181" s="4" t="str">
        <f aca="false">IF(L181="","",IF(SUMPRODUCT(MAX((PH_ItemID=A181)*(PH_Date&lt;L181)*PH_Date))=0,"",SUMPRODUCT(MAX((PH_ItemID=A181)*(PH_Date&lt;L181)*PH_Date))))</f>
        <v/>
      </c>
      <c r="P181" s="3" t="str">
        <f aca="false">IF(O181="","",AVERAGEIFS(PH_Price,PH_ItemID,A181,PH_Date,O181))</f>
        <v/>
      </c>
      <c r="Q181" s="6" t="str">
        <f aca="false">IF(OR(J181="",P181=""),"",J181/P181-1)</f>
        <v/>
      </c>
      <c r="R181" s="2" t="str">
        <f aca="false">IF(J181="","unpriced",IF(P181="","new",IF(Q181&gt;0.05,"▲ up",IF(Q181&lt;-0.05,"▼ down","► stable"))))</f>
        <v>unpriced</v>
      </c>
      <c r="S181" s="2" t="s">
        <v>832</v>
      </c>
    </row>
    <row r="182" customFormat="false" ht="15" hidden="false" customHeight="false" outlineLevel="0" collapsed="false">
      <c r="A182" s="2" t="s">
        <v>833</v>
      </c>
      <c r="B182" s="2" t="s">
        <v>176</v>
      </c>
      <c r="C182" s="2" t="s">
        <v>834</v>
      </c>
      <c r="D182" s="2" t="s">
        <v>835</v>
      </c>
      <c r="E182" s="2" t="s">
        <v>836</v>
      </c>
      <c r="F182" s="2" t="s">
        <v>573</v>
      </c>
      <c r="G182" s="2" t="s">
        <v>278</v>
      </c>
      <c r="H182" s="2" t="s">
        <v>837</v>
      </c>
      <c r="I182" s="2" t="s">
        <v>752</v>
      </c>
      <c r="J182" s="3" t="n">
        <f aca="false">IF(L182="","",AVERAGEIFS(PH_Price,PH_ItemID,A182,PH_Date,L182))</f>
        <v>46</v>
      </c>
      <c r="K182" s="2" t="s">
        <v>26</v>
      </c>
      <c r="L182" s="4" t="n">
        <f aca="false">IF(COUNTIF(PH_ItemID,A182)=0,"",SUMPRODUCT(MAX((PH_ItemID=A182)*PH_Date)))</f>
        <v>46319</v>
      </c>
      <c r="M182" s="5" t="n">
        <f aca="true">IF(ISNUMBER(L182),TODAY()-L182,"")</f>
        <v>2</v>
      </c>
      <c r="N182" s="2" t="s">
        <v>27</v>
      </c>
      <c r="O182" s="4" t="str">
        <f aca="false">IF(L182="","",IF(SUMPRODUCT(MAX((PH_ItemID=A182)*(PH_Date&lt;L182)*PH_Date))=0,"",SUMPRODUCT(MAX((PH_ItemID=A182)*(PH_Date&lt;L182)*PH_Date))))</f>
        <v/>
      </c>
      <c r="P182" s="3" t="str">
        <f aca="false">IF(O182="","",AVERAGEIFS(PH_Price,PH_ItemID,A182,PH_Date,O182))</f>
        <v/>
      </c>
      <c r="Q182" s="6" t="str">
        <f aca="false">IF(OR(J182="",P182=""),"",J182/P182-1)</f>
        <v/>
      </c>
      <c r="R182" s="2" t="str">
        <f aca="false">IF(J182="","unpriced",IF(P182="","new",IF(Q182&gt;0.05,"▲ up",IF(Q182&lt;-0.05,"▼ down","► stable"))))</f>
        <v>new</v>
      </c>
      <c r="S182" s="2"/>
    </row>
    <row r="183" customFormat="false" ht="15" hidden="false" customHeight="false" outlineLevel="0" collapsed="false">
      <c r="A183" s="2" t="s">
        <v>838</v>
      </c>
      <c r="B183" s="2" t="s">
        <v>176</v>
      </c>
      <c r="C183" s="2" t="s">
        <v>839</v>
      </c>
      <c r="D183" s="2" t="s">
        <v>840</v>
      </c>
      <c r="E183" s="2" t="s">
        <v>841</v>
      </c>
      <c r="F183" s="2" t="s">
        <v>119</v>
      </c>
      <c r="G183" s="2" t="s">
        <v>807</v>
      </c>
      <c r="H183" s="2" t="s">
        <v>842</v>
      </c>
      <c r="I183" s="2" t="s">
        <v>752</v>
      </c>
      <c r="J183" s="3" t="n">
        <f aca="false">IF(L183="","",AVERAGEIFS(PH_Price,PH_ItemID,A183,PH_Date,L183))</f>
        <v>37</v>
      </c>
      <c r="K183" s="2" t="s">
        <v>96</v>
      </c>
      <c r="L183" s="4" t="n">
        <f aca="false">IF(COUNTIF(PH_ItemID,A183)=0,"",SUMPRODUCT(MAX((PH_ItemID=A183)*PH_Date)))</f>
        <v>46319</v>
      </c>
      <c r="M183" s="5" t="n">
        <f aca="true">IF(ISNUMBER(L183),TODAY()-L183,"")</f>
        <v>2</v>
      </c>
      <c r="N183" s="2" t="s">
        <v>27</v>
      </c>
      <c r="O183" s="4" t="str">
        <f aca="false">IF(L183="","",IF(SUMPRODUCT(MAX((PH_ItemID=A183)*(PH_Date&lt;L183)*PH_Date))=0,"",SUMPRODUCT(MAX((PH_ItemID=A183)*(PH_Date&lt;L183)*PH_Date))))</f>
        <v/>
      </c>
      <c r="P183" s="3" t="str">
        <f aca="false">IF(O183="","",AVERAGEIFS(PH_Price,PH_ItemID,A183,PH_Date,O183))</f>
        <v/>
      </c>
      <c r="Q183" s="6" t="str">
        <f aca="false">IF(OR(J183="",P183=""),"",J183/P183-1)</f>
        <v/>
      </c>
      <c r="R183" s="2" t="str">
        <f aca="false">IF(J183="","unpriced",IF(P183="","new",IF(Q183&gt;0.05,"▲ up",IF(Q183&lt;-0.05,"▼ down","► stable"))))</f>
        <v>new</v>
      </c>
      <c r="S183" s="2"/>
    </row>
    <row r="184" customFormat="false" ht="15" hidden="false" customHeight="false" outlineLevel="0" collapsed="false">
      <c r="A184" s="2" t="s">
        <v>843</v>
      </c>
      <c r="B184" s="2" t="s">
        <v>176</v>
      </c>
      <c r="C184" s="2" t="s">
        <v>844</v>
      </c>
      <c r="D184" s="2" t="s">
        <v>845</v>
      </c>
      <c r="E184" s="2" t="s">
        <v>841</v>
      </c>
      <c r="F184" s="2" t="s">
        <v>119</v>
      </c>
      <c r="G184" s="2" t="s">
        <v>846</v>
      </c>
      <c r="H184" s="2" t="s">
        <v>847</v>
      </c>
      <c r="I184" s="2" t="s">
        <v>752</v>
      </c>
      <c r="J184" s="3" t="n">
        <f aca="false">IF(L184="","",AVERAGEIFS(PH_Price,PH_ItemID,A184,PH_Date,L184))</f>
        <v>33</v>
      </c>
      <c r="K184" s="2" t="s">
        <v>96</v>
      </c>
      <c r="L184" s="4" t="n">
        <f aca="false">IF(COUNTIF(PH_ItemID,A184)=0,"",SUMPRODUCT(MAX((PH_ItemID=A184)*PH_Date)))</f>
        <v>46319</v>
      </c>
      <c r="M184" s="5" t="n">
        <f aca="true">IF(ISNUMBER(L184),TODAY()-L184,"")</f>
        <v>2</v>
      </c>
      <c r="N184" s="2" t="s">
        <v>27</v>
      </c>
      <c r="O184" s="4" t="str">
        <f aca="false">IF(L184="","",IF(SUMPRODUCT(MAX((PH_ItemID=A184)*(PH_Date&lt;L184)*PH_Date))=0,"",SUMPRODUCT(MAX((PH_ItemID=A184)*(PH_Date&lt;L184)*PH_Date))))</f>
        <v/>
      </c>
      <c r="P184" s="3" t="str">
        <f aca="false">IF(O184="","",AVERAGEIFS(PH_Price,PH_ItemID,A184,PH_Date,O184))</f>
        <v/>
      </c>
      <c r="Q184" s="6" t="str">
        <f aca="false">IF(OR(J184="",P184=""),"",J184/P184-1)</f>
        <v/>
      </c>
      <c r="R184" s="2" t="str">
        <f aca="false">IF(J184="","unpriced",IF(P184="","new",IF(Q184&gt;0.05,"▲ up",IF(Q184&lt;-0.05,"▼ down","► stable"))))</f>
        <v>new</v>
      </c>
      <c r="S184" s="2"/>
    </row>
    <row r="185" customFormat="false" ht="15" hidden="false" customHeight="false" outlineLevel="0" collapsed="false">
      <c r="A185" s="2" t="s">
        <v>848</v>
      </c>
      <c r="B185" s="2" t="s">
        <v>176</v>
      </c>
      <c r="C185" s="2" t="s">
        <v>849</v>
      </c>
      <c r="D185" s="2" t="s">
        <v>850</v>
      </c>
      <c r="E185" s="2" t="s">
        <v>851</v>
      </c>
      <c r="F185" s="2" t="s">
        <v>119</v>
      </c>
      <c r="G185" s="2" t="s">
        <v>846</v>
      </c>
      <c r="H185" s="2" t="s">
        <v>847</v>
      </c>
      <c r="I185" s="2" t="s">
        <v>752</v>
      </c>
      <c r="J185" s="3" t="n">
        <f aca="false">IF(L185="","",AVERAGEIFS(PH_Price,PH_ItemID,A185,PH_Date,L185))</f>
        <v>10.5</v>
      </c>
      <c r="K185" s="2" t="s">
        <v>96</v>
      </c>
      <c r="L185" s="4" t="n">
        <f aca="false">IF(COUNTIF(PH_ItemID,A185)=0,"",SUMPRODUCT(MAX((PH_ItemID=A185)*PH_Date)))</f>
        <v>46319</v>
      </c>
      <c r="M185" s="5" t="n">
        <f aca="true">IF(ISNUMBER(L185),TODAY()-L185,"")</f>
        <v>2</v>
      </c>
      <c r="N185" s="2" t="s">
        <v>27</v>
      </c>
      <c r="O185" s="4" t="str">
        <f aca="false">IF(L185="","",IF(SUMPRODUCT(MAX((PH_ItemID=A185)*(PH_Date&lt;L185)*PH_Date))=0,"",SUMPRODUCT(MAX((PH_ItemID=A185)*(PH_Date&lt;L185)*PH_Date))))</f>
        <v/>
      </c>
      <c r="P185" s="3" t="str">
        <f aca="false">IF(O185="","",AVERAGEIFS(PH_Price,PH_ItemID,A185,PH_Date,O185))</f>
        <v/>
      </c>
      <c r="Q185" s="6" t="str">
        <f aca="false">IF(OR(J185="",P185=""),"",J185/P185-1)</f>
        <v/>
      </c>
      <c r="R185" s="2" t="str">
        <f aca="false">IF(J185="","unpriced",IF(P185="","new",IF(Q185&gt;0.05,"▲ up",IF(Q185&lt;-0.05,"▼ down","► stable"))))</f>
        <v>new</v>
      </c>
      <c r="S185" s="2"/>
    </row>
    <row r="186" customFormat="false" ht="15" hidden="false" customHeight="false" outlineLevel="0" collapsed="false">
      <c r="A186" s="2" t="s">
        <v>852</v>
      </c>
      <c r="B186" s="2" t="s">
        <v>176</v>
      </c>
      <c r="C186" s="2" t="s">
        <v>853</v>
      </c>
      <c r="D186" s="2" t="s">
        <v>854</v>
      </c>
      <c r="E186" s="2" t="s">
        <v>855</v>
      </c>
      <c r="F186" s="2" t="s">
        <v>119</v>
      </c>
      <c r="G186" s="2" t="s">
        <v>278</v>
      </c>
      <c r="H186" s="2" t="s">
        <v>856</v>
      </c>
      <c r="I186" s="2" t="s">
        <v>752</v>
      </c>
      <c r="J186" s="3" t="n">
        <f aca="false">IF(L186="","",AVERAGEIFS(PH_Price,PH_ItemID,A186,PH_Date,L186))</f>
        <v>290</v>
      </c>
      <c r="K186" s="2" t="s">
        <v>26</v>
      </c>
      <c r="L186" s="4" t="n">
        <f aca="false">IF(COUNTIF(PH_ItemID,A186)=0,"",SUMPRODUCT(MAX((PH_ItemID=A186)*PH_Date)))</f>
        <v>46319</v>
      </c>
      <c r="M186" s="5" t="n">
        <f aca="true">IF(ISNUMBER(L186),TODAY()-L186,"")</f>
        <v>2</v>
      </c>
      <c r="N186" s="2" t="s">
        <v>27</v>
      </c>
      <c r="O186" s="4" t="str">
        <f aca="false">IF(L186="","",IF(SUMPRODUCT(MAX((PH_ItemID=A186)*(PH_Date&lt;L186)*PH_Date))=0,"",SUMPRODUCT(MAX((PH_ItemID=A186)*(PH_Date&lt;L186)*PH_Date))))</f>
        <v/>
      </c>
      <c r="P186" s="3" t="str">
        <f aca="false">IF(O186="","",AVERAGEIFS(PH_Price,PH_ItemID,A186,PH_Date,O186))</f>
        <v/>
      </c>
      <c r="Q186" s="6" t="str">
        <f aca="false">IF(OR(J186="",P186=""),"",J186/P186-1)</f>
        <v/>
      </c>
      <c r="R186" s="2" t="str">
        <f aca="false">IF(J186="","unpriced",IF(P186="","new",IF(Q186&gt;0.05,"▲ up",IF(Q186&lt;-0.05,"▼ down","► stable"))))</f>
        <v>new</v>
      </c>
      <c r="S186" s="2"/>
    </row>
    <row r="187" customFormat="false" ht="15" hidden="false" customHeight="false" outlineLevel="0" collapsed="false">
      <c r="A187" s="2" t="s">
        <v>857</v>
      </c>
      <c r="B187" s="2" t="s">
        <v>176</v>
      </c>
      <c r="C187" s="2" t="s">
        <v>858</v>
      </c>
      <c r="D187" s="2" t="s">
        <v>859</v>
      </c>
      <c r="E187" s="2" t="s">
        <v>860</v>
      </c>
      <c r="F187" s="2" t="s">
        <v>119</v>
      </c>
      <c r="G187" s="2" t="s">
        <v>278</v>
      </c>
      <c r="H187" s="2" t="s">
        <v>861</v>
      </c>
      <c r="I187" s="2" t="s">
        <v>752</v>
      </c>
      <c r="J187" s="3" t="n">
        <f aca="false">IF(L187="","",AVERAGEIFS(PH_Price,PH_ItemID,A187,PH_Date,L187))</f>
        <v>51</v>
      </c>
      <c r="K187" s="2" t="s">
        <v>26</v>
      </c>
      <c r="L187" s="4" t="n">
        <f aca="false">IF(COUNTIF(PH_ItemID,A187)=0,"",SUMPRODUCT(MAX((PH_ItemID=A187)*PH_Date)))</f>
        <v>46319</v>
      </c>
      <c r="M187" s="5" t="n">
        <f aca="true">IF(ISNUMBER(L187),TODAY()-L187,"")</f>
        <v>2</v>
      </c>
      <c r="N187" s="2" t="s">
        <v>27</v>
      </c>
      <c r="O187" s="4" t="str">
        <f aca="false">IF(L187="","",IF(SUMPRODUCT(MAX((PH_ItemID=A187)*(PH_Date&lt;L187)*PH_Date))=0,"",SUMPRODUCT(MAX((PH_ItemID=A187)*(PH_Date&lt;L187)*PH_Date))))</f>
        <v/>
      </c>
      <c r="P187" s="3" t="str">
        <f aca="false">IF(O187="","",AVERAGEIFS(PH_Price,PH_ItemID,A187,PH_Date,O187))</f>
        <v/>
      </c>
      <c r="Q187" s="6" t="str">
        <f aca="false">IF(OR(J187="",P187=""),"",J187/P187-1)</f>
        <v/>
      </c>
      <c r="R187" s="2" t="str">
        <f aca="false">IF(J187="","unpriced",IF(P187="","new",IF(Q187&gt;0.05,"▲ up",IF(Q187&lt;-0.05,"▼ down","► stable"))))</f>
        <v>new</v>
      </c>
      <c r="S187" s="2"/>
    </row>
    <row r="188" customFormat="false" ht="15" hidden="false" customHeight="false" outlineLevel="0" collapsed="false">
      <c r="A188" s="2" t="s">
        <v>862</v>
      </c>
      <c r="B188" s="2" t="s">
        <v>176</v>
      </c>
      <c r="C188" s="2" t="s">
        <v>863</v>
      </c>
      <c r="D188" s="2" t="s">
        <v>864</v>
      </c>
      <c r="E188" s="2" t="s">
        <v>841</v>
      </c>
      <c r="F188" s="2" t="s">
        <v>119</v>
      </c>
      <c r="G188" s="2" t="s">
        <v>278</v>
      </c>
      <c r="H188" s="2" t="s">
        <v>865</v>
      </c>
      <c r="I188" s="2" t="s">
        <v>288</v>
      </c>
      <c r="J188" s="3" t="n">
        <f aca="false">IF(L188="","",AVERAGEIFS(PH_Price,PH_ItemID,A188,PH_Date,L188))</f>
        <v>79</v>
      </c>
      <c r="K188" s="2" t="s">
        <v>26</v>
      </c>
      <c r="L188" s="4" t="n">
        <f aca="false">IF(COUNTIF(PH_ItemID,A188)=0,"",SUMPRODUCT(MAX((PH_ItemID=A188)*PH_Date)))</f>
        <v>46319</v>
      </c>
      <c r="M188" s="5" t="n">
        <f aca="true">IF(ISNUMBER(L188),TODAY()-L188,"")</f>
        <v>2</v>
      </c>
      <c r="N188" s="2" t="s">
        <v>27</v>
      </c>
      <c r="O188" s="4" t="str">
        <f aca="false">IF(L188="","",IF(SUMPRODUCT(MAX((PH_ItemID=A188)*(PH_Date&lt;L188)*PH_Date))=0,"",SUMPRODUCT(MAX((PH_ItemID=A188)*(PH_Date&lt;L188)*PH_Date))))</f>
        <v/>
      </c>
      <c r="P188" s="3" t="str">
        <f aca="false">IF(O188="","",AVERAGEIFS(PH_Price,PH_ItemID,A188,PH_Date,O188))</f>
        <v/>
      </c>
      <c r="Q188" s="6" t="str">
        <f aca="false">IF(OR(J188="",P188=""),"",J188/P188-1)</f>
        <v/>
      </c>
      <c r="R188" s="2" t="str">
        <f aca="false">IF(J188="","unpriced",IF(P188="","new",IF(Q188&gt;0.05,"▲ up",IF(Q188&lt;-0.05,"▼ down","► stable"))))</f>
        <v>new</v>
      </c>
      <c r="S188" s="2" t="s">
        <v>866</v>
      </c>
    </row>
    <row r="189" customFormat="false" ht="15" hidden="false" customHeight="false" outlineLevel="0" collapsed="false">
      <c r="A189" s="2" t="s">
        <v>867</v>
      </c>
      <c r="B189" s="2" t="s">
        <v>176</v>
      </c>
      <c r="C189" s="2" t="s">
        <v>868</v>
      </c>
      <c r="D189" s="2" t="s">
        <v>869</v>
      </c>
      <c r="E189" s="2" t="s">
        <v>855</v>
      </c>
      <c r="F189" s="2" t="s">
        <v>119</v>
      </c>
      <c r="G189" s="2" t="s">
        <v>278</v>
      </c>
      <c r="H189" s="2" t="s">
        <v>870</v>
      </c>
      <c r="I189" s="2" t="s">
        <v>752</v>
      </c>
      <c r="J189" s="3" t="n">
        <f aca="false">IF(L189="","",AVERAGEIFS(PH_Price,PH_ItemID,A189,PH_Date,L189))</f>
        <v>299</v>
      </c>
      <c r="K189" s="2" t="s">
        <v>26</v>
      </c>
      <c r="L189" s="4" t="n">
        <f aca="false">IF(COUNTIF(PH_ItemID,A189)=0,"",SUMPRODUCT(MAX((PH_ItemID=A189)*PH_Date)))</f>
        <v>46319</v>
      </c>
      <c r="M189" s="5" t="n">
        <f aca="true">IF(ISNUMBER(L189),TODAY()-L189,"")</f>
        <v>2</v>
      </c>
      <c r="N189" s="2" t="s">
        <v>27</v>
      </c>
      <c r="O189" s="4" t="str">
        <f aca="false">IF(L189="","",IF(SUMPRODUCT(MAX((PH_ItemID=A189)*(PH_Date&lt;L189)*PH_Date))=0,"",SUMPRODUCT(MAX((PH_ItemID=A189)*(PH_Date&lt;L189)*PH_Date))))</f>
        <v/>
      </c>
      <c r="P189" s="3" t="str">
        <f aca="false">IF(O189="","",AVERAGEIFS(PH_Price,PH_ItemID,A189,PH_Date,O189))</f>
        <v/>
      </c>
      <c r="Q189" s="6" t="str">
        <f aca="false">IF(OR(J189="",P189=""),"",J189/P189-1)</f>
        <v/>
      </c>
      <c r="R189" s="2" t="str">
        <f aca="false">IF(J189="","unpriced",IF(P189="","new",IF(Q189&gt;0.05,"▲ up",IF(Q189&lt;-0.05,"▼ down","► stable"))))</f>
        <v>new</v>
      </c>
      <c r="S189" s="2"/>
    </row>
    <row r="190" customFormat="false" ht="15" hidden="false" customHeight="false" outlineLevel="0" collapsed="false">
      <c r="A190" s="2" t="s">
        <v>871</v>
      </c>
      <c r="B190" s="2" t="s">
        <v>176</v>
      </c>
      <c r="C190" s="2" t="s">
        <v>872</v>
      </c>
      <c r="D190" s="2" t="s">
        <v>873</v>
      </c>
      <c r="E190" s="2" t="s">
        <v>855</v>
      </c>
      <c r="F190" s="2" t="s">
        <v>119</v>
      </c>
      <c r="G190" s="2" t="s">
        <v>874</v>
      </c>
      <c r="H190" s="2" t="s">
        <v>875</v>
      </c>
      <c r="I190" s="2" t="s">
        <v>752</v>
      </c>
      <c r="J190" s="3" t="n">
        <f aca="false">IF(L190="","",AVERAGEIFS(PH_Price,PH_ItemID,A190,PH_Date,L190))</f>
        <v>626.15</v>
      </c>
      <c r="K190" s="2" t="s">
        <v>26</v>
      </c>
      <c r="L190" s="4" t="n">
        <f aca="false">IF(COUNTIF(PH_ItemID,A190)=0,"",SUMPRODUCT(MAX((PH_ItemID=A190)*PH_Date)))</f>
        <v>46321</v>
      </c>
      <c r="M190" s="5" t="n">
        <f aca="true">IF(ISNUMBER(L190),TODAY()-L190,"")</f>
        <v>0</v>
      </c>
      <c r="N190" s="2" t="s">
        <v>27</v>
      </c>
      <c r="O190" s="4" t="n">
        <f aca="false">IF(L190="","",IF(SUMPRODUCT(MAX((PH_ItemID=A190)*(PH_Date&lt;L190)*PH_Date))=0,"",SUMPRODUCT(MAX((PH_ItemID=A190)*(PH_Date&lt;L190)*PH_Date))))</f>
        <v>46319</v>
      </c>
      <c r="P190" s="3" t="n">
        <f aca="false">IF(O190="","",AVERAGEIFS(PH_Price,PH_ItemID,A190,PH_Date,O190))</f>
        <v>590.71</v>
      </c>
      <c r="Q190" s="6" t="n">
        <f aca="false">IF(OR(J190="",P190=""),"",J190/P190-1)</f>
        <v>0.0599955985170386</v>
      </c>
      <c r="R190" s="2" t="str">
        <f aca="false">IF(J190="","unpriced",IF(P190="","new",IF(Q190&gt;0.05,"▲ up",IF(Q190&lt;-0.05,"▼ down","► stable"))))</f>
        <v>▲ up</v>
      </c>
      <c r="S190" s="2"/>
    </row>
    <row r="191" customFormat="false" ht="15" hidden="false" customHeight="false" outlineLevel="0" collapsed="false">
      <c r="A191" s="2" t="s">
        <v>876</v>
      </c>
      <c r="B191" s="2" t="s">
        <v>176</v>
      </c>
      <c r="C191" s="2" t="s">
        <v>877</v>
      </c>
      <c r="D191" s="2" t="s">
        <v>878</v>
      </c>
      <c r="E191" s="2" t="s">
        <v>879</v>
      </c>
      <c r="F191" s="2" t="s">
        <v>880</v>
      </c>
      <c r="G191" s="2" t="s">
        <v>278</v>
      </c>
      <c r="H191" s="2" t="s">
        <v>881</v>
      </c>
      <c r="I191" s="2" t="s">
        <v>752</v>
      </c>
      <c r="J191" s="3" t="n">
        <f aca="false">IF(L191="","",AVERAGEIFS(PH_Price,PH_ItemID,A191,PH_Date,L191))</f>
        <v>2399</v>
      </c>
      <c r="K191" s="2" t="s">
        <v>26</v>
      </c>
      <c r="L191" s="4" t="n">
        <f aca="false">IF(COUNTIF(PH_ItemID,A191)=0,"",SUMPRODUCT(MAX((PH_ItemID=A191)*PH_Date)))</f>
        <v>46321</v>
      </c>
      <c r="M191" s="5" t="n">
        <f aca="true">IF(ISNUMBER(L191),TODAY()-L191,"")</f>
        <v>0</v>
      </c>
      <c r="N191" s="2" t="s">
        <v>104</v>
      </c>
      <c r="O191" s="4" t="n">
        <f aca="false">IF(L191="","",IF(SUMPRODUCT(MAX((PH_ItemID=A191)*(PH_Date&lt;L191)*PH_Date))=0,"",SUMPRODUCT(MAX((PH_ItemID=A191)*(PH_Date&lt;L191)*PH_Date))))</f>
        <v>46319</v>
      </c>
      <c r="P191" s="3" t="n">
        <f aca="false">IF(O191="","",AVERAGEIFS(PH_Price,PH_ItemID,A191,PH_Date,O191))</f>
        <v>2049</v>
      </c>
      <c r="Q191" s="6" t="n">
        <f aca="false">IF(OR(J191="",P191=""),"",J191/P191-1)</f>
        <v>0.170815031722792</v>
      </c>
      <c r="R191" s="2" t="str">
        <f aca="false">IF(J191="","unpriced",IF(P191="","new",IF(Q191&gt;0.05,"▲ up",IF(Q191&lt;-0.05,"▼ down","► stable"))))</f>
        <v>▲ up</v>
      </c>
      <c r="S191" s="2" t="s">
        <v>882</v>
      </c>
    </row>
    <row r="192" customFormat="false" ht="15" hidden="false" customHeight="false" outlineLevel="0" collapsed="false">
      <c r="A192" s="2" t="s">
        <v>883</v>
      </c>
      <c r="B192" s="2" t="s">
        <v>176</v>
      </c>
      <c r="C192" s="2" t="s">
        <v>884</v>
      </c>
      <c r="D192" s="2" t="s">
        <v>885</v>
      </c>
      <c r="E192" s="2" t="s">
        <v>886</v>
      </c>
      <c r="F192" s="2" t="s">
        <v>119</v>
      </c>
      <c r="G192" s="2" t="s">
        <v>278</v>
      </c>
      <c r="H192" s="2" t="s">
        <v>887</v>
      </c>
      <c r="I192" s="2" t="s">
        <v>752</v>
      </c>
      <c r="J192" s="3" t="n">
        <f aca="false">IF(L192="","",AVERAGEIFS(PH_Price,PH_ItemID,A192,PH_Date,L192))</f>
        <v>30</v>
      </c>
      <c r="K192" s="2" t="s">
        <v>26</v>
      </c>
      <c r="L192" s="4" t="n">
        <f aca="false">IF(COUNTIF(PH_ItemID,A192)=0,"",SUMPRODUCT(MAX((PH_ItemID=A192)*PH_Date)))</f>
        <v>46319</v>
      </c>
      <c r="M192" s="5" t="n">
        <f aca="true">IF(ISNUMBER(L192),TODAY()-L192,"")</f>
        <v>2</v>
      </c>
      <c r="N192" s="2" t="s">
        <v>27</v>
      </c>
      <c r="O192" s="4" t="str">
        <f aca="false">IF(L192="","",IF(SUMPRODUCT(MAX((PH_ItemID=A192)*(PH_Date&lt;L192)*PH_Date))=0,"",SUMPRODUCT(MAX((PH_ItemID=A192)*(PH_Date&lt;L192)*PH_Date))))</f>
        <v/>
      </c>
      <c r="P192" s="3" t="str">
        <f aca="false">IF(O192="","",AVERAGEIFS(PH_Price,PH_ItemID,A192,PH_Date,O192))</f>
        <v/>
      </c>
      <c r="Q192" s="6" t="str">
        <f aca="false">IF(OR(J192="",P192=""),"",J192/P192-1)</f>
        <v/>
      </c>
      <c r="R192" s="2" t="str">
        <f aca="false">IF(J192="","unpriced",IF(P192="","new",IF(Q192&gt;0.05,"▲ up",IF(Q192&lt;-0.05,"▼ down","► stable"))))</f>
        <v>new</v>
      </c>
      <c r="S192" s="2"/>
    </row>
    <row r="193" customFormat="false" ht="15" hidden="false" customHeight="false" outlineLevel="0" collapsed="false">
      <c r="A193" s="2" t="s">
        <v>888</v>
      </c>
      <c r="B193" s="2" t="s">
        <v>176</v>
      </c>
      <c r="C193" s="2" t="s">
        <v>889</v>
      </c>
      <c r="D193" s="2" t="s">
        <v>890</v>
      </c>
      <c r="E193" s="2" t="s">
        <v>250</v>
      </c>
      <c r="F193" s="2" t="s">
        <v>202</v>
      </c>
      <c r="G193" s="2"/>
      <c r="H193" s="2"/>
      <c r="I193" s="2" t="s">
        <v>25</v>
      </c>
      <c r="J193" s="3" t="str">
        <f aca="false">IF(L193="","",AVERAGEIFS(PH_Price,PH_ItemID,A193,PH_Date,L193))</f>
        <v/>
      </c>
      <c r="K193" s="2" t="s">
        <v>26</v>
      </c>
      <c r="L193" s="4" t="str">
        <f aca="false">IF(COUNTIF(PH_ItemID,A193)=0,"",SUMPRODUCT(MAX((PH_ItemID=A193)*PH_Date)))</f>
        <v/>
      </c>
      <c r="M193" s="5" t="str">
        <f aca="true">IF(ISNUMBER(L193),TODAY()-L193,"")</f>
        <v/>
      </c>
      <c r="N193" s="2" t="s">
        <v>27</v>
      </c>
      <c r="O193" s="4" t="str">
        <f aca="false">IF(L193="","",IF(SUMPRODUCT(MAX((PH_ItemID=A193)*(PH_Date&lt;L193)*PH_Date))=0,"",SUMPRODUCT(MAX((PH_ItemID=A193)*(PH_Date&lt;L193)*PH_Date))))</f>
        <v/>
      </c>
      <c r="P193" s="3" t="str">
        <f aca="false">IF(O193="","",AVERAGEIFS(PH_Price,PH_ItemID,A193,PH_Date,O193))</f>
        <v/>
      </c>
      <c r="Q193" s="6" t="str">
        <f aca="false">IF(OR(J193="",P193=""),"",J193/P193-1)</f>
        <v/>
      </c>
      <c r="R193" s="2" t="str">
        <f aca="false">IF(J193="","unpriced",IF(P193="","new",IF(Q193&gt;0.05,"▲ up",IF(Q193&lt;-0.05,"▼ down","► stable"))))</f>
        <v>unpriced</v>
      </c>
      <c r="S193" s="2" t="s">
        <v>891</v>
      </c>
    </row>
    <row r="194" customFormat="false" ht="15" hidden="false" customHeight="false" outlineLevel="0" collapsed="false">
      <c r="A194" s="2" t="s">
        <v>892</v>
      </c>
      <c r="B194" s="2" t="s">
        <v>107</v>
      </c>
      <c r="C194" s="2" t="s">
        <v>893</v>
      </c>
      <c r="D194" s="2" t="s">
        <v>894</v>
      </c>
      <c r="E194" s="2" t="s">
        <v>895</v>
      </c>
      <c r="F194" s="2" t="s">
        <v>93</v>
      </c>
      <c r="G194" s="2" t="s">
        <v>278</v>
      </c>
      <c r="H194" s="2" t="s">
        <v>896</v>
      </c>
      <c r="I194" s="2" t="s">
        <v>752</v>
      </c>
      <c r="J194" s="3" t="n">
        <f aca="false">IF(L194="","",AVERAGEIFS(PH_Price,PH_ItemID,A194,PH_Date,L194))</f>
        <v>155</v>
      </c>
      <c r="K194" s="2" t="s">
        <v>26</v>
      </c>
      <c r="L194" s="4" t="n">
        <f aca="false">IF(COUNTIF(PH_ItemID,A194)=0,"",SUMPRODUCT(MAX((PH_ItemID=A194)*PH_Date)))</f>
        <v>46319</v>
      </c>
      <c r="M194" s="5" t="n">
        <f aca="true">IF(ISNUMBER(L194),TODAY()-L194,"")</f>
        <v>2</v>
      </c>
      <c r="N194" s="2" t="s">
        <v>27</v>
      </c>
      <c r="O194" s="4" t="str">
        <f aca="false">IF(L194="","",IF(SUMPRODUCT(MAX((PH_ItemID=A194)*(PH_Date&lt;L194)*PH_Date))=0,"",SUMPRODUCT(MAX((PH_ItemID=A194)*(PH_Date&lt;L194)*PH_Date))))</f>
        <v/>
      </c>
      <c r="P194" s="3" t="str">
        <f aca="false">IF(O194="","",AVERAGEIFS(PH_Price,PH_ItemID,A194,PH_Date,O194))</f>
        <v/>
      </c>
      <c r="Q194" s="6" t="str">
        <f aca="false">IF(OR(J194="",P194=""),"",J194/P194-1)</f>
        <v/>
      </c>
      <c r="R194" s="2" t="str">
        <f aca="false">IF(J194="","unpriced",IF(P194="","new",IF(Q194&gt;0.05,"▲ up",IF(Q194&lt;-0.05,"▼ down","► stable"))))</f>
        <v>new</v>
      </c>
      <c r="S194" s="2"/>
    </row>
    <row r="195" customFormat="false" ht="15" hidden="false" customHeight="false" outlineLevel="0" collapsed="false">
      <c r="A195" s="2" t="s">
        <v>897</v>
      </c>
      <c r="B195" s="2" t="s">
        <v>107</v>
      </c>
      <c r="C195" s="2" t="s">
        <v>898</v>
      </c>
      <c r="D195" s="2" t="s">
        <v>899</v>
      </c>
      <c r="E195" s="2" t="s">
        <v>900</v>
      </c>
      <c r="F195" s="2" t="s">
        <v>93</v>
      </c>
      <c r="G195" s="2" t="s">
        <v>278</v>
      </c>
      <c r="H195" s="2" t="s">
        <v>901</v>
      </c>
      <c r="I195" s="2" t="s">
        <v>752</v>
      </c>
      <c r="J195" s="3" t="n">
        <f aca="false">IF(L195="","",AVERAGEIFS(PH_Price,PH_ItemID,A195,PH_Date,L195))</f>
        <v>341</v>
      </c>
      <c r="K195" s="2" t="s">
        <v>26</v>
      </c>
      <c r="L195" s="4" t="n">
        <f aca="false">IF(COUNTIF(PH_ItemID,A195)=0,"",SUMPRODUCT(MAX((PH_ItemID=A195)*PH_Date)))</f>
        <v>46319</v>
      </c>
      <c r="M195" s="5" t="n">
        <f aca="true">IF(ISNUMBER(L195),TODAY()-L195,"")</f>
        <v>2</v>
      </c>
      <c r="N195" s="2" t="s">
        <v>27</v>
      </c>
      <c r="O195" s="4" t="str">
        <f aca="false">IF(L195="","",IF(SUMPRODUCT(MAX((PH_ItemID=A195)*(PH_Date&lt;L195)*PH_Date))=0,"",SUMPRODUCT(MAX((PH_ItemID=A195)*(PH_Date&lt;L195)*PH_Date))))</f>
        <v/>
      </c>
      <c r="P195" s="3" t="str">
        <f aca="false">IF(O195="","",AVERAGEIFS(PH_Price,PH_ItemID,A195,PH_Date,O195))</f>
        <v/>
      </c>
      <c r="Q195" s="6" t="str">
        <f aca="false">IF(OR(J195="",P195=""),"",J195/P195-1)</f>
        <v/>
      </c>
      <c r="R195" s="2" t="str">
        <f aca="false">IF(J195="","unpriced",IF(P195="","new",IF(Q195&gt;0.05,"▲ up",IF(Q195&lt;-0.05,"▼ down","► stable"))))</f>
        <v>new</v>
      </c>
      <c r="S195" s="2"/>
    </row>
    <row r="196" customFormat="false" ht="15" hidden="false" customHeight="false" outlineLevel="0" collapsed="false">
      <c r="A196" s="2" t="s">
        <v>902</v>
      </c>
      <c r="B196" s="2" t="s">
        <v>107</v>
      </c>
      <c r="C196" s="2" t="s">
        <v>903</v>
      </c>
      <c r="D196" s="2" t="s">
        <v>904</v>
      </c>
      <c r="E196" s="2" t="s">
        <v>905</v>
      </c>
      <c r="F196" s="2" t="s">
        <v>119</v>
      </c>
      <c r="G196" s="2" t="s">
        <v>278</v>
      </c>
      <c r="H196" s="2" t="s">
        <v>906</v>
      </c>
      <c r="I196" s="2" t="s">
        <v>752</v>
      </c>
      <c r="J196" s="3" t="n">
        <f aca="false">IF(L196="","",AVERAGEIFS(PH_Price,PH_ItemID,A196,PH_Date,L196))</f>
        <v>216</v>
      </c>
      <c r="K196" s="2" t="s">
        <v>26</v>
      </c>
      <c r="L196" s="4" t="n">
        <f aca="false">IF(COUNTIF(PH_ItemID,A196)=0,"",SUMPRODUCT(MAX((PH_ItemID=A196)*PH_Date)))</f>
        <v>46319</v>
      </c>
      <c r="M196" s="5" t="n">
        <f aca="true">IF(ISNUMBER(L196),TODAY()-L196,"")</f>
        <v>2</v>
      </c>
      <c r="N196" s="2" t="s">
        <v>27</v>
      </c>
      <c r="O196" s="4" t="str">
        <f aca="false">IF(L196="","",IF(SUMPRODUCT(MAX((PH_ItemID=A196)*(PH_Date&lt;L196)*PH_Date))=0,"",SUMPRODUCT(MAX((PH_ItemID=A196)*(PH_Date&lt;L196)*PH_Date))))</f>
        <v/>
      </c>
      <c r="P196" s="3" t="str">
        <f aca="false">IF(O196="","",AVERAGEIFS(PH_Price,PH_ItemID,A196,PH_Date,O196))</f>
        <v/>
      </c>
      <c r="Q196" s="6" t="str">
        <f aca="false">IF(OR(J196="",P196=""),"",J196/P196-1)</f>
        <v/>
      </c>
      <c r="R196" s="2" t="str">
        <f aca="false">IF(J196="","unpriced",IF(P196="","new",IF(Q196&gt;0.05,"▲ up",IF(Q196&lt;-0.05,"▼ down","► stable"))))</f>
        <v>new</v>
      </c>
      <c r="S196" s="2"/>
    </row>
    <row r="197" customFormat="false" ht="15" hidden="false" customHeight="false" outlineLevel="0" collapsed="false">
      <c r="A197" s="2" t="s">
        <v>907</v>
      </c>
      <c r="B197" s="2" t="s">
        <v>107</v>
      </c>
      <c r="C197" s="2" t="s">
        <v>908</v>
      </c>
      <c r="D197" s="2" t="s">
        <v>909</v>
      </c>
      <c r="E197" s="2" t="s">
        <v>910</v>
      </c>
      <c r="F197" s="2" t="s">
        <v>573</v>
      </c>
      <c r="G197" s="2" t="s">
        <v>911</v>
      </c>
      <c r="H197" s="2" t="s">
        <v>912</v>
      </c>
      <c r="I197" s="2" t="s">
        <v>752</v>
      </c>
      <c r="J197" s="3" t="n">
        <f aca="false">IF(L197="","",AVERAGEIFS(PH_Price,PH_ItemID,A197,PH_Date,L197))</f>
        <v>16.4</v>
      </c>
      <c r="K197" s="2" t="s">
        <v>26</v>
      </c>
      <c r="L197" s="4" t="n">
        <f aca="false">IF(COUNTIF(PH_ItemID,A197)=0,"",SUMPRODUCT(MAX((PH_ItemID=A197)*PH_Date)))</f>
        <v>46319</v>
      </c>
      <c r="M197" s="5" t="n">
        <f aca="true">IF(ISNUMBER(L197),TODAY()-L197,"")</f>
        <v>2</v>
      </c>
      <c r="N197" s="2" t="s">
        <v>27</v>
      </c>
      <c r="O197" s="4" t="str">
        <f aca="false">IF(L197="","",IF(SUMPRODUCT(MAX((PH_ItemID=A197)*(PH_Date&lt;L197)*PH_Date))=0,"",SUMPRODUCT(MAX((PH_ItemID=A197)*(PH_Date&lt;L197)*PH_Date))))</f>
        <v/>
      </c>
      <c r="P197" s="3" t="str">
        <f aca="false">IF(O197="","",AVERAGEIFS(PH_Price,PH_ItemID,A197,PH_Date,O197))</f>
        <v/>
      </c>
      <c r="Q197" s="6" t="str">
        <f aca="false">IF(OR(J197="",P197=""),"",J197/P197-1)</f>
        <v/>
      </c>
      <c r="R197" s="2" t="str">
        <f aca="false">IF(J197="","unpriced",IF(P197="","new",IF(Q197&gt;0.05,"▲ up",IF(Q197&lt;-0.05,"▼ down","► stable"))))</f>
        <v>new</v>
      </c>
      <c r="S197" s="2"/>
    </row>
    <row r="198" customFormat="false" ht="15" hidden="false" customHeight="false" outlineLevel="0" collapsed="false">
      <c r="A198" s="2" t="s">
        <v>913</v>
      </c>
      <c r="B198" s="2" t="s">
        <v>107</v>
      </c>
      <c r="C198" s="2" t="s">
        <v>914</v>
      </c>
      <c r="D198" s="2" t="s">
        <v>915</v>
      </c>
      <c r="E198" s="2" t="s">
        <v>916</v>
      </c>
      <c r="F198" s="2" t="s">
        <v>119</v>
      </c>
      <c r="G198" s="2" t="s">
        <v>278</v>
      </c>
      <c r="H198" s="2" t="s">
        <v>917</v>
      </c>
      <c r="I198" s="2" t="s">
        <v>752</v>
      </c>
      <c r="J198" s="3" t="n">
        <f aca="false">IF(L198="","",AVERAGEIFS(PH_Price,PH_ItemID,A198,PH_Date,L198))</f>
        <v>76</v>
      </c>
      <c r="K198" s="2" t="s">
        <v>26</v>
      </c>
      <c r="L198" s="4" t="n">
        <f aca="false">IF(COUNTIF(PH_ItemID,A198)=0,"",SUMPRODUCT(MAX((PH_ItemID=A198)*PH_Date)))</f>
        <v>46319</v>
      </c>
      <c r="M198" s="5" t="n">
        <f aca="true">IF(ISNUMBER(L198),TODAY()-L198,"")</f>
        <v>2</v>
      </c>
      <c r="N198" s="2" t="s">
        <v>27</v>
      </c>
      <c r="O198" s="4" t="str">
        <f aca="false">IF(L198="","",IF(SUMPRODUCT(MAX((PH_ItemID=A198)*(PH_Date&lt;L198)*PH_Date))=0,"",SUMPRODUCT(MAX((PH_ItemID=A198)*(PH_Date&lt;L198)*PH_Date))))</f>
        <v/>
      </c>
      <c r="P198" s="3" t="str">
        <f aca="false">IF(O198="","",AVERAGEIFS(PH_Price,PH_ItemID,A198,PH_Date,O198))</f>
        <v/>
      </c>
      <c r="Q198" s="6" t="str">
        <f aca="false">IF(OR(J198="",P198=""),"",J198/P198-1)</f>
        <v/>
      </c>
      <c r="R198" s="2" t="str">
        <f aca="false">IF(J198="","unpriced",IF(P198="","new",IF(Q198&gt;0.05,"▲ up",IF(Q198&lt;-0.05,"▼ down","► stable"))))</f>
        <v>new</v>
      </c>
      <c r="S198" s="2"/>
    </row>
    <row r="199" customFormat="false" ht="15" hidden="false" customHeight="false" outlineLevel="0" collapsed="false">
      <c r="A199" s="2" t="s">
        <v>918</v>
      </c>
      <c r="B199" s="2" t="s">
        <v>107</v>
      </c>
      <c r="C199" s="2" t="s">
        <v>919</v>
      </c>
      <c r="D199" s="2" t="s">
        <v>920</v>
      </c>
      <c r="E199" s="2" t="s">
        <v>916</v>
      </c>
      <c r="F199" s="2" t="s">
        <v>119</v>
      </c>
      <c r="G199" s="2" t="s">
        <v>278</v>
      </c>
      <c r="H199" s="2" t="s">
        <v>921</v>
      </c>
      <c r="I199" s="2" t="s">
        <v>752</v>
      </c>
      <c r="J199" s="3" t="n">
        <f aca="false">IF(L199="","",AVERAGEIFS(PH_Price,PH_ItemID,A199,PH_Date,L199))</f>
        <v>168</v>
      </c>
      <c r="K199" s="2" t="s">
        <v>26</v>
      </c>
      <c r="L199" s="4" t="n">
        <f aca="false">IF(COUNTIF(PH_ItemID,A199)=0,"",SUMPRODUCT(MAX((PH_ItemID=A199)*PH_Date)))</f>
        <v>46319</v>
      </c>
      <c r="M199" s="5" t="n">
        <f aca="true">IF(ISNUMBER(L199),TODAY()-L199,"")</f>
        <v>2</v>
      </c>
      <c r="N199" s="2" t="s">
        <v>27</v>
      </c>
      <c r="O199" s="4" t="str">
        <f aca="false">IF(L199="","",IF(SUMPRODUCT(MAX((PH_ItemID=A199)*(PH_Date&lt;L199)*PH_Date))=0,"",SUMPRODUCT(MAX((PH_ItemID=A199)*(PH_Date&lt;L199)*PH_Date))))</f>
        <v/>
      </c>
      <c r="P199" s="3" t="str">
        <f aca="false">IF(O199="","",AVERAGEIFS(PH_Price,PH_ItemID,A199,PH_Date,O199))</f>
        <v/>
      </c>
      <c r="Q199" s="6" t="str">
        <f aca="false">IF(OR(J199="",P199=""),"",J199/P199-1)</f>
        <v/>
      </c>
      <c r="R199" s="2" t="str">
        <f aca="false">IF(J199="","unpriced",IF(P199="","new",IF(Q199&gt;0.05,"▲ up",IF(Q199&lt;-0.05,"▼ down","► stable"))))</f>
        <v>new</v>
      </c>
      <c r="S199" s="2"/>
    </row>
    <row r="200" customFormat="false" ht="15" hidden="false" customHeight="false" outlineLevel="0" collapsed="false">
      <c r="A200" s="2" t="s">
        <v>922</v>
      </c>
      <c r="B200" s="2" t="s">
        <v>107</v>
      </c>
      <c r="C200" s="2" t="s">
        <v>923</v>
      </c>
      <c r="D200" s="2" t="s">
        <v>924</v>
      </c>
      <c r="E200" s="2" t="s">
        <v>925</v>
      </c>
      <c r="F200" s="2" t="s">
        <v>119</v>
      </c>
      <c r="G200" s="2" t="s">
        <v>278</v>
      </c>
      <c r="H200" s="2" t="s">
        <v>926</v>
      </c>
      <c r="I200" s="2" t="s">
        <v>752</v>
      </c>
      <c r="J200" s="3" t="n">
        <f aca="false">IF(L200="","",AVERAGEIFS(PH_Price,PH_ItemID,A200,PH_Date,L200))</f>
        <v>200</v>
      </c>
      <c r="K200" s="2" t="s">
        <v>26</v>
      </c>
      <c r="L200" s="4" t="n">
        <f aca="false">IF(COUNTIF(PH_ItemID,A200)=0,"",SUMPRODUCT(MAX((PH_ItemID=A200)*PH_Date)))</f>
        <v>46319</v>
      </c>
      <c r="M200" s="5" t="n">
        <f aca="true">IF(ISNUMBER(L200),TODAY()-L200,"")</f>
        <v>2</v>
      </c>
      <c r="N200" s="2" t="s">
        <v>27</v>
      </c>
      <c r="O200" s="4" t="str">
        <f aca="false">IF(L200="","",IF(SUMPRODUCT(MAX((PH_ItemID=A200)*(PH_Date&lt;L200)*PH_Date))=0,"",SUMPRODUCT(MAX((PH_ItemID=A200)*(PH_Date&lt;L200)*PH_Date))))</f>
        <v/>
      </c>
      <c r="P200" s="3" t="str">
        <f aca="false">IF(O200="","",AVERAGEIFS(PH_Price,PH_ItemID,A200,PH_Date,O200))</f>
        <v/>
      </c>
      <c r="Q200" s="6" t="str">
        <f aca="false">IF(OR(J200="",P200=""),"",J200/P200-1)</f>
        <v/>
      </c>
      <c r="R200" s="2" t="str">
        <f aca="false">IF(J200="","unpriced",IF(P200="","new",IF(Q200&gt;0.05,"▲ up",IF(Q200&lt;-0.05,"▼ down","► stable"))))</f>
        <v>new</v>
      </c>
      <c r="S200" s="2" t="s">
        <v>927</v>
      </c>
    </row>
    <row r="201" customFormat="false" ht="15" hidden="false" customHeight="false" outlineLevel="0" collapsed="false">
      <c r="A201" s="2" t="s">
        <v>928</v>
      </c>
      <c r="B201" s="2" t="s">
        <v>107</v>
      </c>
      <c r="C201" s="2" t="s">
        <v>929</v>
      </c>
      <c r="D201" s="2" t="s">
        <v>930</v>
      </c>
      <c r="E201" s="2" t="s">
        <v>931</v>
      </c>
      <c r="F201" s="2" t="s">
        <v>119</v>
      </c>
      <c r="G201" s="2" t="s">
        <v>278</v>
      </c>
      <c r="H201" s="2" t="s">
        <v>932</v>
      </c>
      <c r="I201" s="2" t="s">
        <v>752</v>
      </c>
      <c r="J201" s="3" t="n">
        <f aca="false">IF(L201="","",AVERAGEIFS(PH_Price,PH_ItemID,A201,PH_Date,L201))</f>
        <v>199</v>
      </c>
      <c r="K201" s="2" t="s">
        <v>26</v>
      </c>
      <c r="L201" s="4" t="n">
        <f aca="false">IF(COUNTIF(PH_ItemID,A201)=0,"",SUMPRODUCT(MAX((PH_ItemID=A201)*PH_Date)))</f>
        <v>46319</v>
      </c>
      <c r="M201" s="5" t="n">
        <f aca="true">IF(ISNUMBER(L201),TODAY()-L201,"")</f>
        <v>2</v>
      </c>
      <c r="N201" s="2" t="s">
        <v>27</v>
      </c>
      <c r="O201" s="4" t="str">
        <f aca="false">IF(L201="","",IF(SUMPRODUCT(MAX((PH_ItemID=A201)*(PH_Date&lt;L201)*PH_Date))=0,"",SUMPRODUCT(MAX((PH_ItemID=A201)*(PH_Date&lt;L201)*PH_Date))))</f>
        <v/>
      </c>
      <c r="P201" s="3" t="str">
        <f aca="false">IF(O201="","",AVERAGEIFS(PH_Price,PH_ItemID,A201,PH_Date,O201))</f>
        <v/>
      </c>
      <c r="Q201" s="6" t="str">
        <f aca="false">IF(OR(J201="",P201=""),"",J201/P201-1)</f>
        <v/>
      </c>
      <c r="R201" s="2" t="str">
        <f aca="false">IF(J201="","unpriced",IF(P201="","new",IF(Q201&gt;0.05,"▲ up",IF(Q201&lt;-0.05,"▼ down","► stable"))))</f>
        <v>new</v>
      </c>
      <c r="S201" s="2"/>
    </row>
    <row r="202" customFormat="false" ht="15" hidden="false" customHeight="false" outlineLevel="0" collapsed="false">
      <c r="A202" s="2" t="s">
        <v>933</v>
      </c>
      <c r="B202" s="2" t="s">
        <v>107</v>
      </c>
      <c r="C202" s="2" t="s">
        <v>934</v>
      </c>
      <c r="D202" s="2" t="s">
        <v>935</v>
      </c>
      <c r="E202" s="2" t="s">
        <v>936</v>
      </c>
      <c r="F202" s="2" t="s">
        <v>119</v>
      </c>
      <c r="G202" s="2" t="s">
        <v>911</v>
      </c>
      <c r="H202" s="2" t="s">
        <v>937</v>
      </c>
      <c r="I202" s="2" t="s">
        <v>752</v>
      </c>
      <c r="J202" s="3" t="n">
        <f aca="false">IF(L202="","",AVERAGEIFS(PH_Price,PH_ItemID,A202,PH_Date,L202))</f>
        <v>119</v>
      </c>
      <c r="K202" s="2" t="s">
        <v>26</v>
      </c>
      <c r="L202" s="4" t="n">
        <f aca="false">IF(COUNTIF(PH_ItemID,A202)=0,"",SUMPRODUCT(MAX((PH_ItemID=A202)*PH_Date)))</f>
        <v>46319</v>
      </c>
      <c r="M202" s="5" t="n">
        <f aca="true">IF(ISNUMBER(L202),TODAY()-L202,"")</f>
        <v>2</v>
      </c>
      <c r="N202" s="2" t="s">
        <v>27</v>
      </c>
      <c r="O202" s="4" t="str">
        <f aca="false">IF(L202="","",IF(SUMPRODUCT(MAX((PH_ItemID=A202)*(PH_Date&lt;L202)*PH_Date))=0,"",SUMPRODUCT(MAX((PH_ItemID=A202)*(PH_Date&lt;L202)*PH_Date))))</f>
        <v/>
      </c>
      <c r="P202" s="3" t="str">
        <f aca="false">IF(O202="","",AVERAGEIFS(PH_Price,PH_ItemID,A202,PH_Date,O202))</f>
        <v/>
      </c>
      <c r="Q202" s="6" t="str">
        <f aca="false">IF(OR(J202="",P202=""),"",J202/P202-1)</f>
        <v/>
      </c>
      <c r="R202" s="2" t="str">
        <f aca="false">IF(J202="","unpriced",IF(P202="","new",IF(Q202&gt;0.05,"▲ up",IF(Q202&lt;-0.05,"▼ down","► stable"))))</f>
        <v>new</v>
      </c>
      <c r="S202" s="2"/>
    </row>
    <row r="203" customFormat="false" ht="15" hidden="false" customHeight="false" outlineLevel="0" collapsed="false">
      <c r="A203" s="2" t="s">
        <v>938</v>
      </c>
      <c r="B203" s="2" t="s">
        <v>939</v>
      </c>
      <c r="C203" s="2" t="s">
        <v>940</v>
      </c>
      <c r="D203" s="2" t="s">
        <v>941</v>
      </c>
      <c r="E203" s="2" t="s">
        <v>942</v>
      </c>
      <c r="F203" s="2" t="s">
        <v>814</v>
      </c>
      <c r="G203" s="2" t="s">
        <v>943</v>
      </c>
      <c r="H203" s="2" t="s">
        <v>944</v>
      </c>
      <c r="I203" s="2" t="s">
        <v>945</v>
      </c>
      <c r="J203" s="3" t="n">
        <f aca="false">IF(L203="","",AVERAGEIFS(PH_Price,PH_ItemID,A203,PH_Date,L203))</f>
        <v>115</v>
      </c>
      <c r="K203" s="2" t="s">
        <v>26</v>
      </c>
      <c r="L203" s="4" t="n">
        <f aca="false">IF(COUNTIF(PH_ItemID,A203)=0,"",SUMPRODUCT(MAX((PH_ItemID=A203)*PH_Date)))</f>
        <v>46320</v>
      </c>
      <c r="M203" s="5" t="n">
        <f aca="true">IF(ISNUMBER(L203),TODAY()-L203,"")</f>
        <v>1</v>
      </c>
      <c r="N203" s="2" t="s">
        <v>27</v>
      </c>
      <c r="O203" s="4" t="str">
        <f aca="false">IF(L203="","",IF(SUMPRODUCT(MAX((PH_ItemID=A203)*(PH_Date&lt;L203)*PH_Date))=0,"",SUMPRODUCT(MAX((PH_ItemID=A203)*(PH_Date&lt;L203)*PH_Date))))</f>
        <v/>
      </c>
      <c r="P203" s="3" t="str">
        <f aca="false">IF(O203="","",AVERAGEIFS(PH_Price,PH_ItemID,A203,PH_Date,O203))</f>
        <v/>
      </c>
      <c r="Q203" s="6" t="str">
        <f aca="false">IF(OR(J203="",P203=""),"",J203/P203-1)</f>
        <v/>
      </c>
      <c r="R203" s="2" t="str">
        <f aca="false">IF(J203="","unpriced",IF(P203="","new",IF(Q203&gt;0.05,"▲ up",IF(Q203&lt;-0.05,"▼ down","► stable"))))</f>
        <v>new</v>
      </c>
      <c r="S203" s="2" t="s">
        <v>946</v>
      </c>
    </row>
    <row r="204" customFormat="false" ht="15" hidden="false" customHeight="false" outlineLevel="0" collapsed="false">
      <c r="A204" s="2" t="s">
        <v>947</v>
      </c>
      <c r="B204" s="2" t="s">
        <v>939</v>
      </c>
      <c r="C204" s="2" t="s">
        <v>948</v>
      </c>
      <c r="D204" s="2" t="s">
        <v>949</v>
      </c>
      <c r="E204" s="2" t="s">
        <v>950</v>
      </c>
      <c r="F204" s="2" t="s">
        <v>814</v>
      </c>
      <c r="G204" s="2" t="s">
        <v>943</v>
      </c>
      <c r="H204" s="2" t="s">
        <v>944</v>
      </c>
      <c r="I204" s="2" t="s">
        <v>945</v>
      </c>
      <c r="J204" s="3" t="n">
        <f aca="false">IF(L204="","",AVERAGEIFS(PH_Price,PH_ItemID,A204,PH_Date,L204))</f>
        <v>155</v>
      </c>
      <c r="K204" s="2" t="s">
        <v>26</v>
      </c>
      <c r="L204" s="4" t="n">
        <f aca="false">IF(COUNTIF(PH_ItemID,A204)=0,"",SUMPRODUCT(MAX((PH_ItemID=A204)*PH_Date)))</f>
        <v>46320</v>
      </c>
      <c r="M204" s="5" t="n">
        <f aca="true">IF(ISNUMBER(L204),TODAY()-L204,"")</f>
        <v>1</v>
      </c>
      <c r="N204" s="2" t="s">
        <v>27</v>
      </c>
      <c r="O204" s="4" t="str">
        <f aca="false">IF(L204="","",IF(SUMPRODUCT(MAX((PH_ItemID=A204)*(PH_Date&lt;L204)*PH_Date))=0,"",SUMPRODUCT(MAX((PH_ItemID=A204)*(PH_Date&lt;L204)*PH_Date))))</f>
        <v/>
      </c>
      <c r="P204" s="3" t="str">
        <f aca="false">IF(O204="","",AVERAGEIFS(PH_Price,PH_ItemID,A204,PH_Date,O204))</f>
        <v/>
      </c>
      <c r="Q204" s="6" t="str">
        <f aca="false">IF(OR(J204="",P204=""),"",J204/P204-1)</f>
        <v/>
      </c>
      <c r="R204" s="2" t="str">
        <f aca="false">IF(J204="","unpriced",IF(P204="","new",IF(Q204&gt;0.05,"▲ up",IF(Q204&lt;-0.05,"▼ down","► stable"))))</f>
        <v>new</v>
      </c>
      <c r="S204" s="2" t="s">
        <v>951</v>
      </c>
    </row>
    <row r="205" customFormat="false" ht="15" hidden="false" customHeight="false" outlineLevel="0" collapsed="false">
      <c r="A205" s="2" t="s">
        <v>952</v>
      </c>
      <c r="B205" s="2" t="s">
        <v>939</v>
      </c>
      <c r="C205" s="2" t="s">
        <v>953</v>
      </c>
      <c r="D205" s="2" t="s">
        <v>954</v>
      </c>
      <c r="E205" s="2" t="s">
        <v>950</v>
      </c>
      <c r="F205" s="2" t="s">
        <v>814</v>
      </c>
      <c r="G205" s="2" t="s">
        <v>955</v>
      </c>
      <c r="H205" s="2" t="s">
        <v>956</v>
      </c>
      <c r="I205" s="2" t="s">
        <v>945</v>
      </c>
      <c r="J205" s="3" t="n">
        <f aca="false">IF(L205="","",AVERAGEIFS(PH_Price,PH_ItemID,A205,PH_Date,L205))</f>
        <v>170</v>
      </c>
      <c r="K205" s="2" t="s">
        <v>26</v>
      </c>
      <c r="L205" s="4" t="n">
        <f aca="false">IF(COUNTIF(PH_ItemID,A205)=0,"",SUMPRODUCT(MAX((PH_ItemID=A205)*PH_Date)))</f>
        <v>46320</v>
      </c>
      <c r="M205" s="5" t="n">
        <f aca="true">IF(ISNUMBER(L205),TODAY()-L205,"")</f>
        <v>1</v>
      </c>
      <c r="N205" s="2" t="s">
        <v>27</v>
      </c>
      <c r="O205" s="4" t="str">
        <f aca="false">IF(L205="","",IF(SUMPRODUCT(MAX((PH_ItemID=A205)*(PH_Date&lt;L205)*PH_Date))=0,"",SUMPRODUCT(MAX((PH_ItemID=A205)*(PH_Date&lt;L205)*PH_Date))))</f>
        <v/>
      </c>
      <c r="P205" s="3" t="str">
        <f aca="false">IF(O205="","",AVERAGEIFS(PH_Price,PH_ItemID,A205,PH_Date,O205))</f>
        <v/>
      </c>
      <c r="Q205" s="6" t="str">
        <f aca="false">IF(OR(J205="",P205=""),"",J205/P205-1)</f>
        <v/>
      </c>
      <c r="R205" s="2" t="str">
        <f aca="false">IF(J205="","unpriced",IF(P205="","new",IF(Q205&gt;0.05,"▲ up",IF(Q205&lt;-0.05,"▼ down","► stable"))))</f>
        <v>new</v>
      </c>
      <c r="S205" s="2" t="s">
        <v>951</v>
      </c>
    </row>
    <row r="206" customFormat="false" ht="15" hidden="false" customHeight="false" outlineLevel="0" collapsed="false">
      <c r="A206" s="2" t="s">
        <v>957</v>
      </c>
      <c r="B206" s="2" t="s">
        <v>939</v>
      </c>
      <c r="C206" s="2" t="s">
        <v>958</v>
      </c>
      <c r="D206" s="2" t="s">
        <v>959</v>
      </c>
      <c r="E206" s="2" t="s">
        <v>950</v>
      </c>
      <c r="F206" s="2" t="s">
        <v>814</v>
      </c>
      <c r="G206" s="2" t="s">
        <v>943</v>
      </c>
      <c r="H206" s="2" t="s">
        <v>960</v>
      </c>
      <c r="I206" s="2" t="s">
        <v>945</v>
      </c>
      <c r="J206" s="3" t="n">
        <f aca="false">IF(L206="","",AVERAGEIFS(PH_Price,PH_ItemID,A206,PH_Date,L206))</f>
        <v>140</v>
      </c>
      <c r="K206" s="2" t="s">
        <v>26</v>
      </c>
      <c r="L206" s="4" t="n">
        <f aca="false">IF(COUNTIF(PH_ItemID,A206)=0,"",SUMPRODUCT(MAX((PH_ItemID=A206)*PH_Date)))</f>
        <v>46320</v>
      </c>
      <c r="M206" s="5" t="n">
        <f aca="true">IF(ISNUMBER(L206),TODAY()-L206,"")</f>
        <v>1</v>
      </c>
      <c r="N206" s="2" t="s">
        <v>27</v>
      </c>
      <c r="O206" s="4" t="str">
        <f aca="false">IF(L206="","",IF(SUMPRODUCT(MAX((PH_ItemID=A206)*(PH_Date&lt;L206)*PH_Date))=0,"",SUMPRODUCT(MAX((PH_ItemID=A206)*(PH_Date&lt;L206)*PH_Date))))</f>
        <v/>
      </c>
      <c r="P206" s="3" t="str">
        <f aca="false">IF(O206="","",AVERAGEIFS(PH_Price,PH_ItemID,A206,PH_Date,O206))</f>
        <v/>
      </c>
      <c r="Q206" s="6" t="str">
        <f aca="false">IF(OR(J206="",P206=""),"",J206/P206-1)</f>
        <v/>
      </c>
      <c r="R206" s="2" t="str">
        <f aca="false">IF(J206="","unpriced",IF(P206="","new",IF(Q206&gt;0.05,"▲ up",IF(Q206&lt;-0.05,"▼ down","► stable"))))</f>
        <v>new</v>
      </c>
      <c r="S206" s="2" t="s">
        <v>951</v>
      </c>
    </row>
    <row r="207" customFormat="false" ht="15" hidden="false" customHeight="false" outlineLevel="0" collapsed="false">
      <c r="A207" s="2" t="s">
        <v>961</v>
      </c>
      <c r="B207" s="2" t="s">
        <v>939</v>
      </c>
      <c r="C207" s="2" t="s">
        <v>962</v>
      </c>
      <c r="D207" s="2" t="s">
        <v>963</v>
      </c>
      <c r="E207" s="2" t="s">
        <v>964</v>
      </c>
      <c r="F207" s="2" t="s">
        <v>965</v>
      </c>
      <c r="G207" s="2" t="s">
        <v>943</v>
      </c>
      <c r="H207" s="2" t="s">
        <v>960</v>
      </c>
      <c r="I207" s="2" t="s">
        <v>945</v>
      </c>
      <c r="J207" s="3" t="n">
        <f aca="false">IF(L207="","",AVERAGEIFS(PH_Price,PH_ItemID,A207,PH_Date,L207))</f>
        <v>64</v>
      </c>
      <c r="K207" s="2" t="s">
        <v>26</v>
      </c>
      <c r="L207" s="4" t="n">
        <f aca="false">IF(COUNTIF(PH_ItemID,A207)=0,"",SUMPRODUCT(MAX((PH_ItemID=A207)*PH_Date)))</f>
        <v>46320</v>
      </c>
      <c r="M207" s="5" t="n">
        <f aca="true">IF(ISNUMBER(L207),TODAY()-L207,"")</f>
        <v>1</v>
      </c>
      <c r="N207" s="2" t="s">
        <v>27</v>
      </c>
      <c r="O207" s="4" t="str">
        <f aca="false">IF(L207="","",IF(SUMPRODUCT(MAX((PH_ItemID=A207)*(PH_Date&lt;L207)*PH_Date))=0,"",SUMPRODUCT(MAX((PH_ItemID=A207)*(PH_Date&lt;L207)*PH_Date))))</f>
        <v/>
      </c>
      <c r="P207" s="3" t="str">
        <f aca="false">IF(O207="","",AVERAGEIFS(PH_Price,PH_ItemID,A207,PH_Date,O207))</f>
        <v/>
      </c>
      <c r="Q207" s="6" t="str">
        <f aca="false">IF(OR(J207="",P207=""),"",J207/P207-1)</f>
        <v/>
      </c>
      <c r="R207" s="2" t="str">
        <f aca="false">IF(J207="","unpriced",IF(P207="","new",IF(Q207&gt;0.05,"▲ up",IF(Q207&lt;-0.05,"▼ down","► stable"))))</f>
        <v>new</v>
      </c>
      <c r="S207" s="2" t="s">
        <v>951</v>
      </c>
    </row>
    <row r="208" customFormat="false" ht="15" hidden="false" customHeight="false" outlineLevel="0" collapsed="false">
      <c r="A208" s="2" t="s">
        <v>966</v>
      </c>
      <c r="B208" s="2" t="s">
        <v>939</v>
      </c>
      <c r="C208" s="2" t="s">
        <v>967</v>
      </c>
      <c r="D208" s="2" t="s">
        <v>968</v>
      </c>
      <c r="E208" s="2" t="s">
        <v>964</v>
      </c>
      <c r="F208" s="2" t="s">
        <v>965</v>
      </c>
      <c r="G208" s="2" t="s">
        <v>969</v>
      </c>
      <c r="H208" s="2" t="s">
        <v>970</v>
      </c>
      <c r="I208" s="2" t="s">
        <v>945</v>
      </c>
      <c r="J208" s="3" t="n">
        <f aca="false">IF(L208="","",AVERAGEIFS(PH_Price,PH_ItemID,A208,PH_Date,L208))</f>
        <v>55</v>
      </c>
      <c r="K208" s="2" t="s">
        <v>26</v>
      </c>
      <c r="L208" s="4" t="n">
        <f aca="false">IF(COUNTIF(PH_ItemID,A208)=0,"",SUMPRODUCT(MAX((PH_ItemID=A208)*PH_Date)))</f>
        <v>46320</v>
      </c>
      <c r="M208" s="5" t="n">
        <f aca="true">IF(ISNUMBER(L208),TODAY()-L208,"")</f>
        <v>1</v>
      </c>
      <c r="N208" s="2" t="s">
        <v>27</v>
      </c>
      <c r="O208" s="4" t="str">
        <f aca="false">IF(L208="","",IF(SUMPRODUCT(MAX((PH_ItemID=A208)*(PH_Date&lt;L208)*PH_Date))=0,"",SUMPRODUCT(MAX((PH_ItemID=A208)*(PH_Date&lt;L208)*PH_Date))))</f>
        <v/>
      </c>
      <c r="P208" s="3" t="str">
        <f aca="false">IF(O208="","",AVERAGEIFS(PH_Price,PH_ItemID,A208,PH_Date,O208))</f>
        <v/>
      </c>
      <c r="Q208" s="6" t="str">
        <f aca="false">IF(OR(J208="",P208=""),"",J208/P208-1)</f>
        <v/>
      </c>
      <c r="R208" s="2" t="str">
        <f aca="false">IF(J208="","unpriced",IF(P208="","new",IF(Q208&gt;0.05,"▲ up",IF(Q208&lt;-0.05,"▼ down","► stable"))))</f>
        <v>new</v>
      </c>
      <c r="S208" s="2" t="s">
        <v>971</v>
      </c>
    </row>
    <row r="209" customFormat="false" ht="15" hidden="false" customHeight="false" outlineLevel="0" collapsed="false">
      <c r="A209" s="2" t="s">
        <v>972</v>
      </c>
      <c r="B209" s="2" t="s">
        <v>939</v>
      </c>
      <c r="C209" s="2" t="s">
        <v>973</v>
      </c>
      <c r="D209" s="2" t="s">
        <v>974</v>
      </c>
      <c r="E209" s="2" t="s">
        <v>975</v>
      </c>
      <c r="F209" s="2" t="s">
        <v>965</v>
      </c>
      <c r="G209" s="2" t="s">
        <v>943</v>
      </c>
      <c r="H209" s="2" t="s">
        <v>944</v>
      </c>
      <c r="I209" s="2" t="s">
        <v>945</v>
      </c>
      <c r="J209" s="3" t="n">
        <f aca="false">IF(L209="","",AVERAGEIFS(PH_Price,PH_ItemID,A209,PH_Date,L209))</f>
        <v>63</v>
      </c>
      <c r="K209" s="2" t="s">
        <v>26</v>
      </c>
      <c r="L209" s="4" t="n">
        <f aca="false">IF(COUNTIF(PH_ItemID,A209)=0,"",SUMPRODUCT(MAX((PH_ItemID=A209)*PH_Date)))</f>
        <v>46320</v>
      </c>
      <c r="M209" s="5" t="n">
        <f aca="true">IF(ISNUMBER(L209),TODAY()-L209,"")</f>
        <v>1</v>
      </c>
      <c r="N209" s="2" t="s">
        <v>27</v>
      </c>
      <c r="O209" s="4" t="str">
        <f aca="false">IF(L209="","",IF(SUMPRODUCT(MAX((PH_ItemID=A209)*(PH_Date&lt;L209)*PH_Date))=0,"",SUMPRODUCT(MAX((PH_ItemID=A209)*(PH_Date&lt;L209)*PH_Date))))</f>
        <v/>
      </c>
      <c r="P209" s="3" t="str">
        <f aca="false">IF(O209="","",AVERAGEIFS(PH_Price,PH_ItemID,A209,PH_Date,O209))</f>
        <v/>
      </c>
      <c r="Q209" s="6" t="str">
        <f aca="false">IF(OR(J209="",P209=""),"",J209/P209-1)</f>
        <v/>
      </c>
      <c r="R209" s="2" t="str">
        <f aca="false">IF(J209="","unpriced",IF(P209="","new",IF(Q209&gt;0.05,"▲ up",IF(Q209&lt;-0.05,"▼ down","► stable"))))</f>
        <v>new</v>
      </c>
      <c r="S209" s="2" t="s">
        <v>951</v>
      </c>
    </row>
    <row r="210" customFormat="false" ht="15" hidden="false" customHeight="false" outlineLevel="0" collapsed="false">
      <c r="A210" s="2" t="s">
        <v>976</v>
      </c>
      <c r="B210" s="2" t="s">
        <v>939</v>
      </c>
      <c r="C210" s="2" t="s">
        <v>977</v>
      </c>
      <c r="D210" s="2" t="s">
        <v>978</v>
      </c>
      <c r="E210" s="2" t="s">
        <v>979</v>
      </c>
      <c r="F210" s="2" t="s">
        <v>965</v>
      </c>
      <c r="G210" s="2" t="s">
        <v>278</v>
      </c>
      <c r="H210" s="2" t="s">
        <v>980</v>
      </c>
      <c r="I210" s="2" t="s">
        <v>945</v>
      </c>
      <c r="J210" s="3" t="n">
        <f aca="false">IF(L210="","",AVERAGEIFS(PH_Price,PH_ItemID,A210,PH_Date,L210))</f>
        <v>249</v>
      </c>
      <c r="K210" s="2" t="s">
        <v>26</v>
      </c>
      <c r="L210" s="4" t="n">
        <f aca="false">IF(COUNTIF(PH_ItemID,A210)=0,"",SUMPRODUCT(MAX((PH_ItemID=A210)*PH_Date)))</f>
        <v>46320</v>
      </c>
      <c r="M210" s="5" t="n">
        <f aca="true">IF(ISNUMBER(L210),TODAY()-L210,"")</f>
        <v>1</v>
      </c>
      <c r="N210" s="2" t="s">
        <v>27</v>
      </c>
      <c r="O210" s="4" t="str">
        <f aca="false">IF(L210="","",IF(SUMPRODUCT(MAX((PH_ItemID=A210)*(PH_Date&lt;L210)*PH_Date))=0,"",SUMPRODUCT(MAX((PH_ItemID=A210)*(PH_Date&lt;L210)*PH_Date))))</f>
        <v/>
      </c>
      <c r="P210" s="3" t="str">
        <f aca="false">IF(O210="","",AVERAGEIFS(PH_Price,PH_ItemID,A210,PH_Date,O210))</f>
        <v/>
      </c>
      <c r="Q210" s="6" t="str">
        <f aca="false">IF(OR(J210="",P210=""),"",J210/P210-1)</f>
        <v/>
      </c>
      <c r="R210" s="2" t="str">
        <f aca="false">IF(J210="","unpriced",IF(P210="","new",IF(Q210&gt;0.05,"▲ up",IF(Q210&lt;-0.05,"▼ down","► stable"))))</f>
        <v>new</v>
      </c>
      <c r="S210" s="2" t="s">
        <v>951</v>
      </c>
    </row>
    <row r="211" customFormat="false" ht="15" hidden="false" customHeight="false" outlineLevel="0" collapsed="false">
      <c r="A211" s="2" t="s">
        <v>981</v>
      </c>
      <c r="B211" s="2" t="s">
        <v>939</v>
      </c>
      <c r="C211" s="2" t="s">
        <v>982</v>
      </c>
      <c r="D211" s="2" t="s">
        <v>983</v>
      </c>
      <c r="E211" s="2" t="s">
        <v>984</v>
      </c>
      <c r="F211" s="2" t="s">
        <v>965</v>
      </c>
      <c r="G211" s="2" t="s">
        <v>943</v>
      </c>
      <c r="H211" s="2" t="s">
        <v>944</v>
      </c>
      <c r="I211" s="2" t="s">
        <v>945</v>
      </c>
      <c r="J211" s="3" t="n">
        <f aca="false">IF(L211="","",AVERAGEIFS(PH_Price,PH_ItemID,A211,PH_Date,L211))</f>
        <v>24</v>
      </c>
      <c r="K211" s="2" t="s">
        <v>26</v>
      </c>
      <c r="L211" s="4" t="n">
        <f aca="false">IF(COUNTIF(PH_ItemID,A211)=0,"",SUMPRODUCT(MAX((PH_ItemID=A211)*PH_Date)))</f>
        <v>46320</v>
      </c>
      <c r="M211" s="5" t="n">
        <f aca="true">IF(ISNUMBER(L211),TODAY()-L211,"")</f>
        <v>1</v>
      </c>
      <c r="N211" s="2" t="s">
        <v>27</v>
      </c>
      <c r="O211" s="4" t="str">
        <f aca="false">IF(L211="","",IF(SUMPRODUCT(MAX((PH_ItemID=A211)*(PH_Date&lt;L211)*PH_Date))=0,"",SUMPRODUCT(MAX((PH_ItemID=A211)*(PH_Date&lt;L211)*PH_Date))))</f>
        <v/>
      </c>
      <c r="P211" s="3" t="str">
        <f aca="false">IF(O211="","",AVERAGEIFS(PH_Price,PH_ItemID,A211,PH_Date,O211))</f>
        <v/>
      </c>
      <c r="Q211" s="6" t="str">
        <f aca="false">IF(OR(J211="",P211=""),"",J211/P211-1)</f>
        <v/>
      </c>
      <c r="R211" s="2" t="str">
        <f aca="false">IF(J211="","unpriced",IF(P211="","new",IF(Q211&gt;0.05,"▲ up",IF(Q211&lt;-0.05,"▼ down","► stable"))))</f>
        <v>new</v>
      </c>
      <c r="S211" s="2" t="s">
        <v>985</v>
      </c>
    </row>
    <row r="212" customFormat="false" ht="15" hidden="false" customHeight="false" outlineLevel="0" collapsed="false">
      <c r="A212" s="2" t="s">
        <v>986</v>
      </c>
      <c r="B212" s="2" t="s">
        <v>939</v>
      </c>
      <c r="C212" s="2" t="s">
        <v>987</v>
      </c>
      <c r="D212" s="2" t="s">
        <v>988</v>
      </c>
      <c r="E212" s="2" t="s">
        <v>989</v>
      </c>
      <c r="F212" s="2" t="s">
        <v>119</v>
      </c>
      <c r="G212" s="2" t="s">
        <v>943</v>
      </c>
      <c r="H212" s="2" t="s">
        <v>944</v>
      </c>
      <c r="I212" s="2" t="s">
        <v>945</v>
      </c>
      <c r="J212" s="3" t="n">
        <f aca="false">IF(L212="","",AVERAGEIFS(PH_Price,PH_ItemID,A212,PH_Date,L212))</f>
        <v>29</v>
      </c>
      <c r="K212" s="2" t="s">
        <v>26</v>
      </c>
      <c r="L212" s="4" t="n">
        <f aca="false">IF(COUNTIF(PH_ItemID,A212)=0,"",SUMPRODUCT(MAX((PH_ItemID=A212)*PH_Date)))</f>
        <v>46320</v>
      </c>
      <c r="M212" s="5" t="n">
        <f aca="true">IF(ISNUMBER(L212),TODAY()-L212,"")</f>
        <v>1</v>
      </c>
      <c r="N212" s="2" t="s">
        <v>27</v>
      </c>
      <c r="O212" s="4" t="str">
        <f aca="false">IF(L212="","",IF(SUMPRODUCT(MAX((PH_ItemID=A212)*(PH_Date&lt;L212)*PH_Date))=0,"",SUMPRODUCT(MAX((PH_ItemID=A212)*(PH_Date&lt;L212)*PH_Date))))</f>
        <v/>
      </c>
      <c r="P212" s="3" t="str">
        <f aca="false">IF(O212="","",AVERAGEIFS(PH_Price,PH_ItemID,A212,PH_Date,O212))</f>
        <v/>
      </c>
      <c r="Q212" s="6" t="str">
        <f aca="false">IF(OR(J212="",P212=""),"",J212/P212-1)</f>
        <v/>
      </c>
      <c r="R212" s="2" t="str">
        <f aca="false">IF(J212="","unpriced",IF(P212="","new",IF(Q212&gt;0.05,"▲ up",IF(Q212&lt;-0.05,"▼ down","► stable"))))</f>
        <v>new</v>
      </c>
      <c r="S212" s="2" t="s">
        <v>990</v>
      </c>
    </row>
    <row r="213" customFormat="false" ht="15" hidden="false" customHeight="false" outlineLevel="0" collapsed="false">
      <c r="A213" s="2" t="s">
        <v>991</v>
      </c>
      <c r="B213" s="2" t="s">
        <v>939</v>
      </c>
      <c r="C213" s="2" t="s">
        <v>992</v>
      </c>
      <c r="D213" s="2" t="s">
        <v>993</v>
      </c>
      <c r="E213" s="2" t="s">
        <v>950</v>
      </c>
      <c r="F213" s="2" t="s">
        <v>814</v>
      </c>
      <c r="G213" s="2" t="s">
        <v>955</v>
      </c>
      <c r="H213" s="2" t="s">
        <v>994</v>
      </c>
      <c r="I213" s="2" t="s">
        <v>945</v>
      </c>
      <c r="J213" s="3" t="n">
        <f aca="false">IF(L213="","",AVERAGEIFS(PH_Price,PH_ItemID,A213,PH_Date,L213))</f>
        <v>126</v>
      </c>
      <c r="K213" s="2" t="s">
        <v>26</v>
      </c>
      <c r="L213" s="4" t="n">
        <f aca="false">IF(COUNTIF(PH_ItemID,A213)=0,"",SUMPRODUCT(MAX((PH_ItemID=A213)*PH_Date)))</f>
        <v>46320</v>
      </c>
      <c r="M213" s="5" t="n">
        <f aca="true">IF(ISNUMBER(L213),TODAY()-L213,"")</f>
        <v>1</v>
      </c>
      <c r="N213" s="2" t="s">
        <v>27</v>
      </c>
      <c r="O213" s="4" t="str">
        <f aca="false">IF(L213="","",IF(SUMPRODUCT(MAX((PH_ItemID=A213)*(PH_Date&lt;L213)*PH_Date))=0,"",SUMPRODUCT(MAX((PH_ItemID=A213)*(PH_Date&lt;L213)*PH_Date))))</f>
        <v/>
      </c>
      <c r="P213" s="3" t="str">
        <f aca="false">IF(O213="","",AVERAGEIFS(PH_Price,PH_ItemID,A213,PH_Date,O213))</f>
        <v/>
      </c>
      <c r="Q213" s="6" t="str">
        <f aca="false">IF(OR(J213="",P213=""),"",J213/P213-1)</f>
        <v/>
      </c>
      <c r="R213" s="2" t="str">
        <f aca="false">IF(J213="","unpriced",IF(P213="","new",IF(Q213&gt;0.05,"▲ up",IF(Q213&lt;-0.05,"▼ down","► stable"))))</f>
        <v>new</v>
      </c>
      <c r="S213" s="2" t="s">
        <v>995</v>
      </c>
    </row>
    <row r="214" customFormat="false" ht="15" hidden="false" customHeight="false" outlineLevel="0" collapsed="false">
      <c r="A214" s="2" t="s">
        <v>996</v>
      </c>
      <c r="B214" s="2" t="s">
        <v>939</v>
      </c>
      <c r="C214" s="2" t="s">
        <v>997</v>
      </c>
      <c r="D214" s="2" t="s">
        <v>998</v>
      </c>
      <c r="E214" s="2" t="s">
        <v>999</v>
      </c>
      <c r="F214" s="2" t="s">
        <v>119</v>
      </c>
      <c r="G214" s="2" t="s">
        <v>955</v>
      </c>
      <c r="H214" s="2" t="s">
        <v>1000</v>
      </c>
      <c r="I214" s="2" t="s">
        <v>945</v>
      </c>
      <c r="J214" s="3" t="n">
        <f aca="false">IF(L214="","",AVERAGEIFS(PH_Price,PH_ItemID,A214,PH_Date,L214))</f>
        <v>70</v>
      </c>
      <c r="K214" s="2" t="s">
        <v>26</v>
      </c>
      <c r="L214" s="4" t="n">
        <f aca="false">IF(COUNTIF(PH_ItemID,A214)=0,"",SUMPRODUCT(MAX((PH_ItemID=A214)*PH_Date)))</f>
        <v>46320</v>
      </c>
      <c r="M214" s="5" t="n">
        <f aca="true">IF(ISNUMBER(L214),TODAY()-L214,"")</f>
        <v>1</v>
      </c>
      <c r="N214" s="2" t="s">
        <v>27</v>
      </c>
      <c r="O214" s="4" t="str">
        <f aca="false">IF(L214="","",IF(SUMPRODUCT(MAX((PH_ItemID=A214)*(PH_Date&lt;L214)*PH_Date))=0,"",SUMPRODUCT(MAX((PH_ItemID=A214)*(PH_Date&lt;L214)*PH_Date))))</f>
        <v/>
      </c>
      <c r="P214" s="3" t="str">
        <f aca="false">IF(O214="","",AVERAGEIFS(PH_Price,PH_ItemID,A214,PH_Date,O214))</f>
        <v/>
      </c>
      <c r="Q214" s="6" t="str">
        <f aca="false">IF(OR(J214="",P214=""),"",J214/P214-1)</f>
        <v/>
      </c>
      <c r="R214" s="2" t="str">
        <f aca="false">IF(J214="","unpriced",IF(P214="","new",IF(Q214&gt;0.05,"▲ up",IF(Q214&lt;-0.05,"▼ down","► stable"))))</f>
        <v>new</v>
      </c>
      <c r="S214" s="2" t="s">
        <v>1001</v>
      </c>
    </row>
    <row r="215" customFormat="false" ht="15" hidden="false" customHeight="false" outlineLevel="0" collapsed="false">
      <c r="A215" s="2" t="s">
        <v>1002</v>
      </c>
      <c r="B215" s="2" t="s">
        <v>939</v>
      </c>
      <c r="C215" s="2" t="s">
        <v>1003</v>
      </c>
      <c r="D215" s="2" t="s">
        <v>1004</v>
      </c>
      <c r="E215" s="2" t="s">
        <v>1005</v>
      </c>
      <c r="F215" s="2" t="s">
        <v>965</v>
      </c>
      <c r="G215" s="2" t="s">
        <v>969</v>
      </c>
      <c r="H215" s="2" t="s">
        <v>1006</v>
      </c>
      <c r="I215" s="2" t="s">
        <v>945</v>
      </c>
      <c r="J215" s="3" t="n">
        <f aca="false">IF(L215="","",AVERAGEIFS(PH_Price,PH_ItemID,A215,PH_Date,L215))</f>
        <v>239.75</v>
      </c>
      <c r="K215" s="2" t="s">
        <v>26</v>
      </c>
      <c r="L215" s="4" t="n">
        <f aca="false">IF(COUNTIF(PH_ItemID,A215)=0,"",SUMPRODUCT(MAX((PH_ItemID=A215)*PH_Date)))</f>
        <v>46320</v>
      </c>
      <c r="M215" s="5" t="n">
        <f aca="true">IF(ISNUMBER(L215),TODAY()-L215,"")</f>
        <v>1</v>
      </c>
      <c r="N215" s="2" t="s">
        <v>27</v>
      </c>
      <c r="O215" s="4" t="str">
        <f aca="false">IF(L215="","",IF(SUMPRODUCT(MAX((PH_ItemID=A215)*(PH_Date&lt;L215)*PH_Date))=0,"",SUMPRODUCT(MAX((PH_ItemID=A215)*(PH_Date&lt;L215)*PH_Date))))</f>
        <v/>
      </c>
      <c r="P215" s="3" t="str">
        <f aca="false">IF(O215="","",AVERAGEIFS(PH_Price,PH_ItemID,A215,PH_Date,O215))</f>
        <v/>
      </c>
      <c r="Q215" s="6" t="str">
        <f aca="false">IF(OR(J215="",P215=""),"",J215/P215-1)</f>
        <v/>
      </c>
      <c r="R215" s="2" t="str">
        <f aca="false">IF(J215="","unpriced",IF(P215="","new",IF(Q215&gt;0.05,"▲ up",IF(Q215&lt;-0.05,"▼ down","► stable"))))</f>
        <v>new</v>
      </c>
      <c r="S215" s="2" t="s">
        <v>1007</v>
      </c>
    </row>
    <row r="216" customFormat="false" ht="15" hidden="false" customHeight="false" outlineLevel="0" collapsed="false">
      <c r="A216" s="2" t="s">
        <v>1008</v>
      </c>
      <c r="B216" s="2" t="s">
        <v>939</v>
      </c>
      <c r="C216" s="2" t="s">
        <v>1009</v>
      </c>
      <c r="D216" s="2" t="s">
        <v>1010</v>
      </c>
      <c r="E216" s="2" t="s">
        <v>1011</v>
      </c>
      <c r="F216" s="2" t="s">
        <v>814</v>
      </c>
      <c r="G216" s="2" t="s">
        <v>1012</v>
      </c>
      <c r="H216" s="2" t="s">
        <v>1013</v>
      </c>
      <c r="I216" s="2" t="s">
        <v>945</v>
      </c>
      <c r="J216" s="3" t="n">
        <f aca="false">IF(L216="","",AVERAGEIFS(PH_Price,PH_ItemID,A216,PH_Date,L216))</f>
        <v>799</v>
      </c>
      <c r="K216" s="2" t="s">
        <v>26</v>
      </c>
      <c r="L216" s="4" t="n">
        <f aca="false">IF(COUNTIF(PH_ItemID,A216)=0,"",SUMPRODUCT(MAX((PH_ItemID=A216)*PH_Date)))</f>
        <v>46320</v>
      </c>
      <c r="M216" s="5" t="n">
        <f aca="true">IF(ISNUMBER(L216),TODAY()-L216,"")</f>
        <v>1</v>
      </c>
      <c r="N216" s="2" t="s">
        <v>27</v>
      </c>
      <c r="O216" s="4" t="str">
        <f aca="false">IF(L216="","",IF(SUMPRODUCT(MAX((PH_ItemID=A216)*(PH_Date&lt;L216)*PH_Date))=0,"",SUMPRODUCT(MAX((PH_ItemID=A216)*(PH_Date&lt;L216)*PH_Date))))</f>
        <v/>
      </c>
      <c r="P216" s="3" t="str">
        <f aca="false">IF(O216="","",AVERAGEIFS(PH_Price,PH_ItemID,A216,PH_Date,O216))</f>
        <v/>
      </c>
      <c r="Q216" s="6" t="str">
        <f aca="false">IF(OR(J216="",P216=""),"",J216/P216-1)</f>
        <v/>
      </c>
      <c r="R216" s="2" t="str">
        <f aca="false">IF(J216="","unpriced",IF(P216="","new",IF(Q216&gt;0.05,"▲ up",IF(Q216&lt;-0.05,"▼ down","► stable"))))</f>
        <v>new</v>
      </c>
      <c r="S216" s="2" t="s">
        <v>1014</v>
      </c>
    </row>
    <row r="217" customFormat="false" ht="15" hidden="false" customHeight="false" outlineLevel="0" collapsed="false">
      <c r="A217" s="2" t="s">
        <v>1015</v>
      </c>
      <c r="B217" s="2" t="s">
        <v>939</v>
      </c>
      <c r="C217" s="2" t="s">
        <v>1016</v>
      </c>
      <c r="D217" s="2" t="s">
        <v>1017</v>
      </c>
      <c r="E217" s="2" t="s">
        <v>1018</v>
      </c>
      <c r="F217" s="2" t="s">
        <v>719</v>
      </c>
      <c r="G217" s="2"/>
      <c r="H217" s="2"/>
      <c r="I217" s="2" t="s">
        <v>25</v>
      </c>
      <c r="J217" s="3" t="str">
        <f aca="false">IF(L217="","",AVERAGEIFS(PH_Price,PH_ItemID,A217,PH_Date,L217))</f>
        <v/>
      </c>
      <c r="K217" s="2" t="s">
        <v>26</v>
      </c>
      <c r="L217" s="4" t="str">
        <f aca="false">IF(COUNTIF(PH_ItemID,A217)=0,"",SUMPRODUCT(MAX((PH_ItemID=A217)*PH_Date)))</f>
        <v/>
      </c>
      <c r="M217" s="5" t="str">
        <f aca="true">IF(ISNUMBER(L217),TODAY()-L217,"")</f>
        <v/>
      </c>
      <c r="N217" s="2" t="s">
        <v>104</v>
      </c>
      <c r="O217" s="4" t="str">
        <f aca="false">IF(L217="","",IF(SUMPRODUCT(MAX((PH_ItemID=A217)*(PH_Date&lt;L217)*PH_Date))=0,"",SUMPRODUCT(MAX((PH_ItemID=A217)*(PH_Date&lt;L217)*PH_Date))))</f>
        <v/>
      </c>
      <c r="P217" s="3" t="str">
        <f aca="false">IF(O217="","",AVERAGEIFS(PH_Price,PH_ItemID,A217,PH_Date,O217))</f>
        <v/>
      </c>
      <c r="Q217" s="6" t="str">
        <f aca="false">IF(OR(J217="",P217=""),"",J217/P217-1)</f>
        <v/>
      </c>
      <c r="R217" s="2" t="str">
        <f aca="false">IF(J217="","unpriced",IF(P217="","new",IF(Q217&gt;0.05,"▲ up",IF(Q217&lt;-0.05,"▼ down","► stable"))))</f>
        <v>unpriced</v>
      </c>
      <c r="S217" s="2" t="s">
        <v>1019</v>
      </c>
    </row>
    <row r="218" customFormat="false" ht="15" hidden="false" customHeight="false" outlineLevel="0" collapsed="false">
      <c r="A218" s="2" t="s">
        <v>1020</v>
      </c>
      <c r="B218" s="2" t="s">
        <v>939</v>
      </c>
      <c r="C218" s="2" t="s">
        <v>1021</v>
      </c>
      <c r="D218" s="2" t="s">
        <v>1022</v>
      </c>
      <c r="E218" s="2" t="s">
        <v>1023</v>
      </c>
      <c r="F218" s="2" t="s">
        <v>719</v>
      </c>
      <c r="G218" s="2"/>
      <c r="H218" s="2"/>
      <c r="I218" s="2" t="s">
        <v>25</v>
      </c>
      <c r="J218" s="3" t="str">
        <f aca="false">IF(L218="","",AVERAGEIFS(PH_Price,PH_ItemID,A218,PH_Date,L218))</f>
        <v/>
      </c>
      <c r="K218" s="2" t="s">
        <v>26</v>
      </c>
      <c r="L218" s="4" t="str">
        <f aca="false">IF(COUNTIF(PH_ItemID,A218)=0,"",SUMPRODUCT(MAX((PH_ItemID=A218)*PH_Date)))</f>
        <v/>
      </c>
      <c r="M218" s="5" t="str">
        <f aca="true">IF(ISNUMBER(L218),TODAY()-L218,"")</f>
        <v/>
      </c>
      <c r="N218" s="2" t="s">
        <v>104</v>
      </c>
      <c r="O218" s="4" t="str">
        <f aca="false">IF(L218="","",IF(SUMPRODUCT(MAX((PH_ItemID=A218)*(PH_Date&lt;L218)*PH_Date))=0,"",SUMPRODUCT(MAX((PH_ItemID=A218)*(PH_Date&lt;L218)*PH_Date))))</f>
        <v/>
      </c>
      <c r="P218" s="3" t="str">
        <f aca="false">IF(O218="","",AVERAGEIFS(PH_Price,PH_ItemID,A218,PH_Date,O218))</f>
        <v/>
      </c>
      <c r="Q218" s="6" t="str">
        <f aca="false">IF(OR(J218="",P218=""),"",J218/P218-1)</f>
        <v/>
      </c>
      <c r="R218" s="2" t="str">
        <f aca="false">IF(J218="","unpriced",IF(P218="","new",IF(Q218&gt;0.05,"▲ up",IF(Q218&lt;-0.05,"▼ down","► stable"))))</f>
        <v>unpriced</v>
      </c>
      <c r="S218" s="2" t="s">
        <v>1024</v>
      </c>
    </row>
    <row r="219" customFormat="false" ht="1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N219" s="2"/>
      <c r="O219" s="2"/>
      <c r="P219" s="2"/>
      <c r="R219" s="2"/>
      <c r="S219" s="2"/>
    </row>
    <row r="220" customFormat="false" ht="1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N220" s="2"/>
      <c r="O220" s="2"/>
      <c r="P220" s="2"/>
      <c r="R220" s="2"/>
      <c r="S220" s="2"/>
    </row>
    <row r="221" customFormat="false" ht="1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N221" s="2"/>
      <c r="O221" s="2"/>
      <c r="P221" s="2"/>
      <c r="R221" s="2"/>
      <c r="S221" s="2"/>
    </row>
    <row r="222" customFormat="false" ht="1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N222" s="2"/>
      <c r="O222" s="2"/>
      <c r="P222" s="2"/>
      <c r="R222" s="2"/>
      <c r="S222" s="2"/>
    </row>
    <row r="223" customFormat="false" ht="1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N223" s="2"/>
      <c r="O223" s="2"/>
      <c r="P223" s="2"/>
      <c r="R223" s="2"/>
      <c r="S223" s="2"/>
    </row>
    <row r="224" customFormat="false" ht="1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N224" s="2"/>
      <c r="O224" s="2"/>
      <c r="P224" s="2"/>
      <c r="R224" s="2"/>
      <c r="S224" s="2"/>
    </row>
    <row r="225" customFormat="false" ht="1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N225" s="2"/>
      <c r="O225" s="2"/>
      <c r="P225" s="2"/>
      <c r="R225" s="2"/>
      <c r="S225" s="2"/>
    </row>
    <row r="226" customFormat="false" ht="1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N226" s="2"/>
      <c r="O226" s="2"/>
      <c r="P226" s="2"/>
      <c r="R226" s="2"/>
      <c r="S226" s="2"/>
    </row>
    <row r="227" customFormat="false" ht="1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N227" s="2"/>
      <c r="O227" s="2"/>
      <c r="P227" s="2"/>
      <c r="R227" s="2"/>
      <c r="S227" s="2"/>
    </row>
    <row r="228" customFormat="false" ht="1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N228" s="2"/>
      <c r="O228" s="2"/>
      <c r="P228" s="2"/>
      <c r="R228" s="2"/>
      <c r="S228" s="2"/>
    </row>
    <row r="229" customFormat="false" ht="1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N229" s="2"/>
      <c r="O229" s="2"/>
      <c r="P229" s="2"/>
      <c r="R229" s="2"/>
      <c r="S229" s="2"/>
    </row>
    <row r="230" customFormat="false" ht="1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N230" s="2"/>
      <c r="O230" s="2"/>
      <c r="P230" s="2"/>
      <c r="R230" s="2"/>
      <c r="S230" s="2"/>
    </row>
    <row r="231" customFormat="false" ht="1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N231" s="2"/>
      <c r="O231" s="2"/>
      <c r="P231" s="2"/>
      <c r="R231" s="2"/>
      <c r="S231" s="2"/>
    </row>
    <row r="232" customFormat="false" ht="1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N232" s="2"/>
      <c r="O232" s="2"/>
      <c r="P232" s="2"/>
      <c r="R232" s="2"/>
      <c r="S232" s="2"/>
    </row>
    <row r="233" customFormat="false" ht="1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N233" s="2"/>
      <c r="O233" s="2"/>
      <c r="P233" s="2"/>
      <c r="R233" s="2"/>
      <c r="S233" s="2"/>
    </row>
    <row r="234" customFormat="false" ht="1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N234" s="2"/>
      <c r="O234" s="2"/>
      <c r="P234" s="2"/>
      <c r="R234" s="2"/>
      <c r="S234" s="2"/>
    </row>
    <row r="235" customFormat="false" ht="1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N235" s="2"/>
      <c r="O235" s="2"/>
      <c r="P235" s="2"/>
      <c r="R235" s="2"/>
      <c r="S235" s="2"/>
    </row>
    <row r="236" customFormat="false" ht="1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N236" s="2"/>
      <c r="O236" s="2"/>
      <c r="P236" s="2"/>
      <c r="R236" s="2"/>
      <c r="S236" s="2"/>
    </row>
    <row r="237" customFormat="false" ht="1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N237" s="2"/>
      <c r="O237" s="2"/>
      <c r="P237" s="2"/>
      <c r="R237" s="2"/>
      <c r="S237" s="2"/>
    </row>
    <row r="238" customFormat="false" ht="1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N238" s="2"/>
      <c r="O238" s="2"/>
      <c r="P238" s="2"/>
      <c r="R238" s="2"/>
      <c r="S238" s="2"/>
    </row>
    <row r="239" customFormat="false" ht="1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N239" s="2"/>
      <c r="O239" s="2"/>
      <c r="P239" s="2"/>
      <c r="R239" s="2"/>
      <c r="S239" s="2"/>
    </row>
    <row r="240" customFormat="false" ht="1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N240" s="2"/>
      <c r="O240" s="2"/>
      <c r="P240" s="2"/>
      <c r="R240" s="2"/>
      <c r="S240" s="2"/>
    </row>
    <row r="241" customFormat="false" ht="1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N241" s="2"/>
      <c r="O241" s="2"/>
      <c r="P241" s="2"/>
      <c r="R241" s="2"/>
      <c r="S241" s="2"/>
    </row>
    <row r="242" customFormat="false" ht="1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N242" s="2"/>
      <c r="O242" s="2"/>
      <c r="P242" s="2"/>
      <c r="R242" s="2"/>
      <c r="S242" s="2"/>
    </row>
    <row r="243" customFormat="false" ht="1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N243" s="2"/>
      <c r="O243" s="2"/>
      <c r="P243" s="2"/>
      <c r="R243" s="2"/>
      <c r="S243" s="2"/>
    </row>
    <row r="244" customFormat="false" ht="1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N244" s="2"/>
      <c r="O244" s="2"/>
      <c r="P244" s="2"/>
      <c r="R244" s="2"/>
      <c r="S244" s="2"/>
    </row>
    <row r="245" customFormat="false" ht="1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N245" s="2"/>
      <c r="O245" s="2"/>
      <c r="P245" s="2"/>
      <c r="R245" s="2"/>
      <c r="S245" s="2"/>
    </row>
    <row r="246" customFormat="false" ht="1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N246" s="2"/>
      <c r="O246" s="2"/>
      <c r="P246" s="2"/>
      <c r="R246" s="2"/>
      <c r="S246" s="2"/>
    </row>
    <row r="247" customFormat="false" ht="1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N247" s="2"/>
      <c r="O247" s="2"/>
      <c r="P247" s="2"/>
      <c r="R247" s="2"/>
      <c r="S247" s="2"/>
    </row>
    <row r="248" customFormat="false" ht="1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N248" s="2"/>
      <c r="O248" s="2"/>
      <c r="P248" s="2"/>
      <c r="R248" s="2"/>
      <c r="S248" s="2"/>
    </row>
    <row r="249" customFormat="false" ht="1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N249" s="2"/>
      <c r="O249" s="2"/>
      <c r="P249" s="2"/>
      <c r="R249" s="2"/>
      <c r="S249" s="2"/>
    </row>
    <row r="250" customFormat="false" ht="1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N250" s="2"/>
      <c r="O250" s="2"/>
      <c r="P250" s="2"/>
      <c r="R250" s="2"/>
      <c r="S250" s="2"/>
    </row>
    <row r="251" customFormat="false" ht="1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N251" s="2"/>
      <c r="O251" s="2"/>
      <c r="P251" s="2"/>
      <c r="R251" s="2"/>
      <c r="S251" s="2"/>
    </row>
    <row r="252" customFormat="false" ht="1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N252" s="2"/>
      <c r="O252" s="2"/>
      <c r="P252" s="2"/>
      <c r="R252" s="2"/>
      <c r="S252" s="2"/>
    </row>
    <row r="253" customFormat="false" ht="1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N253" s="2"/>
      <c r="O253" s="2"/>
      <c r="P253" s="2"/>
      <c r="R253" s="2"/>
      <c r="S253" s="2"/>
    </row>
    <row r="254" customFormat="false" ht="1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N254" s="2"/>
      <c r="O254" s="2"/>
      <c r="P254" s="2"/>
      <c r="R254" s="2"/>
      <c r="S254" s="2"/>
    </row>
    <row r="255" customFormat="false" ht="1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N255" s="2"/>
      <c r="O255" s="2"/>
      <c r="P255" s="2"/>
      <c r="R255" s="2"/>
      <c r="S255" s="2"/>
    </row>
    <row r="256" customFormat="false" ht="1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N256" s="2"/>
      <c r="O256" s="2"/>
      <c r="P256" s="2"/>
      <c r="R256" s="2"/>
      <c r="S256" s="2"/>
    </row>
    <row r="257" customFormat="false" ht="1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N257" s="2"/>
      <c r="O257" s="2"/>
      <c r="P257" s="2"/>
      <c r="R257" s="2"/>
      <c r="S257" s="2"/>
    </row>
    <row r="258" customFormat="false" ht="1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N258" s="2"/>
      <c r="O258" s="2"/>
      <c r="P258" s="2"/>
      <c r="R258" s="2"/>
      <c r="S258" s="2"/>
    </row>
    <row r="259" customFormat="false" ht="1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N259" s="2"/>
      <c r="O259" s="2"/>
      <c r="P259" s="2"/>
      <c r="R259" s="2"/>
      <c r="S259" s="2"/>
    </row>
    <row r="260" customFormat="false" ht="1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N260" s="2"/>
      <c r="O260" s="2"/>
      <c r="P260" s="2"/>
      <c r="R260" s="2"/>
      <c r="S260" s="2"/>
    </row>
    <row r="261" customFormat="false" ht="1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N261" s="2"/>
      <c r="O261" s="2"/>
      <c r="P261" s="2"/>
      <c r="R261" s="2"/>
      <c r="S261" s="2"/>
    </row>
    <row r="262" customFormat="false" ht="1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N262" s="2"/>
      <c r="O262" s="2"/>
      <c r="P262" s="2"/>
      <c r="R262" s="2"/>
      <c r="S262" s="2"/>
    </row>
    <row r="263" customFormat="false" ht="1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N263" s="2"/>
      <c r="O263" s="2"/>
      <c r="P263" s="2"/>
      <c r="R263" s="2"/>
      <c r="S263" s="2"/>
    </row>
    <row r="264" customFormat="false" ht="1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N264" s="2"/>
      <c r="O264" s="2"/>
      <c r="P264" s="2"/>
      <c r="R264" s="2"/>
      <c r="S264" s="2"/>
    </row>
    <row r="265" customFormat="false" ht="1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N265" s="2"/>
      <c r="O265" s="2"/>
      <c r="P265" s="2"/>
      <c r="R265" s="2"/>
      <c r="S265" s="2"/>
    </row>
    <row r="266" customFormat="false" ht="1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N266" s="2"/>
      <c r="O266" s="2"/>
      <c r="P266" s="2"/>
      <c r="R266" s="2"/>
      <c r="S266" s="2"/>
    </row>
    <row r="267" customFormat="false" ht="1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N267" s="2"/>
      <c r="O267" s="2"/>
      <c r="P267" s="2"/>
      <c r="R267" s="2"/>
      <c r="S267" s="2"/>
    </row>
    <row r="268" customFormat="false" ht="1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N268" s="2"/>
      <c r="O268" s="2"/>
      <c r="P268" s="2"/>
      <c r="R268" s="2"/>
      <c r="S268" s="2"/>
    </row>
    <row r="269" customFormat="false" ht="1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N269" s="2"/>
      <c r="O269" s="2"/>
      <c r="P269" s="2"/>
      <c r="R269" s="2"/>
      <c r="S269" s="2"/>
    </row>
    <row r="270" customFormat="false" ht="1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N270" s="2"/>
      <c r="O270" s="2"/>
      <c r="P270" s="2"/>
      <c r="R270" s="2"/>
      <c r="S270" s="2"/>
    </row>
    <row r="271" customFormat="false" ht="1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N271" s="2"/>
      <c r="O271" s="2"/>
      <c r="P271" s="2"/>
      <c r="R271" s="2"/>
      <c r="S271" s="2"/>
    </row>
    <row r="272" customFormat="false" ht="1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N272" s="2"/>
      <c r="O272" s="2"/>
      <c r="P272" s="2"/>
      <c r="R272" s="2"/>
      <c r="S272" s="2"/>
    </row>
    <row r="273" customFormat="false" ht="1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N273" s="2"/>
      <c r="O273" s="2"/>
      <c r="P273" s="2"/>
      <c r="R273" s="2"/>
      <c r="S273" s="2"/>
    </row>
    <row r="274" customFormat="false" ht="1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N274" s="2"/>
      <c r="O274" s="2"/>
      <c r="P274" s="2"/>
      <c r="R274" s="2"/>
      <c r="S274" s="2"/>
    </row>
    <row r="275" customFormat="false" ht="1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N275" s="2"/>
      <c r="O275" s="2"/>
      <c r="P275" s="2"/>
      <c r="R275" s="2"/>
      <c r="S275" s="2"/>
    </row>
    <row r="276" customFormat="false" ht="1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N276" s="2"/>
      <c r="O276" s="2"/>
      <c r="P276" s="2"/>
      <c r="R276" s="2"/>
      <c r="S276" s="2"/>
    </row>
    <row r="277" customFormat="false" ht="1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N277" s="2"/>
      <c r="O277" s="2"/>
      <c r="P277" s="2"/>
      <c r="R277" s="2"/>
      <c r="S277" s="2"/>
    </row>
    <row r="278" customFormat="false" ht="1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N278" s="2"/>
      <c r="O278" s="2"/>
      <c r="P278" s="2"/>
      <c r="R278" s="2"/>
      <c r="S278" s="2"/>
    </row>
    <row r="279" customFormat="false" ht="1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N279" s="2"/>
      <c r="O279" s="2"/>
      <c r="P279" s="2"/>
      <c r="R279" s="2"/>
      <c r="S279" s="2"/>
    </row>
    <row r="280" customFormat="false" ht="1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N280" s="2"/>
      <c r="O280" s="2"/>
      <c r="P280" s="2"/>
      <c r="R280" s="2"/>
      <c r="S280" s="2"/>
    </row>
    <row r="281" customFormat="false" ht="1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N281" s="2"/>
      <c r="O281" s="2"/>
      <c r="P281" s="2"/>
      <c r="R281" s="2"/>
      <c r="S281" s="2"/>
    </row>
    <row r="282" customFormat="false" ht="1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N282" s="2"/>
      <c r="O282" s="2"/>
      <c r="P282" s="2"/>
      <c r="R282" s="2"/>
      <c r="S282" s="2"/>
    </row>
    <row r="283" customFormat="false" ht="1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N283" s="2"/>
      <c r="O283" s="2"/>
      <c r="P283" s="2"/>
      <c r="R283" s="2"/>
      <c r="S283" s="2"/>
    </row>
    <row r="284" customFormat="false" ht="1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N284" s="2"/>
      <c r="O284" s="2"/>
      <c r="P284" s="2"/>
      <c r="R284" s="2"/>
      <c r="S284" s="2"/>
    </row>
    <row r="285" customFormat="false" ht="1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N285" s="2"/>
      <c r="O285" s="2"/>
      <c r="P285" s="2"/>
      <c r="R285" s="2"/>
      <c r="S285" s="2"/>
    </row>
    <row r="286" customFormat="false" ht="1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N286" s="2"/>
      <c r="O286" s="2"/>
      <c r="P286" s="2"/>
      <c r="R286" s="2"/>
      <c r="S286" s="2"/>
    </row>
    <row r="287" customFormat="false" ht="1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N287" s="2"/>
      <c r="O287" s="2"/>
      <c r="P287" s="2"/>
      <c r="R287" s="2"/>
      <c r="S287" s="2"/>
    </row>
    <row r="288" customFormat="false" ht="1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N288" s="2"/>
      <c r="O288" s="2"/>
      <c r="P288" s="2"/>
      <c r="R288" s="2"/>
      <c r="S288" s="2"/>
    </row>
    <row r="289" customFormat="false" ht="1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N289" s="2"/>
      <c r="O289" s="2"/>
      <c r="P289" s="2"/>
      <c r="R289" s="2"/>
      <c r="S289" s="2"/>
    </row>
    <row r="290" customFormat="false" ht="1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N290" s="2"/>
      <c r="O290" s="2"/>
      <c r="P290" s="2"/>
      <c r="R290" s="2"/>
      <c r="S290" s="2"/>
    </row>
    <row r="291" customFormat="false" ht="1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N291" s="2"/>
      <c r="O291" s="2"/>
      <c r="P291" s="2"/>
      <c r="R291" s="2"/>
      <c r="S291" s="2"/>
    </row>
    <row r="292" customFormat="false" ht="1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N292" s="2"/>
      <c r="O292" s="2"/>
      <c r="P292" s="2"/>
      <c r="R292" s="2"/>
      <c r="S292" s="2"/>
    </row>
    <row r="293" customFormat="false" ht="1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N293" s="2"/>
      <c r="O293" s="2"/>
      <c r="P293" s="2"/>
      <c r="R293" s="2"/>
      <c r="S293" s="2"/>
    </row>
    <row r="294" customFormat="false" ht="1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N294" s="2"/>
      <c r="O294" s="2"/>
      <c r="P294" s="2"/>
      <c r="R294" s="2"/>
      <c r="S294" s="2"/>
    </row>
    <row r="295" customFormat="false" ht="1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N295" s="2"/>
      <c r="O295" s="2"/>
      <c r="P295" s="2"/>
      <c r="R295" s="2"/>
      <c r="S295" s="2"/>
    </row>
    <row r="296" customFormat="false" ht="1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N296" s="2"/>
      <c r="O296" s="2"/>
      <c r="P296" s="2"/>
      <c r="R296" s="2"/>
      <c r="S296" s="2"/>
    </row>
    <row r="297" customFormat="false" ht="1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N297" s="2"/>
      <c r="O297" s="2"/>
      <c r="P297" s="2"/>
      <c r="R297" s="2"/>
      <c r="S297" s="2"/>
    </row>
    <row r="298" customFormat="false" ht="1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N298" s="2"/>
      <c r="O298" s="2"/>
      <c r="P298" s="2"/>
      <c r="R298" s="2"/>
      <c r="S298" s="2"/>
    </row>
    <row r="299" customFormat="false" ht="1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N299" s="2"/>
      <c r="O299" s="2"/>
      <c r="P299" s="2"/>
      <c r="R299" s="2"/>
      <c r="S299" s="2"/>
    </row>
    <row r="300" customFormat="false" ht="1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N300" s="2"/>
      <c r="O300" s="2"/>
      <c r="P300" s="2"/>
      <c r="R300" s="2"/>
      <c r="S300" s="2"/>
    </row>
    <row r="301" customFormat="false" ht="1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N301" s="2"/>
      <c r="O301" s="2"/>
      <c r="P301" s="2"/>
      <c r="R301" s="2"/>
      <c r="S301" s="2"/>
    </row>
    <row r="302" customFormat="false" ht="1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N302" s="2"/>
      <c r="O302" s="2"/>
      <c r="P302" s="2"/>
      <c r="R302" s="2"/>
      <c r="S302" s="2"/>
    </row>
    <row r="303" customFormat="false" ht="1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N303" s="2"/>
      <c r="O303" s="2"/>
      <c r="P303" s="2"/>
      <c r="R303" s="2"/>
      <c r="S303" s="2"/>
    </row>
    <row r="304" customFormat="false" ht="1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N304" s="2"/>
      <c r="O304" s="2"/>
      <c r="P304" s="2"/>
      <c r="R304" s="2"/>
      <c r="S304" s="2"/>
    </row>
    <row r="305" customFormat="false" ht="1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N305" s="2"/>
      <c r="O305" s="2"/>
      <c r="P305" s="2"/>
      <c r="R305" s="2"/>
      <c r="S305" s="2"/>
    </row>
    <row r="306" customFormat="false" ht="1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N306" s="2"/>
      <c r="O306" s="2"/>
      <c r="P306" s="2"/>
      <c r="R306" s="2"/>
      <c r="S306" s="2"/>
    </row>
    <row r="307" customFormat="false" ht="1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N307" s="2"/>
      <c r="O307" s="2"/>
      <c r="P307" s="2"/>
      <c r="R307" s="2"/>
      <c r="S307" s="2"/>
    </row>
    <row r="308" customFormat="false" ht="1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N308" s="2"/>
      <c r="O308" s="2"/>
      <c r="P308" s="2"/>
      <c r="R308" s="2"/>
      <c r="S308" s="2"/>
    </row>
    <row r="309" customFormat="false" ht="1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N309" s="2"/>
      <c r="O309" s="2"/>
      <c r="P309" s="2"/>
      <c r="R309" s="2"/>
      <c r="S309" s="2"/>
    </row>
    <row r="310" customFormat="false" ht="1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N310" s="2"/>
      <c r="O310" s="2"/>
      <c r="P310" s="2"/>
      <c r="R310" s="2"/>
      <c r="S310" s="2"/>
    </row>
    <row r="311" customFormat="false" ht="1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N311" s="2"/>
      <c r="O311" s="2"/>
      <c r="P311" s="2"/>
      <c r="R311" s="2"/>
      <c r="S311" s="2"/>
    </row>
    <row r="312" customFormat="false" ht="1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N312" s="2"/>
      <c r="O312" s="2"/>
      <c r="P312" s="2"/>
      <c r="R312" s="2"/>
      <c r="S312" s="2"/>
    </row>
    <row r="313" customFormat="false" ht="1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N313" s="2"/>
      <c r="O313" s="2"/>
      <c r="P313" s="2"/>
      <c r="R313" s="2"/>
      <c r="S313" s="2"/>
    </row>
    <row r="314" customFormat="false" ht="1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N314" s="2"/>
      <c r="O314" s="2"/>
      <c r="P314" s="2"/>
      <c r="R314" s="2"/>
      <c r="S314" s="2"/>
    </row>
    <row r="315" customFormat="false" ht="1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N315" s="2"/>
      <c r="O315" s="2"/>
      <c r="P315" s="2"/>
      <c r="R315" s="2"/>
      <c r="S315" s="2"/>
    </row>
    <row r="316" customFormat="false" ht="1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N316" s="2"/>
      <c r="O316" s="2"/>
      <c r="P316" s="2"/>
      <c r="R316" s="2"/>
      <c r="S316" s="2"/>
    </row>
    <row r="317" customFormat="false" ht="1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N317" s="2"/>
      <c r="O317" s="2"/>
      <c r="P317" s="2"/>
      <c r="R317" s="2"/>
      <c r="S317" s="2"/>
    </row>
    <row r="318" customFormat="false" ht="1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N318" s="2"/>
      <c r="O318" s="2"/>
      <c r="P318" s="2"/>
      <c r="R318" s="2"/>
      <c r="S318" s="2"/>
    </row>
    <row r="319" customFormat="false" ht="1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N319" s="2"/>
      <c r="O319" s="2"/>
      <c r="P319" s="2"/>
      <c r="R319" s="2"/>
      <c r="S319" s="2"/>
    </row>
    <row r="320" customFormat="false" ht="1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N320" s="2"/>
      <c r="O320" s="2"/>
      <c r="P320" s="2"/>
      <c r="R320" s="2"/>
      <c r="S320" s="2"/>
    </row>
    <row r="321" customFormat="false" ht="1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N321" s="2"/>
      <c r="O321" s="2"/>
      <c r="P321" s="2"/>
      <c r="R321" s="2"/>
      <c r="S321" s="2"/>
    </row>
    <row r="322" customFormat="false" ht="1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N322" s="2"/>
      <c r="O322" s="2"/>
      <c r="P322" s="2"/>
      <c r="R322" s="2"/>
      <c r="S322" s="2"/>
    </row>
    <row r="323" customFormat="false" ht="1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N323" s="2"/>
      <c r="O323" s="2"/>
      <c r="P323" s="2"/>
      <c r="R323" s="2"/>
      <c r="S323" s="2"/>
    </row>
    <row r="324" customFormat="false" ht="1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N324" s="2"/>
      <c r="O324" s="2"/>
      <c r="P324" s="2"/>
      <c r="R324" s="2"/>
      <c r="S324" s="2"/>
    </row>
    <row r="325" customFormat="false" ht="1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N325" s="2"/>
      <c r="O325" s="2"/>
      <c r="P325" s="2"/>
      <c r="R325" s="2"/>
      <c r="S325" s="2"/>
    </row>
    <row r="326" customFormat="false" ht="1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N326" s="2"/>
      <c r="O326" s="2"/>
      <c r="P326" s="2"/>
      <c r="R326" s="2"/>
      <c r="S326" s="2"/>
    </row>
    <row r="327" customFormat="false" ht="1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N327" s="2"/>
      <c r="O327" s="2"/>
      <c r="P327" s="2"/>
      <c r="R327" s="2"/>
      <c r="S327" s="2"/>
    </row>
    <row r="328" customFormat="false" ht="1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N328" s="2"/>
      <c r="O328" s="2"/>
      <c r="P328" s="2"/>
      <c r="R328" s="2"/>
      <c r="S328" s="2"/>
    </row>
    <row r="329" customFormat="false" ht="1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N329" s="2"/>
      <c r="O329" s="2"/>
      <c r="P329" s="2"/>
      <c r="R329" s="2"/>
      <c r="S329" s="2"/>
    </row>
    <row r="330" customFormat="false" ht="1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N330" s="2"/>
      <c r="O330" s="2"/>
      <c r="P330" s="2"/>
      <c r="R330" s="2"/>
      <c r="S330" s="2"/>
    </row>
    <row r="331" customFormat="false" ht="1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N331" s="2"/>
      <c r="O331" s="2"/>
      <c r="P331" s="2"/>
      <c r="R331" s="2"/>
      <c r="S331" s="2"/>
    </row>
    <row r="332" customFormat="false" ht="1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N332" s="2"/>
      <c r="O332" s="2"/>
      <c r="P332" s="2"/>
      <c r="R332" s="2"/>
      <c r="S332" s="2"/>
    </row>
    <row r="333" customFormat="false" ht="1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N333" s="2"/>
      <c r="O333" s="2"/>
      <c r="P333" s="2"/>
      <c r="R333" s="2"/>
      <c r="S333" s="2"/>
    </row>
    <row r="334" customFormat="false" ht="1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N334" s="2"/>
      <c r="O334" s="2"/>
      <c r="P334" s="2"/>
      <c r="R334" s="2"/>
      <c r="S334" s="2"/>
    </row>
    <row r="335" customFormat="false" ht="1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N335" s="2"/>
      <c r="O335" s="2"/>
      <c r="P335" s="2"/>
      <c r="R335" s="2"/>
      <c r="S335" s="2"/>
    </row>
    <row r="336" customFormat="false" ht="1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N336" s="2"/>
      <c r="O336" s="2"/>
      <c r="P336" s="2"/>
      <c r="R336" s="2"/>
      <c r="S336" s="2"/>
    </row>
    <row r="337" customFormat="false" ht="1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N337" s="2"/>
      <c r="O337" s="2"/>
      <c r="P337" s="2"/>
      <c r="R337" s="2"/>
      <c r="S337" s="2"/>
    </row>
    <row r="338" customFormat="false" ht="1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N338" s="2"/>
      <c r="O338" s="2"/>
      <c r="P338" s="2"/>
      <c r="R338" s="2"/>
      <c r="S338" s="2"/>
    </row>
    <row r="339" customFormat="false" ht="1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N339" s="2"/>
      <c r="O339" s="2"/>
      <c r="P339" s="2"/>
      <c r="R339" s="2"/>
      <c r="S339" s="2"/>
    </row>
    <row r="340" customFormat="false" ht="1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N340" s="2"/>
      <c r="O340" s="2"/>
      <c r="P340" s="2"/>
      <c r="R340" s="2"/>
      <c r="S340" s="2"/>
    </row>
    <row r="341" customFormat="false" ht="1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N341" s="2"/>
      <c r="O341" s="2"/>
      <c r="P341" s="2"/>
      <c r="R341" s="2"/>
      <c r="S341" s="2"/>
    </row>
    <row r="342" customFormat="false" ht="1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N342" s="2"/>
      <c r="O342" s="2"/>
      <c r="P342" s="2"/>
      <c r="R342" s="2"/>
      <c r="S342" s="2"/>
    </row>
    <row r="343" customFormat="false" ht="1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N343" s="2"/>
      <c r="O343" s="2"/>
      <c r="P343" s="2"/>
      <c r="R343" s="2"/>
      <c r="S343" s="2"/>
    </row>
    <row r="344" customFormat="false" ht="1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N344" s="2"/>
      <c r="O344" s="2"/>
      <c r="P344" s="2"/>
      <c r="R344" s="2"/>
      <c r="S344" s="2"/>
    </row>
    <row r="345" customFormat="false" ht="1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N345" s="2"/>
      <c r="O345" s="2"/>
      <c r="P345" s="2"/>
      <c r="R345" s="2"/>
      <c r="S345" s="2"/>
    </row>
    <row r="346" customFormat="false" ht="1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N346" s="2"/>
      <c r="O346" s="2"/>
      <c r="P346" s="2"/>
      <c r="R346" s="2"/>
      <c r="S346" s="2"/>
    </row>
    <row r="347" customFormat="false" ht="1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N347" s="2"/>
      <c r="O347" s="2"/>
      <c r="P347" s="2"/>
      <c r="R347" s="2"/>
      <c r="S347" s="2"/>
    </row>
    <row r="348" customFormat="false" ht="1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N348" s="2"/>
      <c r="O348" s="2"/>
      <c r="P348" s="2"/>
      <c r="R348" s="2"/>
      <c r="S348" s="2"/>
    </row>
    <row r="349" customFormat="false" ht="1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N349" s="2"/>
      <c r="O349" s="2"/>
      <c r="P349" s="2"/>
      <c r="R349" s="2"/>
      <c r="S349" s="2"/>
    </row>
    <row r="350" customFormat="false" ht="1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N350" s="2"/>
      <c r="O350" s="2"/>
      <c r="P350" s="2"/>
      <c r="R350" s="2"/>
      <c r="S350" s="2"/>
    </row>
    <row r="351" customFormat="false" ht="1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N351" s="2"/>
      <c r="O351" s="2"/>
      <c r="P351" s="2"/>
      <c r="R351" s="2"/>
      <c r="S351" s="2"/>
    </row>
    <row r="352" customFormat="false" ht="1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N352" s="2"/>
      <c r="O352" s="2"/>
      <c r="P352" s="2"/>
      <c r="R352" s="2"/>
      <c r="S352" s="2"/>
    </row>
    <row r="353" customFormat="false" ht="1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N353" s="2"/>
      <c r="O353" s="2"/>
      <c r="P353" s="2"/>
      <c r="R353" s="2"/>
      <c r="S353" s="2"/>
    </row>
    <row r="354" customFormat="false" ht="1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N354" s="2"/>
      <c r="O354" s="2"/>
      <c r="P354" s="2"/>
      <c r="R354" s="2"/>
      <c r="S354" s="2"/>
    </row>
    <row r="355" customFormat="false" ht="1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N355" s="2"/>
      <c r="O355" s="2"/>
      <c r="P355" s="2"/>
      <c r="R355" s="2"/>
      <c r="S355" s="2"/>
    </row>
    <row r="356" customFormat="false" ht="1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N356" s="2"/>
      <c r="O356" s="2"/>
      <c r="P356" s="2"/>
      <c r="R356" s="2"/>
      <c r="S356" s="2"/>
    </row>
    <row r="357" customFormat="false" ht="1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N357" s="2"/>
      <c r="O357" s="2"/>
      <c r="P357" s="2"/>
      <c r="R357" s="2"/>
      <c r="S357" s="2"/>
    </row>
    <row r="358" customFormat="false" ht="1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N358" s="2"/>
      <c r="O358" s="2"/>
      <c r="P358" s="2"/>
      <c r="R358" s="2"/>
      <c r="S358" s="2"/>
    </row>
    <row r="359" customFormat="false" ht="1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N359" s="2"/>
      <c r="O359" s="2"/>
      <c r="P359" s="2"/>
      <c r="R359" s="2"/>
      <c r="S359" s="2"/>
    </row>
    <row r="360" customFormat="false" ht="1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N360" s="2"/>
      <c r="O360" s="2"/>
      <c r="P360" s="2"/>
      <c r="R360" s="2"/>
      <c r="S360" s="2"/>
    </row>
    <row r="361" customFormat="false" ht="1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N361" s="2"/>
      <c r="O361" s="2"/>
      <c r="P361" s="2"/>
      <c r="R361" s="2"/>
      <c r="S361" s="2"/>
    </row>
    <row r="362" customFormat="false" ht="1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N362" s="2"/>
      <c r="O362" s="2"/>
      <c r="P362" s="2"/>
      <c r="R362" s="2"/>
      <c r="S362" s="2"/>
    </row>
    <row r="363" customFormat="false" ht="1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N363" s="2"/>
      <c r="O363" s="2"/>
      <c r="P363" s="2"/>
      <c r="R363" s="2"/>
      <c r="S363" s="2"/>
    </row>
    <row r="364" customFormat="false" ht="1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N364" s="2"/>
      <c r="O364" s="2"/>
      <c r="P364" s="2"/>
      <c r="R364" s="2"/>
      <c r="S364" s="2"/>
    </row>
    <row r="365" customFormat="false" ht="1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N365" s="2"/>
      <c r="O365" s="2"/>
      <c r="P365" s="2"/>
      <c r="R365" s="2"/>
      <c r="S365" s="2"/>
    </row>
    <row r="366" customFormat="false" ht="1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N366" s="2"/>
      <c r="O366" s="2"/>
      <c r="P366" s="2"/>
      <c r="R366" s="2"/>
      <c r="S366" s="2"/>
    </row>
    <row r="367" customFormat="false" ht="1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N367" s="2"/>
      <c r="O367" s="2"/>
      <c r="P367" s="2"/>
      <c r="R367" s="2"/>
      <c r="S367" s="2"/>
    </row>
    <row r="368" customFormat="false" ht="1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N368" s="2"/>
      <c r="O368" s="2"/>
      <c r="P368" s="2"/>
      <c r="R368" s="2"/>
      <c r="S368" s="2"/>
    </row>
    <row r="369" customFormat="false" ht="1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N369" s="2"/>
      <c r="O369" s="2"/>
      <c r="P369" s="2"/>
      <c r="R369" s="2"/>
      <c r="S369" s="2"/>
    </row>
    <row r="370" customFormat="false" ht="1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N370" s="2"/>
      <c r="O370" s="2"/>
      <c r="P370" s="2"/>
      <c r="R370" s="2"/>
      <c r="S370" s="2"/>
    </row>
    <row r="371" customFormat="false" ht="1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N371" s="2"/>
      <c r="O371" s="2"/>
      <c r="P371" s="2"/>
      <c r="R371" s="2"/>
      <c r="S371" s="2"/>
    </row>
    <row r="372" customFormat="false" ht="1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N372" s="2"/>
      <c r="O372" s="2"/>
      <c r="P372" s="2"/>
      <c r="R372" s="2"/>
      <c r="S372" s="2"/>
    </row>
    <row r="373" customFormat="false" ht="1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N373" s="2"/>
      <c r="O373" s="2"/>
      <c r="P373" s="2"/>
      <c r="R373" s="2"/>
      <c r="S373" s="2"/>
    </row>
    <row r="374" customFormat="false" ht="1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N374" s="2"/>
      <c r="O374" s="2"/>
      <c r="P374" s="2"/>
      <c r="R374" s="2"/>
      <c r="S374" s="2"/>
    </row>
    <row r="375" customFormat="false" ht="1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N375" s="2"/>
      <c r="O375" s="2"/>
      <c r="P375" s="2"/>
      <c r="R375" s="2"/>
      <c r="S375" s="2"/>
    </row>
    <row r="376" customFormat="false" ht="1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N376" s="2"/>
      <c r="O376" s="2"/>
      <c r="P376" s="2"/>
      <c r="R376" s="2"/>
      <c r="S376" s="2"/>
    </row>
    <row r="377" customFormat="false" ht="1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N377" s="2"/>
      <c r="O377" s="2"/>
      <c r="P377" s="2"/>
      <c r="R377" s="2"/>
      <c r="S377" s="2"/>
    </row>
    <row r="378" customFormat="false" ht="1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N378" s="2"/>
      <c r="O378" s="2"/>
      <c r="P378" s="2"/>
      <c r="R378" s="2"/>
      <c r="S378" s="2"/>
    </row>
    <row r="379" customFormat="false" ht="1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N379" s="2"/>
      <c r="O379" s="2"/>
      <c r="P379" s="2"/>
      <c r="R379" s="2"/>
      <c r="S379" s="2"/>
    </row>
    <row r="380" customFormat="false" ht="1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N380" s="2"/>
      <c r="O380" s="2"/>
      <c r="P380" s="2"/>
      <c r="R380" s="2"/>
      <c r="S380" s="2"/>
    </row>
    <row r="381" customFormat="false" ht="1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N381" s="2"/>
      <c r="O381" s="2"/>
      <c r="P381" s="2"/>
      <c r="R381" s="2"/>
      <c r="S381" s="2"/>
    </row>
    <row r="382" customFormat="false" ht="1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N382" s="2"/>
      <c r="O382" s="2"/>
      <c r="P382" s="2"/>
      <c r="R382" s="2"/>
      <c r="S382" s="2"/>
    </row>
    <row r="383" customFormat="false" ht="1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N383" s="2"/>
      <c r="O383" s="2"/>
      <c r="P383" s="2"/>
      <c r="R383" s="2"/>
      <c r="S383" s="2"/>
    </row>
    <row r="384" customFormat="false" ht="1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N384" s="2"/>
      <c r="O384" s="2"/>
      <c r="P384" s="2"/>
      <c r="R384" s="2"/>
      <c r="S384" s="2"/>
    </row>
    <row r="385" customFormat="false" ht="1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N385" s="2"/>
      <c r="O385" s="2"/>
      <c r="P385" s="2"/>
      <c r="R385" s="2"/>
      <c r="S385" s="2"/>
    </row>
    <row r="386" customFormat="false" ht="1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N386" s="2"/>
      <c r="O386" s="2"/>
      <c r="P386" s="2"/>
      <c r="R386" s="2"/>
      <c r="S386" s="2"/>
    </row>
    <row r="387" customFormat="false" ht="1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N387" s="2"/>
      <c r="O387" s="2"/>
      <c r="P387" s="2"/>
      <c r="R387" s="2"/>
      <c r="S387" s="2"/>
    </row>
    <row r="388" customFormat="false" ht="1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N388" s="2"/>
      <c r="O388" s="2"/>
      <c r="P388" s="2"/>
      <c r="R388" s="2"/>
      <c r="S388" s="2"/>
    </row>
    <row r="389" customFormat="false" ht="1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N389" s="2"/>
      <c r="O389" s="2"/>
      <c r="P389" s="2"/>
      <c r="R389" s="2"/>
      <c r="S389" s="2"/>
    </row>
    <row r="390" customFormat="false" ht="1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N390" s="2"/>
      <c r="O390" s="2"/>
      <c r="P390" s="2"/>
      <c r="R390" s="2"/>
      <c r="S390" s="2"/>
    </row>
    <row r="391" customFormat="false" ht="1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N391" s="2"/>
      <c r="O391" s="2"/>
      <c r="P391" s="2"/>
      <c r="R391" s="2"/>
      <c r="S391" s="2"/>
    </row>
    <row r="392" customFormat="false" ht="1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N392" s="2"/>
      <c r="O392" s="2"/>
      <c r="P392" s="2"/>
      <c r="R392" s="2"/>
      <c r="S392" s="2"/>
    </row>
    <row r="393" customFormat="false" ht="1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N393" s="2"/>
      <c r="O393" s="2"/>
      <c r="P393" s="2"/>
      <c r="R393" s="2"/>
      <c r="S393" s="2"/>
    </row>
    <row r="394" customFormat="false" ht="1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N394" s="2"/>
      <c r="O394" s="2"/>
      <c r="P394" s="2"/>
      <c r="R394" s="2"/>
      <c r="S394" s="2"/>
    </row>
    <row r="395" customFormat="false" ht="1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N395" s="2"/>
      <c r="O395" s="2"/>
      <c r="P395" s="2"/>
      <c r="R395" s="2"/>
      <c r="S395" s="2"/>
    </row>
    <row r="396" customFormat="false" ht="1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N396" s="2"/>
      <c r="O396" s="2"/>
      <c r="P396" s="2"/>
      <c r="R396" s="2"/>
      <c r="S396" s="2"/>
    </row>
    <row r="397" customFormat="false" ht="1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N397" s="2"/>
      <c r="O397" s="2"/>
      <c r="P397" s="2"/>
      <c r="R397" s="2"/>
      <c r="S397" s="2"/>
    </row>
    <row r="398" customFormat="false" ht="1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N398" s="2"/>
      <c r="O398" s="2"/>
      <c r="P398" s="2"/>
      <c r="R398" s="2"/>
      <c r="S398" s="2"/>
    </row>
    <row r="399" customFormat="false" ht="1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N399" s="2"/>
      <c r="O399" s="2"/>
      <c r="P399" s="2"/>
      <c r="R399" s="2"/>
      <c r="S399" s="2"/>
    </row>
    <row r="400" customFormat="false" ht="1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N400" s="2"/>
      <c r="O400" s="2"/>
      <c r="P400" s="2"/>
      <c r="R400" s="2"/>
      <c r="S400" s="2"/>
    </row>
    <row r="401" customFormat="false" ht="1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N401" s="2"/>
      <c r="O401" s="2"/>
      <c r="P401" s="2"/>
      <c r="R401" s="2"/>
      <c r="S401" s="2"/>
    </row>
    <row r="402" customFormat="false" ht="1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N402" s="2"/>
      <c r="O402" s="2"/>
      <c r="P402" s="2"/>
      <c r="R402" s="2"/>
      <c r="S402" s="2"/>
    </row>
    <row r="403" customFormat="false" ht="1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N403" s="2"/>
      <c r="O403" s="2"/>
      <c r="P403" s="2"/>
      <c r="R403" s="2"/>
      <c r="S403" s="2"/>
    </row>
    <row r="404" customFormat="false" ht="1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N404" s="2"/>
      <c r="O404" s="2"/>
      <c r="P404" s="2"/>
      <c r="R404" s="2"/>
      <c r="S404" s="2"/>
    </row>
    <row r="405" customFormat="false" ht="1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N405" s="2"/>
      <c r="O405" s="2"/>
      <c r="P405" s="2"/>
      <c r="R405" s="2"/>
      <c r="S405" s="2"/>
    </row>
    <row r="406" customFormat="false" ht="1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N406" s="2"/>
      <c r="O406" s="2"/>
      <c r="P406" s="2"/>
      <c r="R406" s="2"/>
      <c r="S406" s="2"/>
    </row>
    <row r="407" customFormat="false" ht="1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N407" s="2"/>
      <c r="O407" s="2"/>
      <c r="P407" s="2"/>
      <c r="R407" s="2"/>
      <c r="S407" s="2"/>
    </row>
    <row r="408" customFormat="false" ht="1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N408" s="2"/>
      <c r="O408" s="2"/>
      <c r="P408" s="2"/>
      <c r="R408" s="2"/>
      <c r="S408" s="2"/>
    </row>
    <row r="409" customFormat="false" ht="1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N409" s="2"/>
      <c r="O409" s="2"/>
      <c r="P409" s="2"/>
      <c r="R409" s="2"/>
      <c r="S409" s="2"/>
    </row>
    <row r="410" customFormat="false" ht="1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N410" s="2"/>
      <c r="O410" s="2"/>
      <c r="P410" s="2"/>
      <c r="R410" s="2"/>
      <c r="S410" s="2"/>
    </row>
    <row r="411" customFormat="false" ht="1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N411" s="2"/>
      <c r="O411" s="2"/>
      <c r="P411" s="2"/>
      <c r="R411" s="2"/>
      <c r="S411" s="2"/>
    </row>
    <row r="412" customFormat="false" ht="1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N412" s="2"/>
      <c r="O412" s="2"/>
      <c r="P412" s="2"/>
      <c r="R412" s="2"/>
      <c r="S412" s="2"/>
    </row>
    <row r="413" customFormat="false" ht="1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N413" s="2"/>
      <c r="O413" s="2"/>
      <c r="P413" s="2"/>
      <c r="R413" s="2"/>
      <c r="S413" s="2"/>
    </row>
    <row r="414" customFormat="false" ht="1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N414" s="2"/>
      <c r="O414" s="2"/>
      <c r="P414" s="2"/>
      <c r="R414" s="2"/>
      <c r="S414" s="2"/>
    </row>
    <row r="415" customFormat="false" ht="1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N415" s="2"/>
      <c r="O415" s="2"/>
      <c r="P415" s="2"/>
      <c r="R415" s="2"/>
      <c r="S415" s="2"/>
    </row>
    <row r="416" customFormat="false" ht="1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N416" s="2"/>
      <c r="O416" s="2"/>
      <c r="P416" s="2"/>
      <c r="R416" s="2"/>
      <c r="S416" s="2"/>
    </row>
    <row r="417" customFormat="false" ht="1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N417" s="2"/>
      <c r="O417" s="2"/>
      <c r="P417" s="2"/>
      <c r="R417" s="2"/>
      <c r="S417" s="2"/>
    </row>
    <row r="418" customFormat="false" ht="1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N418" s="2"/>
      <c r="O418" s="2"/>
      <c r="P418" s="2"/>
      <c r="R418" s="2"/>
      <c r="S418" s="2"/>
    </row>
    <row r="419" customFormat="false" ht="1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N419" s="2"/>
      <c r="O419" s="2"/>
      <c r="P419" s="2"/>
      <c r="R419" s="2"/>
      <c r="S419" s="2"/>
    </row>
    <row r="420" customFormat="false" ht="1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N420" s="2"/>
      <c r="O420" s="2"/>
      <c r="P420" s="2"/>
      <c r="R420" s="2"/>
      <c r="S420" s="2"/>
    </row>
    <row r="421" customFormat="false" ht="1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N421" s="2"/>
      <c r="O421" s="2"/>
      <c r="P421" s="2"/>
      <c r="R421" s="2"/>
      <c r="S421" s="2"/>
    </row>
    <row r="422" customFormat="false" ht="1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N422" s="2"/>
      <c r="O422" s="2"/>
      <c r="P422" s="2"/>
      <c r="R422" s="2"/>
      <c r="S422" s="2"/>
    </row>
    <row r="423" customFormat="false" ht="1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N423" s="2"/>
      <c r="O423" s="2"/>
      <c r="P423" s="2"/>
      <c r="R423" s="2"/>
      <c r="S423" s="2"/>
    </row>
    <row r="424" customFormat="false" ht="1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N424" s="2"/>
      <c r="O424" s="2"/>
      <c r="P424" s="2"/>
      <c r="R424" s="2"/>
      <c r="S424" s="2"/>
    </row>
    <row r="425" customFormat="false" ht="1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N425" s="2"/>
      <c r="O425" s="2"/>
      <c r="P425" s="2"/>
      <c r="R425" s="2"/>
      <c r="S425" s="2"/>
    </row>
    <row r="426" customFormat="false" ht="1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N426" s="2"/>
      <c r="O426" s="2"/>
      <c r="P426" s="2"/>
      <c r="R426" s="2"/>
      <c r="S426" s="2"/>
    </row>
    <row r="427" customFormat="false" ht="1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N427" s="2"/>
      <c r="O427" s="2"/>
      <c r="P427" s="2"/>
      <c r="R427" s="2"/>
      <c r="S427" s="2"/>
    </row>
    <row r="428" customFormat="false" ht="1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N428" s="2"/>
      <c r="O428" s="2"/>
      <c r="P428" s="2"/>
      <c r="R428" s="2"/>
      <c r="S428" s="2"/>
    </row>
    <row r="429" customFormat="false" ht="1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N429" s="2"/>
      <c r="O429" s="2"/>
      <c r="P429" s="2"/>
      <c r="R429" s="2"/>
      <c r="S429" s="2"/>
    </row>
    <row r="430" customFormat="false" ht="1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N430" s="2"/>
      <c r="O430" s="2"/>
      <c r="P430" s="2"/>
      <c r="R430" s="2"/>
      <c r="S430" s="2"/>
    </row>
    <row r="431" customFormat="false" ht="1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N431" s="2"/>
      <c r="O431" s="2"/>
      <c r="P431" s="2"/>
      <c r="R431" s="2"/>
      <c r="S431" s="2"/>
    </row>
    <row r="432" customFormat="false" ht="1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N432" s="2"/>
      <c r="O432" s="2"/>
      <c r="P432" s="2"/>
      <c r="R432" s="2"/>
      <c r="S432" s="2"/>
    </row>
    <row r="433" customFormat="false" ht="1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N433" s="2"/>
      <c r="O433" s="2"/>
      <c r="P433" s="2"/>
      <c r="R433" s="2"/>
      <c r="S433" s="2"/>
    </row>
    <row r="434" customFormat="false" ht="1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N434" s="2"/>
      <c r="O434" s="2"/>
      <c r="P434" s="2"/>
      <c r="R434" s="2"/>
      <c r="S434" s="2"/>
    </row>
    <row r="435" customFormat="false" ht="1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N435" s="2"/>
      <c r="O435" s="2"/>
      <c r="P435" s="2"/>
      <c r="R435" s="2"/>
      <c r="S435" s="2"/>
    </row>
    <row r="436" customFormat="false" ht="1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N436" s="2"/>
      <c r="O436" s="2"/>
      <c r="P436" s="2"/>
      <c r="R436" s="2"/>
      <c r="S436" s="2"/>
    </row>
    <row r="437" customFormat="false" ht="1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N437" s="2"/>
      <c r="O437" s="2"/>
      <c r="P437" s="2"/>
      <c r="R437" s="2"/>
      <c r="S437" s="2"/>
    </row>
    <row r="438" customFormat="false" ht="1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N438" s="2"/>
      <c r="O438" s="2"/>
      <c r="P438" s="2"/>
      <c r="R438" s="2"/>
      <c r="S438" s="2"/>
    </row>
    <row r="439" customFormat="false" ht="1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N439" s="2"/>
      <c r="O439" s="2"/>
      <c r="P439" s="2"/>
      <c r="R439" s="2"/>
      <c r="S439" s="2"/>
    </row>
    <row r="440" customFormat="false" ht="1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N440" s="2"/>
      <c r="O440" s="2"/>
      <c r="P440" s="2"/>
      <c r="R440" s="2"/>
      <c r="S440" s="2"/>
    </row>
    <row r="441" customFormat="false" ht="1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N441" s="2"/>
      <c r="O441" s="2"/>
      <c r="P441" s="2"/>
      <c r="R441" s="2"/>
      <c r="S441" s="2"/>
    </row>
    <row r="442" customFormat="false" ht="1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N442" s="2"/>
      <c r="O442" s="2"/>
      <c r="P442" s="2"/>
      <c r="R442" s="2"/>
      <c r="S442" s="2"/>
    </row>
    <row r="443" customFormat="false" ht="1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N443" s="2"/>
      <c r="O443" s="2"/>
      <c r="P443" s="2"/>
      <c r="R443" s="2"/>
      <c r="S443" s="2"/>
    </row>
    <row r="444" customFormat="false" ht="1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N444" s="2"/>
      <c r="O444" s="2"/>
      <c r="P444" s="2"/>
      <c r="R444" s="2"/>
      <c r="S444" s="2"/>
    </row>
    <row r="445" customFormat="false" ht="1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N445" s="2"/>
      <c r="O445" s="2"/>
      <c r="P445" s="2"/>
      <c r="R445" s="2"/>
      <c r="S445" s="2"/>
    </row>
    <row r="446" customFormat="false" ht="1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N446" s="2"/>
      <c r="O446" s="2"/>
      <c r="P446" s="2"/>
      <c r="R446" s="2"/>
      <c r="S446" s="2"/>
    </row>
    <row r="447" customFormat="false" ht="1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N447" s="2"/>
      <c r="O447" s="2"/>
      <c r="P447" s="2"/>
      <c r="R447" s="2"/>
      <c r="S447" s="2"/>
    </row>
    <row r="448" customFormat="false" ht="1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N448" s="2"/>
      <c r="O448" s="2"/>
      <c r="P448" s="2"/>
      <c r="R448" s="2"/>
      <c r="S448" s="2"/>
    </row>
    <row r="449" customFormat="false" ht="1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N449" s="2"/>
      <c r="O449" s="2"/>
      <c r="P449" s="2"/>
      <c r="R449" s="2"/>
      <c r="S449" s="2"/>
    </row>
    <row r="450" customFormat="false" ht="1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N450" s="2"/>
      <c r="O450" s="2"/>
      <c r="P450" s="2"/>
      <c r="R450" s="2"/>
      <c r="S450" s="2"/>
    </row>
    <row r="451" customFormat="false" ht="1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N451" s="2"/>
      <c r="O451" s="2"/>
      <c r="P451" s="2"/>
      <c r="R451" s="2"/>
      <c r="S451" s="2"/>
    </row>
    <row r="452" customFormat="false" ht="1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N452" s="2"/>
      <c r="O452" s="2"/>
      <c r="P452" s="2"/>
      <c r="R452" s="2"/>
      <c r="S452" s="2"/>
    </row>
    <row r="453" customFormat="false" ht="1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N453" s="2"/>
      <c r="O453" s="2"/>
      <c r="P453" s="2"/>
      <c r="R453" s="2"/>
      <c r="S453" s="2"/>
    </row>
    <row r="454" customFormat="false" ht="1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N454" s="2"/>
      <c r="O454" s="2"/>
      <c r="P454" s="2"/>
      <c r="R454" s="2"/>
      <c r="S454" s="2"/>
    </row>
    <row r="455" customFormat="false" ht="1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N455" s="2"/>
      <c r="O455" s="2"/>
      <c r="P455" s="2"/>
      <c r="R455" s="2"/>
      <c r="S455" s="2"/>
    </row>
    <row r="456" customFormat="false" ht="1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N456" s="2"/>
      <c r="O456" s="2"/>
      <c r="P456" s="2"/>
      <c r="R456" s="2"/>
      <c r="S456" s="2"/>
    </row>
    <row r="457" customFormat="false" ht="1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N457" s="2"/>
      <c r="O457" s="2"/>
      <c r="P457" s="2"/>
      <c r="R457" s="2"/>
      <c r="S457" s="2"/>
    </row>
    <row r="458" customFormat="false" ht="1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N458" s="2"/>
      <c r="O458" s="2"/>
      <c r="P458" s="2"/>
      <c r="R458" s="2"/>
      <c r="S458" s="2"/>
    </row>
    <row r="459" customFormat="false" ht="1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N459" s="2"/>
      <c r="O459" s="2"/>
      <c r="P459" s="2"/>
      <c r="R459" s="2"/>
      <c r="S459" s="2"/>
    </row>
    <row r="460" customFormat="false" ht="1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N460" s="2"/>
      <c r="O460" s="2"/>
      <c r="P460" s="2"/>
      <c r="R460" s="2"/>
      <c r="S460" s="2"/>
    </row>
    <row r="461" customFormat="false" ht="1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N461" s="2"/>
      <c r="O461" s="2"/>
      <c r="P461" s="2"/>
      <c r="R461" s="2"/>
      <c r="S461" s="2"/>
    </row>
    <row r="462" customFormat="false" ht="1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N462" s="2"/>
      <c r="O462" s="2"/>
      <c r="P462" s="2"/>
      <c r="R462" s="2"/>
      <c r="S462" s="2"/>
    </row>
    <row r="463" customFormat="false" ht="1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N463" s="2"/>
      <c r="O463" s="2"/>
      <c r="P463" s="2"/>
      <c r="R463" s="2"/>
      <c r="S463" s="2"/>
    </row>
    <row r="464" customFormat="false" ht="1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N464" s="2"/>
      <c r="O464" s="2"/>
      <c r="P464" s="2"/>
      <c r="R464" s="2"/>
      <c r="S464" s="2"/>
    </row>
    <row r="465" customFormat="false" ht="1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N465" s="2"/>
      <c r="O465" s="2"/>
      <c r="P465" s="2"/>
      <c r="R465" s="2"/>
      <c r="S465" s="2"/>
    </row>
    <row r="466" customFormat="false" ht="1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N466" s="2"/>
      <c r="O466" s="2"/>
      <c r="P466" s="2"/>
      <c r="R466" s="2"/>
      <c r="S466" s="2"/>
    </row>
    <row r="467" customFormat="false" ht="1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N467" s="2"/>
      <c r="O467" s="2"/>
      <c r="P467" s="2"/>
      <c r="R467" s="2"/>
      <c r="S467" s="2"/>
    </row>
    <row r="468" customFormat="false" ht="1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N468" s="2"/>
      <c r="O468" s="2"/>
      <c r="P468" s="2"/>
      <c r="R468" s="2"/>
      <c r="S468" s="2"/>
    </row>
    <row r="469" customFormat="false" ht="1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N469" s="2"/>
      <c r="O469" s="2"/>
      <c r="P469" s="2"/>
      <c r="R469" s="2"/>
      <c r="S469" s="2"/>
    </row>
    <row r="470" customFormat="false" ht="1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N470" s="2"/>
      <c r="O470" s="2"/>
      <c r="P470" s="2"/>
      <c r="R470" s="2"/>
      <c r="S470" s="2"/>
    </row>
    <row r="471" customFormat="false" ht="1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N471" s="2"/>
      <c r="O471" s="2"/>
      <c r="P471" s="2"/>
      <c r="R471" s="2"/>
      <c r="S471" s="2"/>
    </row>
    <row r="472" customFormat="false" ht="1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N472" s="2"/>
      <c r="O472" s="2"/>
      <c r="P472" s="2"/>
      <c r="R472" s="2"/>
      <c r="S472" s="2"/>
    </row>
    <row r="473" customFormat="false" ht="1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N473" s="2"/>
      <c r="O473" s="2"/>
      <c r="P473" s="2"/>
      <c r="R473" s="2"/>
      <c r="S473" s="2"/>
    </row>
    <row r="474" customFormat="false" ht="1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N474" s="2"/>
      <c r="O474" s="2"/>
      <c r="P474" s="2"/>
      <c r="R474" s="2"/>
      <c r="S474" s="2"/>
    </row>
    <row r="475" customFormat="false" ht="1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N475" s="2"/>
      <c r="O475" s="2"/>
      <c r="P475" s="2"/>
      <c r="R475" s="2"/>
      <c r="S475" s="2"/>
    </row>
    <row r="476" customFormat="false" ht="1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N476" s="2"/>
      <c r="O476" s="2"/>
      <c r="P476" s="2"/>
      <c r="R476" s="2"/>
      <c r="S476" s="2"/>
    </row>
    <row r="477" customFormat="false" ht="1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N477" s="2"/>
      <c r="O477" s="2"/>
      <c r="P477" s="2"/>
      <c r="R477" s="2"/>
      <c r="S477" s="2"/>
    </row>
    <row r="478" customFormat="false" ht="1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N478" s="2"/>
      <c r="O478" s="2"/>
      <c r="P478" s="2"/>
      <c r="R478" s="2"/>
      <c r="S478" s="2"/>
    </row>
    <row r="479" customFormat="false" ht="1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N479" s="2"/>
      <c r="O479" s="2"/>
      <c r="P479" s="2"/>
      <c r="R479" s="2"/>
      <c r="S479" s="2"/>
    </row>
    <row r="480" customFormat="false" ht="1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N480" s="2"/>
      <c r="O480" s="2"/>
      <c r="P480" s="2"/>
      <c r="R480" s="2"/>
      <c r="S480" s="2"/>
    </row>
    <row r="481" customFormat="false" ht="1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N481" s="2"/>
      <c r="O481" s="2"/>
      <c r="P481" s="2"/>
      <c r="R481" s="2"/>
      <c r="S481" s="2"/>
    </row>
    <row r="482" customFormat="false" ht="1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N482" s="2"/>
      <c r="O482" s="2"/>
      <c r="P482" s="2"/>
      <c r="R482" s="2"/>
      <c r="S482" s="2"/>
    </row>
    <row r="483" customFormat="false" ht="1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N483" s="2"/>
      <c r="O483" s="2"/>
      <c r="P483" s="2"/>
      <c r="R483" s="2"/>
      <c r="S483" s="2"/>
    </row>
    <row r="484" customFormat="false" ht="1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N484" s="2"/>
      <c r="O484" s="2"/>
      <c r="P484" s="2"/>
      <c r="R484" s="2"/>
      <c r="S484" s="2"/>
    </row>
    <row r="485" customFormat="false" ht="1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N485" s="2"/>
      <c r="O485" s="2"/>
      <c r="P485" s="2"/>
      <c r="R485" s="2"/>
      <c r="S485" s="2"/>
    </row>
    <row r="486" customFormat="false" ht="1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N486" s="2"/>
      <c r="O486" s="2"/>
      <c r="P486" s="2"/>
      <c r="R486" s="2"/>
      <c r="S486" s="2"/>
    </row>
    <row r="487" customFormat="false" ht="1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N487" s="2"/>
      <c r="O487" s="2"/>
      <c r="P487" s="2"/>
      <c r="R487" s="2"/>
      <c r="S487" s="2"/>
    </row>
    <row r="488" customFormat="false" ht="1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N488" s="2"/>
      <c r="O488" s="2"/>
      <c r="P488" s="2"/>
      <c r="R488" s="2"/>
      <c r="S488" s="2"/>
    </row>
    <row r="489" customFormat="false" ht="1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N489" s="2"/>
      <c r="O489" s="2"/>
      <c r="P489" s="2"/>
      <c r="R489" s="2"/>
      <c r="S489" s="2"/>
    </row>
    <row r="490" customFormat="false" ht="1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N490" s="2"/>
      <c r="O490" s="2"/>
      <c r="P490" s="2"/>
      <c r="R490" s="2"/>
      <c r="S490" s="2"/>
    </row>
    <row r="491" customFormat="false" ht="1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N491" s="2"/>
      <c r="O491" s="2"/>
      <c r="P491" s="2"/>
      <c r="R491" s="2"/>
      <c r="S491" s="2"/>
    </row>
    <row r="492" customFormat="false" ht="1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N492" s="2"/>
      <c r="O492" s="2"/>
      <c r="P492" s="2"/>
      <c r="R492" s="2"/>
      <c r="S492" s="2"/>
    </row>
    <row r="493" customFormat="false" ht="1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N493" s="2"/>
      <c r="O493" s="2"/>
      <c r="P493" s="2"/>
      <c r="R493" s="2"/>
      <c r="S493" s="2"/>
    </row>
    <row r="494" customFormat="false" ht="1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N494" s="2"/>
      <c r="O494" s="2"/>
      <c r="P494" s="2"/>
      <c r="R494" s="2"/>
      <c r="S494" s="2"/>
    </row>
    <row r="495" customFormat="false" ht="1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N495" s="2"/>
      <c r="O495" s="2"/>
      <c r="P495" s="2"/>
      <c r="R495" s="2"/>
      <c r="S495" s="2"/>
    </row>
    <row r="496" customFormat="false" ht="1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N496" s="2"/>
      <c r="O496" s="2"/>
      <c r="P496" s="2"/>
      <c r="R496" s="2"/>
      <c r="S496" s="2"/>
    </row>
    <row r="497" customFormat="false" ht="1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N497" s="2"/>
      <c r="O497" s="2"/>
      <c r="P497" s="2"/>
      <c r="R497" s="2"/>
      <c r="S497" s="2"/>
    </row>
    <row r="498" customFormat="false" ht="1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N498" s="2"/>
      <c r="O498" s="2"/>
      <c r="P498" s="2"/>
      <c r="R498" s="2"/>
      <c r="S498" s="2"/>
    </row>
    <row r="499" customFormat="false" ht="1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N499" s="2"/>
      <c r="O499" s="2"/>
      <c r="P499" s="2"/>
      <c r="R499" s="2"/>
      <c r="S499" s="2"/>
    </row>
    <row r="500" customFormat="false" ht="1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N500" s="2"/>
      <c r="O500" s="2"/>
      <c r="P500" s="2"/>
      <c r="R500" s="2"/>
      <c r="S500" s="2"/>
    </row>
  </sheetData>
  <autoFilter ref="A1:S218"/>
  <conditionalFormatting sqref="Q2:Q500">
    <cfRule type="expression" priority="2" aboveAverage="0" equalAverage="0" bottom="0" percent="0" rank="0" text="" dxfId="7">
      <formula>AND(ISNUMBER($Q2),$Q2&gt;0.05)</formula>
    </cfRule>
    <cfRule type="expression" priority="3" aboveAverage="0" equalAverage="0" bottom="0" percent="0" rank="0" text="" dxfId="8">
      <formula>AND(ISNUMBER($Q2),$Q2&lt;-0.05)</formula>
    </cfRule>
  </conditionalFormatting>
  <conditionalFormatting sqref="L2:M500">
    <cfRule type="expression" priority="4" aboveAverage="0" equalAverage="0" bottom="0" percent="0" rank="0" text="" dxfId="9">
      <formula>AND(ISNUMBER($L2),$L2&lt;TODAY()-7)</formula>
    </cfRule>
  </conditionalFormatting>
  <conditionalFormatting sqref="A2:S500">
    <cfRule type="expression" priority="5" aboveAverage="0" equalAverage="0" bottom="0" percent="0" rank="0" text="" dxfId="10">
      <formula>OR(LEFT($N2,7)="FLAGGED",LEFT($N2,9)="REFERENCE",$N2="structural")</formula>
    </cfRule>
  </conditionalFormatting>
  <dataValidations count="2">
    <dataValidation allowBlank="true" errorStyle="stop" operator="between" showDropDown="false" showErrorMessage="false" showInputMessage="false" sqref="N2:N500" type="list">
      <formula1>"none,marketplace,FLAGGED-human review,REFERENCE ONLY-COFEPRIS,structural"</formula1>
      <formula2>0</formula2>
    </dataValidation>
    <dataValidation allowBlank="true" errorStyle="stop" operator="between" showDropDown="false" showErrorMessage="false" showInputMessage="false" sqref="K2:K500" type="list">
      <formula1>"included,assumed included,+16% added"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4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5"/>
    <col collapsed="false" customWidth="true" hidden="false" outlineLevel="0" max="3" min="3" style="0" width="11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6" min="6" style="0" width="10"/>
    <col collapsed="false" customWidth="true" hidden="false" outlineLevel="0" max="7" min="7" style="0" width="44"/>
    <col collapsed="false" customWidth="true" hidden="false" outlineLevel="0" max="8" min="8" style="0" width="9"/>
    <col collapsed="false" customWidth="true" hidden="false" outlineLevel="0" max="9" min="9" style="0" width="30"/>
    <col collapsed="false" customWidth="true" hidden="false" outlineLevel="0" max="10" min="10" style="0" width="13"/>
    <col collapsed="false" customWidth="true" hidden="false" outlineLevel="0" max="11" min="11" style="0" width="11"/>
    <col collapsed="false" customWidth="true" hidden="false" outlineLevel="0" max="12" min="12" style="0" width="13"/>
    <col collapsed="false" customWidth="true" hidden="false" outlineLevel="0" max="13" min="13" style="0" width="22"/>
    <col collapsed="false" customWidth="true" hidden="false" outlineLevel="0" max="14" min="14" style="0" width="60"/>
    <col collapsed="false" customWidth="true" hidden="false" outlineLevel="0" max="15" min="15" style="0" width="40"/>
    <col collapsed="false" customWidth="true" hidden="false" outlineLevel="0" max="16" min="16" style="0" width="34"/>
    <col collapsed="false" customWidth="true" hidden="false" outlineLevel="0" max="17" min="17" style="0" width="16"/>
  </cols>
  <sheetData>
    <row r="1" customFormat="false" ht="55.2" hidden="false" customHeight="false" outlineLevel="0" collapsed="false">
      <c r="A1" s="1" t="s">
        <v>1025</v>
      </c>
      <c r="B1" s="1" t="s">
        <v>1026</v>
      </c>
      <c r="C1" s="1" t="s">
        <v>1</v>
      </c>
      <c r="D1" s="1" t="s">
        <v>1027</v>
      </c>
      <c r="E1" s="1" t="s">
        <v>1028</v>
      </c>
      <c r="F1" s="1" t="s">
        <v>0</v>
      </c>
      <c r="G1" s="1" t="s">
        <v>1029</v>
      </c>
      <c r="H1" s="1" t="s">
        <v>1030</v>
      </c>
      <c r="I1" s="1" t="s">
        <v>1031</v>
      </c>
      <c r="J1" s="1" t="s">
        <v>1032</v>
      </c>
      <c r="K1" s="1" t="s">
        <v>1033</v>
      </c>
      <c r="L1" s="1" t="s">
        <v>1034</v>
      </c>
      <c r="M1" s="1" t="s">
        <v>1035</v>
      </c>
      <c r="N1" s="1" t="s">
        <v>18</v>
      </c>
      <c r="O1" s="1" t="s">
        <v>1036</v>
      </c>
      <c r="P1" s="1" t="s">
        <v>1037</v>
      </c>
      <c r="Q1" s="1" t="s">
        <v>1038</v>
      </c>
    </row>
    <row r="2" customFormat="false" ht="17.15" hidden="false" customHeight="false" outlineLevel="0" collapsed="false">
      <c r="A2" s="2" t="s">
        <v>1039</v>
      </c>
      <c r="B2" s="2" t="s">
        <v>1040</v>
      </c>
      <c r="C2" s="2" t="s">
        <v>20</v>
      </c>
      <c r="D2" s="2" t="s">
        <v>1041</v>
      </c>
      <c r="E2" s="2" t="s">
        <v>1042</v>
      </c>
      <c r="F2" s="2" t="s">
        <v>45</v>
      </c>
      <c r="G2" s="2" t="str">
        <f aca="false">IFERROR(INDEX(Prices_Item,MATCH(F2,Prices_ID,0)),"ITEM NOT FOUND")</f>
        <v>Caulk (as-needed)</v>
      </c>
      <c r="H2" s="7" t="n">
        <v>1</v>
      </c>
      <c r="I2" s="2" t="s">
        <v>1043</v>
      </c>
      <c r="J2" s="3" t="str">
        <f aca="false">IFERROR(INDEX(Prices_Current,MATCH(F2,Prices_ID,0)),"")</f>
        <v/>
      </c>
      <c r="K2" s="2" t="s">
        <v>1044</v>
      </c>
      <c r="L2" s="3" t="str">
        <f aca="false">IF(OR(H2="",NOT(ISNUMBER(J2))),"",H2*J2)</f>
        <v/>
      </c>
      <c r="M2" s="2" t="str">
        <f aca="false">IFERROR(INDEX(Prices_Flag,MATCH(F2,Prices_ID,0)),"")</f>
        <v>none</v>
      </c>
      <c r="N2" s="2" t="s">
        <v>1045</v>
      </c>
      <c r="O2" s="0" t="s">
        <v>1046</v>
      </c>
      <c r="P2" s="8" t="s">
        <v>1047</v>
      </c>
      <c r="Q2" s="0" t="s">
        <v>27</v>
      </c>
    </row>
    <row r="3" customFormat="false" ht="17.15" hidden="false" customHeight="false" outlineLevel="0" collapsed="false">
      <c r="A3" s="2" t="s">
        <v>1048</v>
      </c>
      <c r="B3" s="2" t="s">
        <v>1040</v>
      </c>
      <c r="C3" s="2" t="s">
        <v>20</v>
      </c>
      <c r="D3" s="2" t="s">
        <v>1041</v>
      </c>
      <c r="E3" s="2" t="s">
        <v>1049</v>
      </c>
      <c r="F3" s="2" t="s">
        <v>45</v>
      </c>
      <c r="G3" s="2" t="str">
        <f aca="false">IFERROR(INDEX(Prices_Item,MATCH(F3,Prices_ID,0)),"ITEM NOT FOUND")</f>
        <v>Caulk (as-needed)</v>
      </c>
      <c r="H3" s="7" t="n">
        <v>1</v>
      </c>
      <c r="I3" s="2" t="s">
        <v>1043</v>
      </c>
      <c r="J3" s="3" t="str">
        <f aca="false">IFERROR(INDEX(Prices_Current,MATCH(F3,Prices_ID,0)),"")</f>
        <v/>
      </c>
      <c r="K3" s="2" t="s">
        <v>1044</v>
      </c>
      <c r="L3" s="3" t="str">
        <f aca="false">IF(OR(H3="",NOT(ISNUMBER(J3))),"",H3*J3)</f>
        <v/>
      </c>
      <c r="M3" s="2" t="str">
        <f aca="false">IFERROR(INDEX(Prices_Flag,MATCH(F3,Prices_ID,0)),"")</f>
        <v>none</v>
      </c>
      <c r="N3" s="2" t="s">
        <v>1045</v>
      </c>
      <c r="O3" s="0" t="s">
        <v>1046</v>
      </c>
      <c r="P3" s="8" t="s">
        <v>1047</v>
      </c>
      <c r="Q3" s="0" t="s">
        <v>27</v>
      </c>
    </row>
    <row r="4" customFormat="false" ht="17.15" hidden="false" customHeight="false" outlineLevel="0" collapsed="false">
      <c r="A4" s="2" t="s">
        <v>1050</v>
      </c>
      <c r="B4" s="2" t="s">
        <v>1040</v>
      </c>
      <c r="C4" s="2" t="s">
        <v>20</v>
      </c>
      <c r="D4" s="2" t="s">
        <v>1041</v>
      </c>
      <c r="E4" s="2" t="s">
        <v>1051</v>
      </c>
      <c r="F4" s="2" t="s">
        <v>45</v>
      </c>
      <c r="G4" s="2" t="str">
        <f aca="false">IFERROR(INDEX(Prices_Item,MATCH(F4,Prices_ID,0)),"ITEM NOT FOUND")</f>
        <v>Caulk (as-needed)</v>
      </c>
      <c r="H4" s="7" t="n">
        <v>1</v>
      </c>
      <c r="I4" s="2" t="s">
        <v>1043</v>
      </c>
      <c r="J4" s="3" t="str">
        <f aca="false">IFERROR(INDEX(Prices_Current,MATCH(F4,Prices_ID,0)),"")</f>
        <v/>
      </c>
      <c r="K4" s="2" t="s">
        <v>1044</v>
      </c>
      <c r="L4" s="3" t="str">
        <f aca="false">IF(OR(H4="",NOT(ISNUMBER(J4))),"",H4*J4)</f>
        <v/>
      </c>
      <c r="M4" s="2" t="str">
        <f aca="false">IFERROR(INDEX(Prices_Flag,MATCH(F4,Prices_ID,0)),"")</f>
        <v>none</v>
      </c>
      <c r="N4" s="2" t="s">
        <v>1045</v>
      </c>
      <c r="O4" s="0" t="s">
        <v>1046</v>
      </c>
      <c r="P4" s="8" t="s">
        <v>1047</v>
      </c>
      <c r="Q4" s="0" t="s">
        <v>27</v>
      </c>
    </row>
    <row r="5" customFormat="false" ht="17.15" hidden="false" customHeight="false" outlineLevel="0" collapsed="false">
      <c r="A5" s="2" t="s">
        <v>1052</v>
      </c>
      <c r="B5" s="2" t="s">
        <v>1053</v>
      </c>
      <c r="C5" s="2" t="s">
        <v>52</v>
      </c>
      <c r="D5" s="2" t="s">
        <v>1054</v>
      </c>
      <c r="E5" s="2" t="s">
        <v>1055</v>
      </c>
      <c r="F5" s="2" t="s">
        <v>78</v>
      </c>
      <c r="G5" s="2" t="str">
        <f aca="false">IFERROR(INDEX(Prices_Item,MATCH(F5,Prices_ID,0)),"ITEM NOT FOUND")</f>
        <v>Extra meter of copper line set, 1 t</v>
      </c>
      <c r="H5" s="7" t="n">
        <v>1</v>
      </c>
      <c r="I5" s="2" t="s">
        <v>1056</v>
      </c>
      <c r="J5" s="3" t="n">
        <f aca="false">IFERROR(INDEX(Prices_Current,MATCH(F5,Prices_ID,0)),"")</f>
        <v>196</v>
      </c>
      <c r="K5" s="2" t="s">
        <v>1044</v>
      </c>
      <c r="L5" s="3" t="n">
        <f aca="false">IF(OR(H5="",NOT(ISNUMBER(J5))),"",H5*J5)</f>
        <v>196</v>
      </c>
      <c r="M5" s="2" t="str">
        <f aca="false">IFERROR(INDEX(Prices_Flag,MATCH(F5,Prices_ID,0)),"")</f>
        <v>none</v>
      </c>
      <c r="N5" s="2"/>
      <c r="O5" s="0" t="s">
        <v>1057</v>
      </c>
      <c r="P5" s="8" t="s">
        <v>1058</v>
      </c>
      <c r="Q5" s="0" t="s">
        <v>27</v>
      </c>
    </row>
    <row r="6" customFormat="false" ht="17.15" hidden="false" customHeight="false" outlineLevel="0" collapsed="false">
      <c r="A6" s="2" t="s">
        <v>1059</v>
      </c>
      <c r="B6" s="2" t="s">
        <v>1053</v>
      </c>
      <c r="C6" s="2" t="s">
        <v>52</v>
      </c>
      <c r="D6" s="2" t="s">
        <v>1054</v>
      </c>
      <c r="E6" s="2" t="s">
        <v>1055</v>
      </c>
      <c r="F6" s="2" t="s">
        <v>99</v>
      </c>
      <c r="G6" s="2" t="str">
        <f aca="false">IFERROR(INDEX(Prices_Item,MATCH(F6,Prices_ID,0)),"ITEM NOT FOUND")</f>
        <v>Refrigerant (as-needed)</v>
      </c>
      <c r="H6" s="7" t="n">
        <v>1</v>
      </c>
      <c r="I6" s="2" t="s">
        <v>1060</v>
      </c>
      <c r="J6" s="3" t="str">
        <f aca="false">IFERROR(INDEX(Prices_Current,MATCH(F6,Prices_ID,0)),"")</f>
        <v/>
      </c>
      <c r="K6" s="2" t="s">
        <v>1061</v>
      </c>
      <c r="L6" s="3" t="str">
        <f aca="false">IF(OR(H6="",NOT(ISNUMBER(J6))),"",H6*J6)</f>
        <v/>
      </c>
      <c r="M6" s="2" t="str">
        <f aca="false">IFERROR(INDEX(Prices_Flag,MATCH(F6,Prices_ID,0)),"")</f>
        <v>FLAGGED-human review</v>
      </c>
      <c r="N6" s="2" t="s">
        <v>1062</v>
      </c>
      <c r="O6" s="0" t="s">
        <v>1057</v>
      </c>
      <c r="P6" s="8" t="s">
        <v>1058</v>
      </c>
      <c r="Q6" s="0" t="s">
        <v>1044</v>
      </c>
    </row>
    <row r="7" customFormat="false" ht="17.15" hidden="false" customHeight="false" outlineLevel="0" collapsed="false">
      <c r="A7" s="2" t="s">
        <v>1063</v>
      </c>
      <c r="B7" s="2" t="s">
        <v>1064</v>
      </c>
      <c r="C7" s="2" t="s">
        <v>52</v>
      </c>
      <c r="D7" s="2" t="s">
        <v>1065</v>
      </c>
      <c r="E7" s="2" t="s">
        <v>1055</v>
      </c>
      <c r="F7" s="2" t="s">
        <v>99</v>
      </c>
      <c r="G7" s="2" t="str">
        <f aca="false">IFERROR(INDEX(Prices_Item,MATCH(F7,Prices_ID,0)),"ITEM NOT FOUND")</f>
        <v>Refrigerant (as-needed)</v>
      </c>
      <c r="H7" s="7" t="n">
        <v>1</v>
      </c>
      <c r="I7" s="2" t="s">
        <v>1066</v>
      </c>
      <c r="J7" s="3" t="str">
        <f aca="false">IFERROR(INDEX(Prices_Current,MATCH(F7,Prices_ID,0)),"")</f>
        <v/>
      </c>
      <c r="K7" s="2" t="s">
        <v>1061</v>
      </c>
      <c r="L7" s="3" t="str">
        <f aca="false">IF(OR(H7="",NOT(ISNUMBER(J7))),"",H7*J7)</f>
        <v/>
      </c>
      <c r="M7" s="2" t="str">
        <f aca="false">IFERROR(INDEX(Prices_Flag,MATCH(F7,Prices_ID,0)),"")</f>
        <v>FLAGGED-human review</v>
      </c>
      <c r="N7" s="2" t="s">
        <v>1062</v>
      </c>
      <c r="O7" s="0" t="s">
        <v>1067</v>
      </c>
      <c r="P7" s="8" t="s">
        <v>1068</v>
      </c>
      <c r="Q7" s="0" t="s">
        <v>1044</v>
      </c>
    </row>
    <row r="8" customFormat="false" ht="17.15" hidden="false" customHeight="false" outlineLevel="0" collapsed="false">
      <c r="A8" s="2" t="s">
        <v>1069</v>
      </c>
      <c r="B8" s="2" t="s">
        <v>1053</v>
      </c>
      <c r="C8" s="2" t="s">
        <v>52</v>
      </c>
      <c r="D8" s="2" t="s">
        <v>1054</v>
      </c>
      <c r="E8" s="2" t="s">
        <v>1070</v>
      </c>
      <c r="F8" s="2" t="s">
        <v>83</v>
      </c>
      <c r="G8" s="2" t="str">
        <f aca="false">IFERROR(INDEX(Prices_Item,MATCH(F8,Prices_ID,0)),"ITEM NOT FOUND")</f>
        <v>Extra meter of copper line set, 1.5 t</v>
      </c>
      <c r="H8" s="7" t="n">
        <v>1</v>
      </c>
      <c r="I8" s="2" t="s">
        <v>1056</v>
      </c>
      <c r="J8" s="3" t="n">
        <f aca="false">IFERROR(INDEX(Prices_Current,MATCH(F8,Prices_ID,0)),"")</f>
        <v>221</v>
      </c>
      <c r="K8" s="2" t="s">
        <v>1044</v>
      </c>
      <c r="L8" s="3" t="n">
        <f aca="false">IF(OR(H8="",NOT(ISNUMBER(J8))),"",H8*J8)</f>
        <v>221</v>
      </c>
      <c r="M8" s="2" t="str">
        <f aca="false">IFERROR(INDEX(Prices_Flag,MATCH(F8,Prices_ID,0)),"")</f>
        <v>none</v>
      </c>
      <c r="N8" s="2"/>
      <c r="O8" s="0" t="s">
        <v>1057</v>
      </c>
      <c r="P8" s="8" t="s">
        <v>1058</v>
      </c>
      <c r="Q8" s="0" t="s">
        <v>27</v>
      </c>
    </row>
    <row r="9" customFormat="false" ht="17.15" hidden="false" customHeight="false" outlineLevel="0" collapsed="false">
      <c r="A9" s="2" t="s">
        <v>1071</v>
      </c>
      <c r="B9" s="2" t="s">
        <v>1053</v>
      </c>
      <c r="C9" s="2" t="s">
        <v>52</v>
      </c>
      <c r="D9" s="2" t="s">
        <v>1054</v>
      </c>
      <c r="E9" s="2" t="s">
        <v>1070</v>
      </c>
      <c r="F9" s="2" t="s">
        <v>99</v>
      </c>
      <c r="G9" s="2" t="str">
        <f aca="false">IFERROR(INDEX(Prices_Item,MATCH(F9,Prices_ID,0)),"ITEM NOT FOUND")</f>
        <v>Refrigerant (as-needed)</v>
      </c>
      <c r="H9" s="7" t="n">
        <v>1</v>
      </c>
      <c r="I9" s="2" t="s">
        <v>1060</v>
      </c>
      <c r="J9" s="3" t="str">
        <f aca="false">IFERROR(INDEX(Prices_Current,MATCH(F9,Prices_ID,0)),"")</f>
        <v/>
      </c>
      <c r="K9" s="2" t="s">
        <v>1061</v>
      </c>
      <c r="L9" s="3" t="str">
        <f aca="false">IF(OR(H9="",NOT(ISNUMBER(J9))),"",H9*J9)</f>
        <v/>
      </c>
      <c r="M9" s="2" t="str">
        <f aca="false">IFERROR(INDEX(Prices_Flag,MATCH(F9,Prices_ID,0)),"")</f>
        <v>FLAGGED-human review</v>
      </c>
      <c r="N9" s="2" t="s">
        <v>1062</v>
      </c>
      <c r="O9" s="0" t="s">
        <v>1057</v>
      </c>
      <c r="P9" s="8" t="s">
        <v>1058</v>
      </c>
      <c r="Q9" s="0" t="s">
        <v>1044</v>
      </c>
    </row>
    <row r="10" customFormat="false" ht="17.15" hidden="false" customHeight="false" outlineLevel="0" collapsed="false">
      <c r="A10" s="2" t="s">
        <v>1072</v>
      </c>
      <c r="B10" s="2" t="s">
        <v>1064</v>
      </c>
      <c r="C10" s="2" t="s">
        <v>52</v>
      </c>
      <c r="D10" s="2" t="s">
        <v>1065</v>
      </c>
      <c r="E10" s="2" t="s">
        <v>1070</v>
      </c>
      <c r="F10" s="2" t="s">
        <v>99</v>
      </c>
      <c r="G10" s="2" t="str">
        <f aca="false">IFERROR(INDEX(Prices_Item,MATCH(F10,Prices_ID,0)),"ITEM NOT FOUND")</f>
        <v>Refrigerant (as-needed)</v>
      </c>
      <c r="H10" s="7" t="n">
        <v>1</v>
      </c>
      <c r="I10" s="2" t="s">
        <v>1066</v>
      </c>
      <c r="J10" s="3" t="str">
        <f aca="false">IFERROR(INDEX(Prices_Current,MATCH(F10,Prices_ID,0)),"")</f>
        <v/>
      </c>
      <c r="K10" s="2" t="s">
        <v>1061</v>
      </c>
      <c r="L10" s="3" t="str">
        <f aca="false">IF(OR(H10="",NOT(ISNUMBER(J10))),"",H10*J10)</f>
        <v/>
      </c>
      <c r="M10" s="2" t="str">
        <f aca="false">IFERROR(INDEX(Prices_Flag,MATCH(F10,Prices_ID,0)),"")</f>
        <v>FLAGGED-human review</v>
      </c>
      <c r="N10" s="2" t="s">
        <v>1062</v>
      </c>
      <c r="O10" s="0" t="s">
        <v>1067</v>
      </c>
      <c r="P10" s="8" t="s">
        <v>1068</v>
      </c>
      <c r="Q10" s="0" t="s">
        <v>1044</v>
      </c>
    </row>
    <row r="11" customFormat="false" ht="17.15" hidden="false" customHeight="false" outlineLevel="0" collapsed="false">
      <c r="A11" s="2" t="s">
        <v>1073</v>
      </c>
      <c r="B11" s="2" t="s">
        <v>1053</v>
      </c>
      <c r="C11" s="2" t="s">
        <v>52</v>
      </c>
      <c r="D11" s="2" t="s">
        <v>1054</v>
      </c>
      <c r="E11" s="2" t="s">
        <v>1074</v>
      </c>
      <c r="F11" s="2" t="s">
        <v>85</v>
      </c>
      <c r="G11" s="2" t="str">
        <f aca="false">IFERROR(INDEX(Prices_Item,MATCH(F11,Prices_ID,0)),"ITEM NOT FOUND")</f>
        <v>Extra meter of copper line set, 2 t</v>
      </c>
      <c r="H11" s="7" t="n">
        <v>1</v>
      </c>
      <c r="I11" s="2" t="s">
        <v>1056</v>
      </c>
      <c r="J11" s="3" t="n">
        <f aca="false">IFERROR(INDEX(Prices_Current,MATCH(F11,Prices_ID,0)),"")</f>
        <v>280</v>
      </c>
      <c r="K11" s="2" t="s">
        <v>1044</v>
      </c>
      <c r="L11" s="3" t="n">
        <f aca="false">IF(OR(H11="",NOT(ISNUMBER(J11))),"",H11*J11)</f>
        <v>280</v>
      </c>
      <c r="M11" s="2" t="str">
        <f aca="false">IFERROR(INDEX(Prices_Flag,MATCH(F11,Prices_ID,0)),"")</f>
        <v>none</v>
      </c>
      <c r="N11" s="2"/>
      <c r="O11" s="0" t="s">
        <v>1057</v>
      </c>
      <c r="P11" s="8" t="s">
        <v>1058</v>
      </c>
      <c r="Q11" s="0" t="s">
        <v>27</v>
      </c>
    </row>
    <row r="12" customFormat="false" ht="17.15" hidden="false" customHeight="false" outlineLevel="0" collapsed="false">
      <c r="A12" s="2" t="s">
        <v>1075</v>
      </c>
      <c r="B12" s="2" t="s">
        <v>1053</v>
      </c>
      <c r="C12" s="2" t="s">
        <v>52</v>
      </c>
      <c r="D12" s="2" t="s">
        <v>1054</v>
      </c>
      <c r="E12" s="2" t="s">
        <v>1074</v>
      </c>
      <c r="F12" s="2" t="s">
        <v>99</v>
      </c>
      <c r="G12" s="2" t="str">
        <f aca="false">IFERROR(INDEX(Prices_Item,MATCH(F12,Prices_ID,0)),"ITEM NOT FOUND")</f>
        <v>Refrigerant (as-needed)</v>
      </c>
      <c r="H12" s="7" t="n">
        <v>1</v>
      </c>
      <c r="I12" s="2" t="s">
        <v>1060</v>
      </c>
      <c r="J12" s="3" t="str">
        <f aca="false">IFERROR(INDEX(Prices_Current,MATCH(F12,Prices_ID,0)),"")</f>
        <v/>
      </c>
      <c r="K12" s="2" t="s">
        <v>1061</v>
      </c>
      <c r="L12" s="3" t="str">
        <f aca="false">IF(OR(H12="",NOT(ISNUMBER(J12))),"",H12*J12)</f>
        <v/>
      </c>
      <c r="M12" s="2" t="str">
        <f aca="false">IFERROR(INDEX(Prices_Flag,MATCH(F12,Prices_ID,0)),"")</f>
        <v>FLAGGED-human review</v>
      </c>
      <c r="N12" s="2" t="s">
        <v>1062</v>
      </c>
      <c r="O12" s="0" t="s">
        <v>1057</v>
      </c>
      <c r="P12" s="8" t="s">
        <v>1058</v>
      </c>
      <c r="Q12" s="0" t="s">
        <v>1044</v>
      </c>
    </row>
    <row r="13" customFormat="false" ht="17.15" hidden="false" customHeight="false" outlineLevel="0" collapsed="false">
      <c r="A13" s="2" t="s">
        <v>1076</v>
      </c>
      <c r="B13" s="2" t="s">
        <v>1064</v>
      </c>
      <c r="C13" s="2" t="s">
        <v>52</v>
      </c>
      <c r="D13" s="2" t="s">
        <v>1065</v>
      </c>
      <c r="E13" s="2" t="s">
        <v>1074</v>
      </c>
      <c r="F13" s="2" t="s">
        <v>99</v>
      </c>
      <c r="G13" s="2" t="str">
        <f aca="false">IFERROR(INDEX(Prices_Item,MATCH(F13,Prices_ID,0)),"ITEM NOT FOUND")</f>
        <v>Refrigerant (as-needed)</v>
      </c>
      <c r="H13" s="7" t="n">
        <v>1</v>
      </c>
      <c r="I13" s="2" t="s">
        <v>1066</v>
      </c>
      <c r="J13" s="3" t="str">
        <f aca="false">IFERROR(INDEX(Prices_Current,MATCH(F13,Prices_ID,0)),"")</f>
        <v/>
      </c>
      <c r="K13" s="2" t="s">
        <v>1061</v>
      </c>
      <c r="L13" s="3" t="str">
        <f aca="false">IF(OR(H13="",NOT(ISNUMBER(J13))),"",H13*J13)</f>
        <v/>
      </c>
      <c r="M13" s="2" t="str">
        <f aca="false">IFERROR(INDEX(Prices_Flag,MATCH(F13,Prices_ID,0)),"")</f>
        <v>FLAGGED-human review</v>
      </c>
      <c r="N13" s="2" t="s">
        <v>1062</v>
      </c>
      <c r="O13" s="0" t="s">
        <v>1067</v>
      </c>
      <c r="P13" s="8" t="s">
        <v>1068</v>
      </c>
      <c r="Q13" s="0" t="s">
        <v>1044</v>
      </c>
    </row>
    <row r="14" customFormat="false" ht="17.15" hidden="false" customHeight="false" outlineLevel="0" collapsed="false">
      <c r="A14" s="2" t="s">
        <v>1077</v>
      </c>
      <c r="B14" s="2" t="s">
        <v>1053</v>
      </c>
      <c r="C14" s="2" t="s">
        <v>52</v>
      </c>
      <c r="D14" s="2" t="s">
        <v>1054</v>
      </c>
      <c r="E14" s="2" t="s">
        <v>1078</v>
      </c>
      <c r="F14" s="2" t="s">
        <v>87</v>
      </c>
      <c r="G14" s="2" t="str">
        <f aca="false">IFERROR(INDEX(Prices_Item,MATCH(F14,Prices_ID,0)),"ITEM NOT FOUND")</f>
        <v>Extra meter of copper line set, 3 t</v>
      </c>
      <c r="H14" s="7" t="n">
        <v>1</v>
      </c>
      <c r="I14" s="2" t="s">
        <v>1056</v>
      </c>
      <c r="J14" s="3" t="n">
        <f aca="false">IFERROR(INDEX(Prices_Current,MATCH(F14,Prices_ID,0)),"")</f>
        <v>321</v>
      </c>
      <c r="K14" s="2" t="s">
        <v>1044</v>
      </c>
      <c r="L14" s="3" t="n">
        <f aca="false">IF(OR(H14="",NOT(ISNUMBER(J14))),"",H14*J14)</f>
        <v>321</v>
      </c>
      <c r="M14" s="2" t="str">
        <f aca="false">IFERROR(INDEX(Prices_Flag,MATCH(F14,Prices_ID,0)),"")</f>
        <v>none</v>
      </c>
      <c r="N14" s="2"/>
      <c r="O14" s="0" t="s">
        <v>1057</v>
      </c>
      <c r="P14" s="8" t="s">
        <v>1058</v>
      </c>
      <c r="Q14" s="0" t="s">
        <v>27</v>
      </c>
    </row>
    <row r="15" customFormat="false" ht="17.15" hidden="false" customHeight="false" outlineLevel="0" collapsed="false">
      <c r="A15" s="2" t="s">
        <v>1079</v>
      </c>
      <c r="B15" s="2" t="s">
        <v>1053</v>
      </c>
      <c r="C15" s="2" t="s">
        <v>52</v>
      </c>
      <c r="D15" s="2" t="s">
        <v>1054</v>
      </c>
      <c r="E15" s="2" t="s">
        <v>1078</v>
      </c>
      <c r="F15" s="2" t="s">
        <v>99</v>
      </c>
      <c r="G15" s="2" t="str">
        <f aca="false">IFERROR(INDEX(Prices_Item,MATCH(F15,Prices_ID,0)),"ITEM NOT FOUND")</f>
        <v>Refrigerant (as-needed)</v>
      </c>
      <c r="H15" s="7" t="n">
        <v>1</v>
      </c>
      <c r="I15" s="2" t="s">
        <v>1060</v>
      </c>
      <c r="J15" s="3" t="str">
        <f aca="false">IFERROR(INDEX(Prices_Current,MATCH(F15,Prices_ID,0)),"")</f>
        <v/>
      </c>
      <c r="K15" s="2" t="s">
        <v>1061</v>
      </c>
      <c r="L15" s="3" t="str">
        <f aca="false">IF(OR(H15="",NOT(ISNUMBER(J15))),"",H15*J15)</f>
        <v/>
      </c>
      <c r="M15" s="2" t="str">
        <f aca="false">IFERROR(INDEX(Prices_Flag,MATCH(F15,Prices_ID,0)),"")</f>
        <v>FLAGGED-human review</v>
      </c>
      <c r="N15" s="2" t="s">
        <v>1062</v>
      </c>
      <c r="O15" s="0" t="s">
        <v>1057</v>
      </c>
      <c r="P15" s="8" t="s">
        <v>1058</v>
      </c>
      <c r="Q15" s="0" t="s">
        <v>1044</v>
      </c>
    </row>
    <row r="16" customFormat="false" ht="17.15" hidden="false" customHeight="false" outlineLevel="0" collapsed="false">
      <c r="A16" s="2" t="s">
        <v>1080</v>
      </c>
      <c r="B16" s="2" t="s">
        <v>1064</v>
      </c>
      <c r="C16" s="2" t="s">
        <v>52</v>
      </c>
      <c r="D16" s="2" t="s">
        <v>1065</v>
      </c>
      <c r="E16" s="2" t="s">
        <v>1078</v>
      </c>
      <c r="F16" s="2" t="s">
        <v>99</v>
      </c>
      <c r="G16" s="2" t="str">
        <f aca="false">IFERROR(INDEX(Prices_Item,MATCH(F16,Prices_ID,0)),"ITEM NOT FOUND")</f>
        <v>Refrigerant (as-needed)</v>
      </c>
      <c r="H16" s="7" t="n">
        <v>1</v>
      </c>
      <c r="I16" s="2" t="s">
        <v>1066</v>
      </c>
      <c r="J16" s="3" t="str">
        <f aca="false">IFERROR(INDEX(Prices_Current,MATCH(F16,Prices_ID,0)),"")</f>
        <v/>
      </c>
      <c r="K16" s="2" t="s">
        <v>1061</v>
      </c>
      <c r="L16" s="3" t="str">
        <f aca="false">IF(OR(H16="",NOT(ISNUMBER(J16))),"",H16*J16)</f>
        <v/>
      </c>
      <c r="M16" s="2" t="str">
        <f aca="false">IFERROR(INDEX(Prices_Flag,MATCH(F16,Prices_ID,0)),"")</f>
        <v>FLAGGED-human review</v>
      </c>
      <c r="N16" s="2" t="s">
        <v>1062</v>
      </c>
      <c r="O16" s="0" t="s">
        <v>1067</v>
      </c>
      <c r="P16" s="8" t="s">
        <v>1068</v>
      </c>
      <c r="Q16" s="0" t="s">
        <v>1044</v>
      </c>
    </row>
    <row r="17" customFormat="false" ht="15" hidden="false" customHeight="false" outlineLevel="0" collapsed="false">
      <c r="A17" s="2" t="s">
        <v>1081</v>
      </c>
      <c r="B17" s="2" t="s">
        <v>1082</v>
      </c>
      <c r="C17" s="2" t="s">
        <v>107</v>
      </c>
      <c r="D17" s="2" t="s">
        <v>1083</v>
      </c>
      <c r="E17" s="2" t="s">
        <v>1042</v>
      </c>
      <c r="F17" s="2" t="s">
        <v>115</v>
      </c>
      <c r="G17" s="2" t="str">
        <f aca="false">IFERROR(INDEX(Prices_Item,MATCH(F17,Prices_ID,0)),"ITEM NOT FOUND")</f>
        <v>Toilet wax ring (as-needed)</v>
      </c>
      <c r="H17" s="7" t="n">
        <v>1</v>
      </c>
      <c r="I17" s="2" t="s">
        <v>1084</v>
      </c>
      <c r="J17" s="3" t="n">
        <f aca="false">IFERROR(INDEX(Prices_Current,MATCH(F17,Prices_ID,0)),"")</f>
        <v>52</v>
      </c>
      <c r="K17" s="2" t="s">
        <v>1044</v>
      </c>
      <c r="L17" s="3" t="n">
        <f aca="false">IF(OR(H17="",NOT(ISNUMBER(J17))),"",H17*J17)</f>
        <v>52</v>
      </c>
      <c r="M17" s="2" t="str">
        <f aca="false">IFERROR(INDEX(Prices_Flag,MATCH(F17,Prices_ID,0)),"")</f>
        <v>none</v>
      </c>
      <c r="N17" s="2"/>
      <c r="O17" s="0" t="s">
        <v>1085</v>
      </c>
      <c r="P17" s="8" t="s">
        <v>1086</v>
      </c>
      <c r="Q17" s="0" t="s">
        <v>27</v>
      </c>
    </row>
    <row r="18" customFormat="false" ht="17.15" hidden="false" customHeight="false" outlineLevel="0" collapsed="false">
      <c r="A18" s="2" t="s">
        <v>1087</v>
      </c>
      <c r="B18" s="2" t="s">
        <v>1088</v>
      </c>
      <c r="C18" s="2" t="s">
        <v>107</v>
      </c>
      <c r="D18" s="2" t="s">
        <v>1089</v>
      </c>
      <c r="E18" s="2" t="s">
        <v>1042</v>
      </c>
      <c r="F18" s="2" t="s">
        <v>137</v>
      </c>
      <c r="G18" s="2" t="str">
        <f aca="false">IFERROR(INDEX(Prices_Item,MATCH(F18,Prices_ID,0)),"ITEM NOT FOUND")</f>
        <v>Relief valve, budget (as-needed)</v>
      </c>
      <c r="H18" s="7" t="n">
        <v>1</v>
      </c>
      <c r="I18" s="2" t="s">
        <v>1090</v>
      </c>
      <c r="J18" s="3" t="n">
        <f aca="false">IFERROR(INDEX(Prices_Current,MATCH(F18,Prices_ID,0)),"")</f>
        <v>188</v>
      </c>
      <c r="K18" s="2" t="s">
        <v>1044</v>
      </c>
      <c r="L18" s="3" t="n">
        <f aca="false">IF(OR(H18="",NOT(ISNUMBER(J18))),"",H18*J18)</f>
        <v>188</v>
      </c>
      <c r="M18" s="2" t="str">
        <f aca="false">IFERROR(INDEX(Prices_Flag,MATCH(F18,Prices_ID,0)),"")</f>
        <v>none</v>
      </c>
      <c r="N18" s="2"/>
      <c r="O18" s="0" t="s">
        <v>1091</v>
      </c>
      <c r="P18" s="8" t="s">
        <v>1092</v>
      </c>
      <c r="Q18" s="0" t="s">
        <v>27</v>
      </c>
    </row>
    <row r="19" customFormat="false" ht="17.15" hidden="false" customHeight="false" outlineLevel="0" collapsed="false">
      <c r="A19" s="2" t="s">
        <v>1093</v>
      </c>
      <c r="B19" s="2" t="s">
        <v>1088</v>
      </c>
      <c r="C19" s="2" t="s">
        <v>107</v>
      </c>
      <c r="D19" s="2" t="s">
        <v>1089</v>
      </c>
      <c r="E19" s="2" t="s">
        <v>1042</v>
      </c>
      <c r="F19" s="2" t="s">
        <v>145</v>
      </c>
      <c r="G19" s="2" t="str">
        <f aca="false">IFERROR(INDEX(Prices_Item,MATCH(F19,Prices_ID,0)),"ITEM NOT FOUND")</f>
        <v>Gas connector for water heater</v>
      </c>
      <c r="H19" s="7" t="n">
        <v>1</v>
      </c>
      <c r="I19" s="2" t="s">
        <v>1094</v>
      </c>
      <c r="J19" s="3" t="n">
        <f aca="false">IFERROR(INDEX(Prices_Current,MATCH(F19,Prices_ID,0)),"")</f>
        <v>244</v>
      </c>
      <c r="K19" s="2" t="s">
        <v>1061</v>
      </c>
      <c r="L19" s="3" t="n">
        <f aca="false">IF(OR(H19="",NOT(ISNUMBER(J19))),"",H19*J19)</f>
        <v>244</v>
      </c>
      <c r="M19" s="2" t="str">
        <f aca="false">IFERROR(INDEX(Prices_Flag,MATCH(F19,Prices_ID,0)),"")</f>
        <v>FLAGGED-human review</v>
      </c>
      <c r="N19" s="2" t="s">
        <v>1095</v>
      </c>
      <c r="O19" s="0" t="s">
        <v>1091</v>
      </c>
      <c r="P19" s="8" t="s">
        <v>1092</v>
      </c>
      <c r="Q19" s="0" t="s">
        <v>1044</v>
      </c>
    </row>
    <row r="20" customFormat="false" ht="15" hidden="false" customHeight="false" outlineLevel="0" collapsed="false">
      <c r="A20" s="2" t="s">
        <v>1096</v>
      </c>
      <c r="B20" s="2" t="s">
        <v>1097</v>
      </c>
      <c r="C20" s="2" t="s">
        <v>107</v>
      </c>
      <c r="D20" s="2" t="s">
        <v>1098</v>
      </c>
      <c r="E20" s="2" t="s">
        <v>1042</v>
      </c>
      <c r="F20" s="2" t="s">
        <v>164</v>
      </c>
      <c r="G20" s="2" t="str">
        <f aca="false">IFERROR(INDEX(Prices_Item,MATCH(F20,Prices_ID,0)),"ITEM NOT FOUND")</f>
        <v>Biopure enzymatic drain cleaner</v>
      </c>
      <c r="H20" s="7" t="n">
        <v>1</v>
      </c>
      <c r="I20" s="2" t="s">
        <v>1099</v>
      </c>
      <c r="J20" s="3" t="n">
        <f aca="false">IFERROR(INDEX(Prices_Current,MATCH(F20,Prices_ID,0)),"")</f>
        <v>189</v>
      </c>
      <c r="K20" s="2" t="s">
        <v>1100</v>
      </c>
      <c r="L20" s="3" t="n">
        <f aca="false">IF(OR(H20="",NOT(ISNUMBER(J20))),"",H20*J20)</f>
        <v>189</v>
      </c>
      <c r="M20" s="2" t="str">
        <f aca="false">IFERROR(INDEX(Prices_Flag,MATCH(F20,Prices_ID,0)),"")</f>
        <v>none</v>
      </c>
      <c r="N20" s="2"/>
      <c r="O20" s="0" t="s">
        <v>1101</v>
      </c>
      <c r="P20" s="8" t="s">
        <v>1102</v>
      </c>
      <c r="Q20" s="0" t="s">
        <v>27</v>
      </c>
    </row>
    <row r="21" customFormat="false" ht="15" hidden="false" customHeight="false" outlineLevel="0" collapsed="false">
      <c r="A21" s="2" t="s">
        <v>1103</v>
      </c>
      <c r="B21" s="2" t="s">
        <v>1097</v>
      </c>
      <c r="C21" s="2" t="s">
        <v>107</v>
      </c>
      <c r="D21" s="2" t="s">
        <v>1098</v>
      </c>
      <c r="E21" s="2" t="s">
        <v>1042</v>
      </c>
      <c r="F21" s="2" t="s">
        <v>168</v>
      </c>
      <c r="G21" s="2" t="str">
        <f aca="false">IFERROR(INDEX(Prices_Item,MATCH(F21,Prices_ID,0)),"ITEM NOT FOUND")</f>
        <v>P-trap (as-needed)</v>
      </c>
      <c r="H21" s="7" t="n">
        <v>1</v>
      </c>
      <c r="I21" s="2" t="s">
        <v>1104</v>
      </c>
      <c r="J21" s="3" t="str">
        <f aca="false">IFERROR(INDEX(Prices_Current,MATCH(F21,Prices_ID,0)),"")</f>
        <v/>
      </c>
      <c r="K21" s="2" t="s">
        <v>1044</v>
      </c>
      <c r="L21" s="3" t="str">
        <f aca="false">IF(OR(H21="",NOT(ISNUMBER(J21))),"",H21*J21)</f>
        <v/>
      </c>
      <c r="M21" s="2" t="str">
        <f aca="false">IFERROR(INDEX(Prices_Flag,MATCH(F21,Prices_ID,0)),"")</f>
        <v>none</v>
      </c>
      <c r="N21" s="2" t="s">
        <v>1045</v>
      </c>
      <c r="O21" s="0" t="s">
        <v>1101</v>
      </c>
      <c r="P21" s="8" t="s">
        <v>1102</v>
      </c>
      <c r="Q21" s="0" t="s">
        <v>27</v>
      </c>
    </row>
    <row r="22" customFormat="false" ht="15" hidden="false" customHeight="false" outlineLevel="0" collapsed="false">
      <c r="A22" s="2" t="s">
        <v>1105</v>
      </c>
      <c r="B22" s="2" t="s">
        <v>1097</v>
      </c>
      <c r="C22" s="2" t="s">
        <v>107</v>
      </c>
      <c r="D22" s="2" t="s">
        <v>1098</v>
      </c>
      <c r="E22" s="2" t="s">
        <v>1042</v>
      </c>
      <c r="F22" s="2" t="s">
        <v>172</v>
      </c>
      <c r="G22" s="2" t="str">
        <f aca="false">IFERROR(INDEX(Prices_Item,MATCH(F22,Prices_ID,0)),"ITEM NOT FOUND")</f>
        <v>Sink strainers (as-needed)</v>
      </c>
      <c r="H22" s="7" t="n">
        <v>1</v>
      </c>
      <c r="I22" s="2" t="s">
        <v>1106</v>
      </c>
      <c r="J22" s="3" t="str">
        <f aca="false">IFERROR(INDEX(Prices_Current,MATCH(F22,Prices_ID,0)),"")</f>
        <v/>
      </c>
      <c r="K22" s="2" t="s">
        <v>1044</v>
      </c>
      <c r="L22" s="3" t="str">
        <f aca="false">IF(OR(H22="",NOT(ISNUMBER(J22))),"",H22*J22)</f>
        <v/>
      </c>
      <c r="M22" s="2" t="str">
        <f aca="false">IFERROR(INDEX(Prices_Flag,MATCH(F22,Prices_ID,0)),"")</f>
        <v>none</v>
      </c>
      <c r="N22" s="2" t="s">
        <v>1045</v>
      </c>
      <c r="O22" s="0" t="s">
        <v>1101</v>
      </c>
      <c r="P22" s="8" t="s">
        <v>1102</v>
      </c>
      <c r="Q22" s="0" t="s">
        <v>27</v>
      </c>
    </row>
    <row r="23" customFormat="false" ht="15" hidden="false" customHeight="false" outlineLevel="0" collapsed="false">
      <c r="A23" s="2" t="s">
        <v>1107</v>
      </c>
      <c r="B23" s="2" t="s">
        <v>1082</v>
      </c>
      <c r="C23" s="2" t="s">
        <v>107</v>
      </c>
      <c r="D23" s="2" t="s">
        <v>1083</v>
      </c>
      <c r="E23" s="2" t="s">
        <v>1049</v>
      </c>
      <c r="F23" s="2" t="s">
        <v>115</v>
      </c>
      <c r="G23" s="2" t="str">
        <f aca="false">IFERROR(INDEX(Prices_Item,MATCH(F23,Prices_ID,0)),"ITEM NOT FOUND")</f>
        <v>Toilet wax ring (as-needed)</v>
      </c>
      <c r="H23" s="7" t="n">
        <v>1</v>
      </c>
      <c r="I23" s="2" t="s">
        <v>1084</v>
      </c>
      <c r="J23" s="3" t="n">
        <f aca="false">IFERROR(INDEX(Prices_Current,MATCH(F23,Prices_ID,0)),"")</f>
        <v>52</v>
      </c>
      <c r="K23" s="2" t="s">
        <v>1044</v>
      </c>
      <c r="L23" s="3" t="n">
        <f aca="false">IF(OR(H23="",NOT(ISNUMBER(J23))),"",H23*J23)</f>
        <v>52</v>
      </c>
      <c r="M23" s="2" t="str">
        <f aca="false">IFERROR(INDEX(Prices_Flag,MATCH(F23,Prices_ID,0)),"")</f>
        <v>none</v>
      </c>
      <c r="N23" s="2"/>
      <c r="O23" s="0" t="s">
        <v>1085</v>
      </c>
      <c r="P23" s="8" t="s">
        <v>1086</v>
      </c>
      <c r="Q23" s="0" t="s">
        <v>27</v>
      </c>
    </row>
    <row r="24" customFormat="false" ht="17.15" hidden="false" customHeight="false" outlineLevel="0" collapsed="false">
      <c r="A24" s="2" t="s">
        <v>1108</v>
      </c>
      <c r="B24" s="2" t="s">
        <v>1088</v>
      </c>
      <c r="C24" s="2" t="s">
        <v>107</v>
      </c>
      <c r="D24" s="2" t="s">
        <v>1089</v>
      </c>
      <c r="E24" s="2" t="s">
        <v>1049</v>
      </c>
      <c r="F24" s="2" t="s">
        <v>141</v>
      </c>
      <c r="G24" s="2" t="str">
        <f aca="false">IFERROR(INDEX(Prices_Item,MATCH(F24,Prices_ID,0)),"ITEM NOT FOUND")</f>
        <v>Relief valve, standard (as-needed)</v>
      </c>
      <c r="H24" s="7" t="n">
        <v>1</v>
      </c>
      <c r="I24" s="2" t="s">
        <v>1090</v>
      </c>
      <c r="J24" s="3" t="n">
        <f aca="false">IFERROR(INDEX(Prices_Current,MATCH(F24,Prices_ID,0)),"")</f>
        <v>408</v>
      </c>
      <c r="K24" s="2" t="s">
        <v>1044</v>
      </c>
      <c r="L24" s="3" t="n">
        <f aca="false">IF(OR(H24="",NOT(ISNUMBER(J24))),"",H24*J24)</f>
        <v>408</v>
      </c>
      <c r="M24" s="2" t="str">
        <f aca="false">IFERROR(INDEX(Prices_Flag,MATCH(F24,Prices_ID,0)),"")</f>
        <v>none</v>
      </c>
      <c r="N24" s="2"/>
      <c r="O24" s="0" t="s">
        <v>1091</v>
      </c>
      <c r="P24" s="8" t="s">
        <v>1092</v>
      </c>
      <c r="Q24" s="0" t="s">
        <v>27</v>
      </c>
    </row>
    <row r="25" customFormat="false" ht="17.15" hidden="false" customHeight="false" outlineLevel="0" collapsed="false">
      <c r="A25" s="2" t="s">
        <v>1109</v>
      </c>
      <c r="B25" s="2" t="s">
        <v>1088</v>
      </c>
      <c r="C25" s="2" t="s">
        <v>107</v>
      </c>
      <c r="D25" s="2" t="s">
        <v>1089</v>
      </c>
      <c r="E25" s="2" t="s">
        <v>1049</v>
      </c>
      <c r="F25" s="2" t="s">
        <v>145</v>
      </c>
      <c r="G25" s="2" t="str">
        <f aca="false">IFERROR(INDEX(Prices_Item,MATCH(F25,Prices_ID,0)),"ITEM NOT FOUND")</f>
        <v>Gas connector for water heater</v>
      </c>
      <c r="H25" s="7" t="n">
        <v>1</v>
      </c>
      <c r="I25" s="2" t="s">
        <v>1094</v>
      </c>
      <c r="J25" s="3" t="n">
        <f aca="false">IFERROR(INDEX(Prices_Current,MATCH(F25,Prices_ID,0)),"")</f>
        <v>244</v>
      </c>
      <c r="K25" s="2" t="s">
        <v>1061</v>
      </c>
      <c r="L25" s="3" t="n">
        <f aca="false">IF(OR(H25="",NOT(ISNUMBER(J25))),"",H25*J25)</f>
        <v>244</v>
      </c>
      <c r="M25" s="2" t="str">
        <f aca="false">IFERROR(INDEX(Prices_Flag,MATCH(F25,Prices_ID,0)),"")</f>
        <v>FLAGGED-human review</v>
      </c>
      <c r="N25" s="2" t="s">
        <v>1095</v>
      </c>
      <c r="O25" s="0" t="s">
        <v>1091</v>
      </c>
      <c r="P25" s="8" t="s">
        <v>1092</v>
      </c>
      <c r="Q25" s="0" t="s">
        <v>1044</v>
      </c>
    </row>
    <row r="26" customFormat="false" ht="15" hidden="false" customHeight="false" outlineLevel="0" collapsed="false">
      <c r="A26" s="2" t="s">
        <v>1110</v>
      </c>
      <c r="B26" s="2" t="s">
        <v>1097</v>
      </c>
      <c r="C26" s="2" t="s">
        <v>107</v>
      </c>
      <c r="D26" s="2" t="s">
        <v>1098</v>
      </c>
      <c r="E26" s="2" t="s">
        <v>1049</v>
      </c>
      <c r="F26" s="2" t="s">
        <v>164</v>
      </c>
      <c r="G26" s="2" t="str">
        <f aca="false">IFERROR(INDEX(Prices_Item,MATCH(F26,Prices_ID,0)),"ITEM NOT FOUND")</f>
        <v>Biopure enzymatic drain cleaner</v>
      </c>
      <c r="H26" s="7" t="n">
        <v>1</v>
      </c>
      <c r="I26" s="2" t="s">
        <v>1099</v>
      </c>
      <c r="J26" s="3" t="n">
        <f aca="false">IFERROR(INDEX(Prices_Current,MATCH(F26,Prices_ID,0)),"")</f>
        <v>189</v>
      </c>
      <c r="K26" s="2" t="s">
        <v>1100</v>
      </c>
      <c r="L26" s="3" t="n">
        <f aca="false">IF(OR(H26="",NOT(ISNUMBER(J26))),"",H26*J26)</f>
        <v>189</v>
      </c>
      <c r="M26" s="2" t="str">
        <f aca="false">IFERROR(INDEX(Prices_Flag,MATCH(F26,Prices_ID,0)),"")</f>
        <v>none</v>
      </c>
      <c r="N26" s="2"/>
      <c r="O26" s="0" t="s">
        <v>1101</v>
      </c>
      <c r="P26" s="8" t="s">
        <v>1102</v>
      </c>
      <c r="Q26" s="0" t="s">
        <v>27</v>
      </c>
    </row>
    <row r="27" customFormat="false" ht="15" hidden="false" customHeight="false" outlineLevel="0" collapsed="false">
      <c r="A27" s="2" t="s">
        <v>1111</v>
      </c>
      <c r="B27" s="2" t="s">
        <v>1097</v>
      </c>
      <c r="C27" s="2" t="s">
        <v>107</v>
      </c>
      <c r="D27" s="2" t="s">
        <v>1098</v>
      </c>
      <c r="E27" s="2" t="s">
        <v>1049</v>
      </c>
      <c r="F27" s="2" t="s">
        <v>168</v>
      </c>
      <c r="G27" s="2" t="str">
        <f aca="false">IFERROR(INDEX(Prices_Item,MATCH(F27,Prices_ID,0)),"ITEM NOT FOUND")</f>
        <v>P-trap (as-needed)</v>
      </c>
      <c r="H27" s="7" t="n">
        <v>1</v>
      </c>
      <c r="I27" s="2" t="s">
        <v>1104</v>
      </c>
      <c r="J27" s="3" t="str">
        <f aca="false">IFERROR(INDEX(Prices_Current,MATCH(F27,Prices_ID,0)),"")</f>
        <v/>
      </c>
      <c r="K27" s="2" t="s">
        <v>1044</v>
      </c>
      <c r="L27" s="3" t="str">
        <f aca="false">IF(OR(H27="",NOT(ISNUMBER(J27))),"",H27*J27)</f>
        <v/>
      </c>
      <c r="M27" s="2" t="str">
        <f aca="false">IFERROR(INDEX(Prices_Flag,MATCH(F27,Prices_ID,0)),"")</f>
        <v>none</v>
      </c>
      <c r="N27" s="2" t="s">
        <v>1045</v>
      </c>
      <c r="O27" s="0" t="s">
        <v>1101</v>
      </c>
      <c r="P27" s="8" t="s">
        <v>1102</v>
      </c>
      <c r="Q27" s="0" t="s">
        <v>27</v>
      </c>
    </row>
    <row r="28" customFormat="false" ht="15" hidden="false" customHeight="false" outlineLevel="0" collapsed="false">
      <c r="A28" s="2" t="s">
        <v>1112</v>
      </c>
      <c r="B28" s="2" t="s">
        <v>1097</v>
      </c>
      <c r="C28" s="2" t="s">
        <v>107</v>
      </c>
      <c r="D28" s="2" t="s">
        <v>1098</v>
      </c>
      <c r="E28" s="2" t="s">
        <v>1049</v>
      </c>
      <c r="F28" s="2" t="s">
        <v>172</v>
      </c>
      <c r="G28" s="2" t="str">
        <f aca="false">IFERROR(INDEX(Prices_Item,MATCH(F28,Prices_ID,0)),"ITEM NOT FOUND")</f>
        <v>Sink strainers (as-needed)</v>
      </c>
      <c r="H28" s="7" t="n">
        <v>1</v>
      </c>
      <c r="I28" s="2" t="s">
        <v>1106</v>
      </c>
      <c r="J28" s="3" t="str">
        <f aca="false">IFERROR(INDEX(Prices_Current,MATCH(F28,Prices_ID,0)),"")</f>
        <v/>
      </c>
      <c r="K28" s="2" t="s">
        <v>1044</v>
      </c>
      <c r="L28" s="3" t="str">
        <f aca="false">IF(OR(H28="",NOT(ISNUMBER(J28))),"",H28*J28)</f>
        <v/>
      </c>
      <c r="M28" s="2" t="str">
        <f aca="false">IFERROR(INDEX(Prices_Flag,MATCH(F28,Prices_ID,0)),"")</f>
        <v>none</v>
      </c>
      <c r="N28" s="2" t="s">
        <v>1045</v>
      </c>
      <c r="O28" s="0" t="s">
        <v>1101</v>
      </c>
      <c r="P28" s="8" t="s">
        <v>1102</v>
      </c>
      <c r="Q28" s="0" t="s">
        <v>27</v>
      </c>
    </row>
    <row r="29" customFormat="false" ht="15" hidden="false" customHeight="false" outlineLevel="0" collapsed="false">
      <c r="A29" s="2" t="s">
        <v>1113</v>
      </c>
      <c r="B29" s="2" t="s">
        <v>1082</v>
      </c>
      <c r="C29" s="2" t="s">
        <v>107</v>
      </c>
      <c r="D29" s="2" t="s">
        <v>1083</v>
      </c>
      <c r="E29" s="2" t="s">
        <v>1051</v>
      </c>
      <c r="F29" s="2" t="s">
        <v>115</v>
      </c>
      <c r="G29" s="2" t="str">
        <f aca="false">IFERROR(INDEX(Prices_Item,MATCH(F29,Prices_ID,0)),"ITEM NOT FOUND")</f>
        <v>Toilet wax ring (as-needed)</v>
      </c>
      <c r="H29" s="7" t="n">
        <v>1</v>
      </c>
      <c r="I29" s="2" t="s">
        <v>1084</v>
      </c>
      <c r="J29" s="3" t="n">
        <f aca="false">IFERROR(INDEX(Prices_Current,MATCH(F29,Prices_ID,0)),"")</f>
        <v>52</v>
      </c>
      <c r="K29" s="2" t="s">
        <v>1044</v>
      </c>
      <c r="L29" s="3" t="n">
        <f aca="false">IF(OR(H29="",NOT(ISNUMBER(J29))),"",H29*J29)</f>
        <v>52</v>
      </c>
      <c r="M29" s="2" t="str">
        <f aca="false">IFERROR(INDEX(Prices_Flag,MATCH(F29,Prices_ID,0)),"")</f>
        <v>none</v>
      </c>
      <c r="N29" s="2"/>
      <c r="O29" s="0" t="s">
        <v>1085</v>
      </c>
      <c r="P29" s="8" t="s">
        <v>1086</v>
      </c>
      <c r="Q29" s="0" t="s">
        <v>27</v>
      </c>
    </row>
    <row r="30" customFormat="false" ht="17.15" hidden="false" customHeight="false" outlineLevel="0" collapsed="false">
      <c r="A30" s="2" t="s">
        <v>1114</v>
      </c>
      <c r="B30" s="2" t="s">
        <v>1088</v>
      </c>
      <c r="C30" s="2" t="s">
        <v>107</v>
      </c>
      <c r="D30" s="2" t="s">
        <v>1089</v>
      </c>
      <c r="E30" s="2" t="s">
        <v>1051</v>
      </c>
      <c r="F30" s="2" t="s">
        <v>143</v>
      </c>
      <c r="G30" s="2" t="str">
        <f aca="false">IFERROR(INDEX(Prices_Item,MATCH(F30,Prices_ID,0)),"ITEM NOT FOUND")</f>
        <v>Relief valve, premium (as-needed)</v>
      </c>
      <c r="H30" s="7" t="n">
        <v>1</v>
      </c>
      <c r="I30" s="2" t="s">
        <v>1090</v>
      </c>
      <c r="J30" s="3" t="n">
        <f aca="false">IFERROR(INDEX(Prices_Current,MATCH(F30,Prices_ID,0)),"")</f>
        <v>469</v>
      </c>
      <c r="K30" s="2" t="s">
        <v>1044</v>
      </c>
      <c r="L30" s="3" t="n">
        <f aca="false">IF(OR(H30="",NOT(ISNUMBER(J30))),"",H30*J30)</f>
        <v>469</v>
      </c>
      <c r="M30" s="2" t="str">
        <f aca="false">IFERROR(INDEX(Prices_Flag,MATCH(F30,Prices_ID,0)),"")</f>
        <v>none</v>
      </c>
      <c r="N30" s="2"/>
      <c r="O30" s="0" t="s">
        <v>1091</v>
      </c>
      <c r="P30" s="8" t="s">
        <v>1092</v>
      </c>
      <c r="Q30" s="0" t="s">
        <v>27</v>
      </c>
    </row>
    <row r="31" customFormat="false" ht="17.15" hidden="false" customHeight="false" outlineLevel="0" collapsed="false">
      <c r="A31" s="2" t="s">
        <v>1115</v>
      </c>
      <c r="B31" s="2" t="s">
        <v>1088</v>
      </c>
      <c r="C31" s="2" t="s">
        <v>107</v>
      </c>
      <c r="D31" s="2" t="s">
        <v>1089</v>
      </c>
      <c r="E31" s="2" t="s">
        <v>1051</v>
      </c>
      <c r="F31" s="2" t="s">
        <v>145</v>
      </c>
      <c r="G31" s="2" t="str">
        <f aca="false">IFERROR(INDEX(Prices_Item,MATCH(F31,Prices_ID,0)),"ITEM NOT FOUND")</f>
        <v>Gas connector for water heater</v>
      </c>
      <c r="H31" s="7" t="n">
        <v>1</v>
      </c>
      <c r="I31" s="2" t="s">
        <v>1094</v>
      </c>
      <c r="J31" s="3" t="n">
        <f aca="false">IFERROR(INDEX(Prices_Current,MATCH(F31,Prices_ID,0)),"")</f>
        <v>244</v>
      </c>
      <c r="K31" s="2" t="s">
        <v>1061</v>
      </c>
      <c r="L31" s="3" t="n">
        <f aca="false">IF(OR(H31="",NOT(ISNUMBER(J31))),"",H31*J31)</f>
        <v>244</v>
      </c>
      <c r="M31" s="2" t="str">
        <f aca="false">IFERROR(INDEX(Prices_Flag,MATCH(F31,Prices_ID,0)),"")</f>
        <v>FLAGGED-human review</v>
      </c>
      <c r="N31" s="2" t="s">
        <v>1095</v>
      </c>
      <c r="O31" s="0" t="s">
        <v>1091</v>
      </c>
      <c r="P31" s="8" t="s">
        <v>1092</v>
      </c>
      <c r="Q31" s="0" t="s">
        <v>1044</v>
      </c>
    </row>
    <row r="32" customFormat="false" ht="17.15" hidden="false" customHeight="false" outlineLevel="0" collapsed="false">
      <c r="A32" s="2" t="s">
        <v>1116</v>
      </c>
      <c r="B32" s="2" t="s">
        <v>1117</v>
      </c>
      <c r="C32" s="2" t="s">
        <v>107</v>
      </c>
      <c r="D32" s="2" t="s">
        <v>1118</v>
      </c>
      <c r="E32" s="2" t="s">
        <v>1051</v>
      </c>
      <c r="F32" s="2" t="s">
        <v>159</v>
      </c>
      <c r="G32" s="2" t="str">
        <f aca="false">IFERROR(INDEX(Prices_Item,MATCH(F32,Prices_ID,0)),"ITEM NOT FOUND")</f>
        <v>Beaquicy stainless washer hoses (premium)</v>
      </c>
      <c r="H32" s="7" t="n">
        <v>1</v>
      </c>
      <c r="I32" s="2" t="s">
        <v>1119</v>
      </c>
      <c r="J32" s="3" t="n">
        <f aca="false">IFERROR(INDEX(Prices_Current,MATCH(F32,Prices_ID,0)),"")</f>
        <v>310</v>
      </c>
      <c r="K32" s="2" t="s">
        <v>1100</v>
      </c>
      <c r="L32" s="3" t="n">
        <f aca="false">IF(OR(H32="",NOT(ISNUMBER(J32))),"",H32*J32)</f>
        <v>310</v>
      </c>
      <c r="M32" s="2" t="str">
        <f aca="false">IFERROR(INDEX(Prices_Flag,MATCH(F32,Prices_ID,0)),"")</f>
        <v>none</v>
      </c>
      <c r="N32" s="2"/>
      <c r="O32" s="0" t="s">
        <v>1120</v>
      </c>
      <c r="P32" s="8" t="s">
        <v>1121</v>
      </c>
      <c r="Q32" s="0" t="s">
        <v>27</v>
      </c>
    </row>
    <row r="33" customFormat="false" ht="15" hidden="false" customHeight="false" outlineLevel="0" collapsed="false">
      <c r="A33" s="2" t="s">
        <v>1122</v>
      </c>
      <c r="B33" s="2" t="s">
        <v>1097</v>
      </c>
      <c r="C33" s="2" t="s">
        <v>107</v>
      </c>
      <c r="D33" s="2" t="s">
        <v>1098</v>
      </c>
      <c r="E33" s="2" t="s">
        <v>1051</v>
      </c>
      <c r="F33" s="2" t="s">
        <v>164</v>
      </c>
      <c r="G33" s="2" t="str">
        <f aca="false">IFERROR(INDEX(Prices_Item,MATCH(F33,Prices_ID,0)),"ITEM NOT FOUND")</f>
        <v>Biopure enzymatic drain cleaner</v>
      </c>
      <c r="H33" s="7" t="n">
        <v>1</v>
      </c>
      <c r="I33" s="2" t="s">
        <v>1099</v>
      </c>
      <c r="J33" s="3" t="n">
        <f aca="false">IFERROR(INDEX(Prices_Current,MATCH(F33,Prices_ID,0)),"")</f>
        <v>189</v>
      </c>
      <c r="K33" s="2" t="s">
        <v>1100</v>
      </c>
      <c r="L33" s="3" t="n">
        <f aca="false">IF(OR(H33="",NOT(ISNUMBER(J33))),"",H33*J33)</f>
        <v>189</v>
      </c>
      <c r="M33" s="2" t="str">
        <f aca="false">IFERROR(INDEX(Prices_Flag,MATCH(F33,Prices_ID,0)),"")</f>
        <v>none</v>
      </c>
      <c r="N33" s="2"/>
      <c r="O33" s="0" t="s">
        <v>1101</v>
      </c>
      <c r="P33" s="8" t="s">
        <v>1102</v>
      </c>
      <c r="Q33" s="0" t="s">
        <v>27</v>
      </c>
    </row>
    <row r="34" customFormat="false" ht="15" hidden="false" customHeight="false" outlineLevel="0" collapsed="false">
      <c r="A34" s="2" t="s">
        <v>1123</v>
      </c>
      <c r="B34" s="2" t="s">
        <v>1097</v>
      </c>
      <c r="C34" s="2" t="s">
        <v>107</v>
      </c>
      <c r="D34" s="2" t="s">
        <v>1098</v>
      </c>
      <c r="E34" s="2" t="s">
        <v>1051</v>
      </c>
      <c r="F34" s="2" t="s">
        <v>168</v>
      </c>
      <c r="G34" s="2" t="str">
        <f aca="false">IFERROR(INDEX(Prices_Item,MATCH(F34,Prices_ID,0)),"ITEM NOT FOUND")</f>
        <v>P-trap (as-needed)</v>
      </c>
      <c r="H34" s="7" t="n">
        <v>1</v>
      </c>
      <c r="I34" s="2" t="s">
        <v>1104</v>
      </c>
      <c r="J34" s="3" t="str">
        <f aca="false">IFERROR(INDEX(Prices_Current,MATCH(F34,Prices_ID,0)),"")</f>
        <v/>
      </c>
      <c r="K34" s="2" t="s">
        <v>1044</v>
      </c>
      <c r="L34" s="3" t="str">
        <f aca="false">IF(OR(H34="",NOT(ISNUMBER(J34))),"",H34*J34)</f>
        <v/>
      </c>
      <c r="M34" s="2" t="str">
        <f aca="false">IFERROR(INDEX(Prices_Flag,MATCH(F34,Prices_ID,0)),"")</f>
        <v>none</v>
      </c>
      <c r="N34" s="2" t="s">
        <v>1045</v>
      </c>
      <c r="O34" s="0" t="s">
        <v>1101</v>
      </c>
      <c r="P34" s="8" t="s">
        <v>1102</v>
      </c>
      <c r="Q34" s="0" t="s">
        <v>27</v>
      </c>
    </row>
    <row r="35" customFormat="false" ht="15" hidden="false" customHeight="false" outlineLevel="0" collapsed="false">
      <c r="A35" s="2" t="s">
        <v>1124</v>
      </c>
      <c r="B35" s="2" t="s">
        <v>1097</v>
      </c>
      <c r="C35" s="2" t="s">
        <v>107</v>
      </c>
      <c r="D35" s="2" t="s">
        <v>1098</v>
      </c>
      <c r="E35" s="2" t="s">
        <v>1051</v>
      </c>
      <c r="F35" s="2" t="s">
        <v>172</v>
      </c>
      <c r="G35" s="2" t="str">
        <f aca="false">IFERROR(INDEX(Prices_Item,MATCH(F35,Prices_ID,0)),"ITEM NOT FOUND")</f>
        <v>Sink strainers (as-needed)</v>
      </c>
      <c r="H35" s="7" t="n">
        <v>1</v>
      </c>
      <c r="I35" s="2" t="s">
        <v>1106</v>
      </c>
      <c r="J35" s="3" t="str">
        <f aca="false">IFERROR(INDEX(Prices_Current,MATCH(F35,Prices_ID,0)),"")</f>
        <v/>
      </c>
      <c r="K35" s="2" t="s">
        <v>1044</v>
      </c>
      <c r="L35" s="3" t="str">
        <f aca="false">IF(OR(H35="",NOT(ISNUMBER(J35))),"",H35*J35)</f>
        <v/>
      </c>
      <c r="M35" s="2" t="str">
        <f aca="false">IFERROR(INDEX(Prices_Flag,MATCH(F35,Prices_ID,0)),"")</f>
        <v>none</v>
      </c>
      <c r="N35" s="2" t="s">
        <v>1045</v>
      </c>
      <c r="O35" s="0" t="s">
        <v>1101</v>
      </c>
      <c r="P35" s="8" t="s">
        <v>1102</v>
      </c>
      <c r="Q35" s="0" t="s">
        <v>27</v>
      </c>
    </row>
    <row r="36" customFormat="false" ht="17.15" hidden="false" customHeight="false" outlineLevel="0" collapsed="false">
      <c r="A36" s="2" t="s">
        <v>1125</v>
      </c>
      <c r="B36" s="2" t="s">
        <v>1126</v>
      </c>
      <c r="C36" s="2" t="s">
        <v>176</v>
      </c>
      <c r="D36" s="2" t="s">
        <v>1127</v>
      </c>
      <c r="E36" s="2" t="s">
        <v>1042</v>
      </c>
      <c r="F36" s="2" t="s">
        <v>192</v>
      </c>
      <c r="G36" s="2" t="str">
        <f aca="false">IFERROR(INDEX(Prices_Item,MATCH(F36,Prices_ID,0)),"ITEM NOT FOUND")</f>
        <v>Southwire ceiling fan box (drywall/ceiling joist)</v>
      </c>
      <c r="H36" s="7" t="n">
        <v>1</v>
      </c>
      <c r="I36" s="2" t="s">
        <v>1128</v>
      </c>
      <c r="J36" s="3" t="n">
        <f aca="false">IFERROR(INDEX(Prices_Current,MATCH(F36,Prices_ID,0)),"")</f>
        <v>492</v>
      </c>
      <c r="K36" s="2" t="s">
        <v>1061</v>
      </c>
      <c r="L36" s="3" t="n">
        <f aca="false">IF(OR(H36="",NOT(ISNUMBER(J36))),"",H36*J36)</f>
        <v>492</v>
      </c>
      <c r="M36" s="2" t="str">
        <f aca="false">IFERROR(INDEX(Prices_Flag,MATCH(F36,Prices_ID,0)),"")</f>
        <v>FLAGGED-human review</v>
      </c>
      <c r="N36" s="2" t="s">
        <v>1129</v>
      </c>
      <c r="O36" s="0" t="s">
        <v>1130</v>
      </c>
      <c r="P36" s="8" t="s">
        <v>1131</v>
      </c>
      <c r="Q36" s="0" t="s">
        <v>1100</v>
      </c>
    </row>
    <row r="37" customFormat="false" ht="17.15" hidden="false" customHeight="false" outlineLevel="0" collapsed="false">
      <c r="A37" s="2" t="s">
        <v>1132</v>
      </c>
      <c r="B37" s="2" t="s">
        <v>1126</v>
      </c>
      <c r="C37" s="2" t="s">
        <v>176</v>
      </c>
      <c r="D37" s="2" t="s">
        <v>1127</v>
      </c>
      <c r="E37" s="2" t="s">
        <v>1042</v>
      </c>
      <c r="F37" s="2" t="s">
        <v>198</v>
      </c>
      <c r="G37" s="2" t="str">
        <f aca="false">IFERROR(INDEX(Prices_Item,MATCH(F37,Prices_ID,0)),"ITEM NOT FOUND")</f>
        <v>Anclo slab anchors (fan support)</v>
      </c>
      <c r="H37" s="7" t="n">
        <v>1</v>
      </c>
      <c r="I37" s="2" t="s">
        <v>1128</v>
      </c>
      <c r="J37" s="3" t="n">
        <f aca="false">IFERROR(INDEX(Prices_Current,MATCH(F37,Prices_ID,0)),"")</f>
        <v>60</v>
      </c>
      <c r="K37" s="2" t="s">
        <v>1061</v>
      </c>
      <c r="L37" s="3" t="n">
        <f aca="false">IF(OR(H37="",NOT(ISNUMBER(J37))),"",H37*J37)</f>
        <v>60</v>
      </c>
      <c r="M37" s="2" t="str">
        <f aca="false">IFERROR(INDEX(Prices_Flag,MATCH(F37,Prices_ID,0)),"")</f>
        <v>FLAGGED-human review</v>
      </c>
      <c r="N37" s="2" t="s">
        <v>1133</v>
      </c>
      <c r="O37" s="0" t="s">
        <v>1130</v>
      </c>
      <c r="P37" s="8" t="s">
        <v>1131</v>
      </c>
      <c r="Q37" s="0" t="s">
        <v>1100</v>
      </c>
    </row>
    <row r="38" customFormat="false" ht="17.15" hidden="false" customHeight="false" outlineLevel="0" collapsed="false">
      <c r="A38" s="2" t="s">
        <v>1134</v>
      </c>
      <c r="B38" s="2" t="s">
        <v>1126</v>
      </c>
      <c r="C38" s="2" t="s">
        <v>176</v>
      </c>
      <c r="D38" s="2" t="s">
        <v>1127</v>
      </c>
      <c r="E38" s="2" t="s">
        <v>1042</v>
      </c>
      <c r="F38" s="2" t="s">
        <v>204</v>
      </c>
      <c r="G38" s="2" t="str">
        <f aca="false">IFERROR(INDEX(Prices_Item,MATCH(F38,Prices_ID,0)),"ITEM NOT FOUND")</f>
        <v>Hilti slab anchors (fan support)</v>
      </c>
      <c r="H38" s="7" t="n">
        <v>1</v>
      </c>
      <c r="I38" s="2" t="s">
        <v>1128</v>
      </c>
      <c r="J38" s="3" t="n">
        <f aca="false">IFERROR(INDEX(Prices_Current,MATCH(F38,Prices_ID,0)),"")</f>
        <v>430</v>
      </c>
      <c r="K38" s="2" t="s">
        <v>1061</v>
      </c>
      <c r="L38" s="3" t="n">
        <f aca="false">IF(OR(H38="",NOT(ISNUMBER(J38))),"",H38*J38)</f>
        <v>430</v>
      </c>
      <c r="M38" s="2" t="str">
        <f aca="false">IFERROR(INDEX(Prices_Flag,MATCH(F38,Prices_ID,0)),"")</f>
        <v>FLAGGED-human review</v>
      </c>
      <c r="N38" s="2" t="s">
        <v>1133</v>
      </c>
      <c r="O38" s="0" t="s">
        <v>1130</v>
      </c>
      <c r="P38" s="8" t="s">
        <v>1131</v>
      </c>
      <c r="Q38" s="0" t="s">
        <v>1100</v>
      </c>
    </row>
    <row r="39" customFormat="false" ht="15" hidden="false" customHeight="false" outlineLevel="0" collapsed="false">
      <c r="A39" s="2" t="s">
        <v>1135</v>
      </c>
      <c r="B39" s="2" t="s">
        <v>1136</v>
      </c>
      <c r="C39" s="2" t="s">
        <v>176</v>
      </c>
      <c r="D39" s="2" t="s">
        <v>1137</v>
      </c>
      <c r="E39" s="2" t="s">
        <v>1042</v>
      </c>
      <c r="F39" s="2" t="s">
        <v>224</v>
      </c>
      <c r="G39" s="2" t="str">
        <f aca="false">IFERROR(INDEX(Prices_Item,MATCH(F39,Prices_ID,0)),"ITEM NOT FOUND")</f>
        <v>GE 1-pole breaker</v>
      </c>
      <c r="H39" s="7" t="n">
        <v>1</v>
      </c>
      <c r="I39" s="2" t="s">
        <v>1138</v>
      </c>
      <c r="J39" s="3" t="n">
        <f aca="false">IFERROR(INDEX(Prices_Current,MATCH(F39,Prices_ID,0)),"")</f>
        <v>161</v>
      </c>
      <c r="K39" s="2" t="s">
        <v>1061</v>
      </c>
      <c r="L39" s="3" t="n">
        <f aca="false">IF(OR(H39="",NOT(ISNUMBER(J39))),"",H39*J39)</f>
        <v>161</v>
      </c>
      <c r="M39" s="2" t="str">
        <f aca="false">IFERROR(INDEX(Prices_Flag,MATCH(F39,Prices_ID,0)),"")</f>
        <v>FLAGGED-human review</v>
      </c>
      <c r="N39" s="2" t="s">
        <v>1139</v>
      </c>
      <c r="O39" s="0" t="s">
        <v>1140</v>
      </c>
      <c r="P39" s="8" t="s">
        <v>1141</v>
      </c>
      <c r="Q39" s="0" t="s">
        <v>1044</v>
      </c>
    </row>
    <row r="40" customFormat="false" ht="17.15" hidden="false" customHeight="false" outlineLevel="0" collapsed="false">
      <c r="A40" s="2" t="s">
        <v>1142</v>
      </c>
      <c r="B40" s="2" t="s">
        <v>1126</v>
      </c>
      <c r="C40" s="2" t="s">
        <v>176</v>
      </c>
      <c r="D40" s="2" t="s">
        <v>1127</v>
      </c>
      <c r="E40" s="2" t="s">
        <v>1049</v>
      </c>
      <c r="F40" s="2" t="s">
        <v>192</v>
      </c>
      <c r="G40" s="2" t="str">
        <f aca="false">IFERROR(INDEX(Prices_Item,MATCH(F40,Prices_ID,0)),"ITEM NOT FOUND")</f>
        <v>Southwire ceiling fan box (drywall/ceiling joist)</v>
      </c>
      <c r="H40" s="7" t="n">
        <v>1</v>
      </c>
      <c r="I40" s="2" t="s">
        <v>1128</v>
      </c>
      <c r="J40" s="3" t="n">
        <f aca="false">IFERROR(INDEX(Prices_Current,MATCH(F40,Prices_ID,0)),"")</f>
        <v>492</v>
      </c>
      <c r="K40" s="2" t="s">
        <v>1061</v>
      </c>
      <c r="L40" s="3" t="n">
        <f aca="false">IF(OR(H40="",NOT(ISNUMBER(J40))),"",H40*J40)</f>
        <v>492</v>
      </c>
      <c r="M40" s="2" t="str">
        <f aca="false">IFERROR(INDEX(Prices_Flag,MATCH(F40,Prices_ID,0)),"")</f>
        <v>FLAGGED-human review</v>
      </c>
      <c r="N40" s="2" t="s">
        <v>1129</v>
      </c>
      <c r="O40" s="0" t="s">
        <v>1130</v>
      </c>
      <c r="P40" s="8" t="s">
        <v>1131</v>
      </c>
      <c r="Q40" s="0" t="s">
        <v>1100</v>
      </c>
    </row>
    <row r="41" customFormat="false" ht="17.15" hidden="false" customHeight="false" outlineLevel="0" collapsed="false">
      <c r="A41" s="2" t="s">
        <v>1143</v>
      </c>
      <c r="B41" s="2" t="s">
        <v>1126</v>
      </c>
      <c r="C41" s="2" t="s">
        <v>176</v>
      </c>
      <c r="D41" s="2" t="s">
        <v>1127</v>
      </c>
      <c r="E41" s="2" t="s">
        <v>1049</v>
      </c>
      <c r="F41" s="2" t="s">
        <v>198</v>
      </c>
      <c r="G41" s="2" t="str">
        <f aca="false">IFERROR(INDEX(Prices_Item,MATCH(F41,Prices_ID,0)),"ITEM NOT FOUND")</f>
        <v>Anclo slab anchors (fan support)</v>
      </c>
      <c r="H41" s="7" t="n">
        <v>1</v>
      </c>
      <c r="I41" s="2" t="s">
        <v>1128</v>
      </c>
      <c r="J41" s="3" t="n">
        <f aca="false">IFERROR(INDEX(Prices_Current,MATCH(F41,Prices_ID,0)),"")</f>
        <v>60</v>
      </c>
      <c r="K41" s="2" t="s">
        <v>1061</v>
      </c>
      <c r="L41" s="3" t="n">
        <f aca="false">IF(OR(H41="",NOT(ISNUMBER(J41))),"",H41*J41)</f>
        <v>60</v>
      </c>
      <c r="M41" s="2" t="str">
        <f aca="false">IFERROR(INDEX(Prices_Flag,MATCH(F41,Prices_ID,0)),"")</f>
        <v>FLAGGED-human review</v>
      </c>
      <c r="N41" s="2" t="s">
        <v>1133</v>
      </c>
      <c r="O41" s="0" t="s">
        <v>1130</v>
      </c>
      <c r="P41" s="8" t="s">
        <v>1131</v>
      </c>
      <c r="Q41" s="0" t="s">
        <v>1100</v>
      </c>
    </row>
    <row r="42" customFormat="false" ht="17.15" hidden="false" customHeight="false" outlineLevel="0" collapsed="false">
      <c r="A42" s="2" t="s">
        <v>1144</v>
      </c>
      <c r="B42" s="2" t="s">
        <v>1126</v>
      </c>
      <c r="C42" s="2" t="s">
        <v>176</v>
      </c>
      <c r="D42" s="2" t="s">
        <v>1127</v>
      </c>
      <c r="E42" s="2" t="s">
        <v>1049</v>
      </c>
      <c r="F42" s="2" t="s">
        <v>204</v>
      </c>
      <c r="G42" s="2" t="str">
        <f aca="false">IFERROR(INDEX(Prices_Item,MATCH(F42,Prices_ID,0)),"ITEM NOT FOUND")</f>
        <v>Hilti slab anchors (fan support)</v>
      </c>
      <c r="H42" s="7" t="n">
        <v>1</v>
      </c>
      <c r="I42" s="2" t="s">
        <v>1128</v>
      </c>
      <c r="J42" s="3" t="n">
        <f aca="false">IFERROR(INDEX(Prices_Current,MATCH(F42,Prices_ID,0)),"")</f>
        <v>430</v>
      </c>
      <c r="K42" s="2" t="s">
        <v>1061</v>
      </c>
      <c r="L42" s="3" t="n">
        <f aca="false">IF(OR(H42="",NOT(ISNUMBER(J42))),"",H42*J42)</f>
        <v>430</v>
      </c>
      <c r="M42" s="2" t="str">
        <f aca="false">IFERROR(INDEX(Prices_Flag,MATCH(F42,Prices_ID,0)),"")</f>
        <v>FLAGGED-human review</v>
      </c>
      <c r="N42" s="2" t="s">
        <v>1133</v>
      </c>
      <c r="O42" s="0" t="s">
        <v>1130</v>
      </c>
      <c r="P42" s="8" t="s">
        <v>1131</v>
      </c>
      <c r="Q42" s="0" t="s">
        <v>1100</v>
      </c>
    </row>
    <row r="43" customFormat="false" ht="15" hidden="false" customHeight="false" outlineLevel="0" collapsed="false">
      <c r="A43" s="2" t="s">
        <v>1145</v>
      </c>
      <c r="B43" s="2" t="s">
        <v>1136</v>
      </c>
      <c r="C43" s="2" t="s">
        <v>176</v>
      </c>
      <c r="D43" s="2" t="s">
        <v>1137</v>
      </c>
      <c r="E43" s="2" t="s">
        <v>1049</v>
      </c>
      <c r="F43" s="2" t="s">
        <v>224</v>
      </c>
      <c r="G43" s="2" t="str">
        <f aca="false">IFERROR(INDEX(Prices_Item,MATCH(F43,Prices_ID,0)),"ITEM NOT FOUND")</f>
        <v>GE 1-pole breaker</v>
      </c>
      <c r="H43" s="7" t="n">
        <v>1</v>
      </c>
      <c r="I43" s="2" t="s">
        <v>1138</v>
      </c>
      <c r="J43" s="3" t="n">
        <f aca="false">IFERROR(INDEX(Prices_Current,MATCH(F43,Prices_ID,0)),"")</f>
        <v>161</v>
      </c>
      <c r="K43" s="2" t="s">
        <v>1061</v>
      </c>
      <c r="L43" s="3" t="n">
        <f aca="false">IF(OR(H43="",NOT(ISNUMBER(J43))),"",H43*J43)</f>
        <v>161</v>
      </c>
      <c r="M43" s="2" t="str">
        <f aca="false">IFERROR(INDEX(Prices_Flag,MATCH(F43,Prices_ID,0)),"")</f>
        <v>FLAGGED-human review</v>
      </c>
      <c r="N43" s="2" t="s">
        <v>1139</v>
      </c>
      <c r="O43" s="0" t="s">
        <v>1140</v>
      </c>
      <c r="P43" s="8" t="s">
        <v>1141</v>
      </c>
      <c r="Q43" s="0" t="s">
        <v>1044</v>
      </c>
    </row>
    <row r="44" customFormat="false" ht="17.15" hidden="false" customHeight="false" outlineLevel="0" collapsed="false">
      <c r="A44" s="2" t="s">
        <v>1146</v>
      </c>
      <c r="B44" s="2" t="s">
        <v>1126</v>
      </c>
      <c r="C44" s="2" t="s">
        <v>176</v>
      </c>
      <c r="D44" s="2" t="s">
        <v>1127</v>
      </c>
      <c r="E44" s="2" t="s">
        <v>1051</v>
      </c>
      <c r="F44" s="2" t="s">
        <v>192</v>
      </c>
      <c r="G44" s="2" t="str">
        <f aca="false">IFERROR(INDEX(Prices_Item,MATCH(F44,Prices_ID,0)),"ITEM NOT FOUND")</f>
        <v>Southwire ceiling fan box (drywall/ceiling joist)</v>
      </c>
      <c r="H44" s="7" t="n">
        <v>1</v>
      </c>
      <c r="I44" s="2" t="s">
        <v>1128</v>
      </c>
      <c r="J44" s="3" t="n">
        <f aca="false">IFERROR(INDEX(Prices_Current,MATCH(F44,Prices_ID,0)),"")</f>
        <v>492</v>
      </c>
      <c r="K44" s="2" t="s">
        <v>1061</v>
      </c>
      <c r="L44" s="3" t="n">
        <f aca="false">IF(OR(H44="",NOT(ISNUMBER(J44))),"",H44*J44)</f>
        <v>492</v>
      </c>
      <c r="M44" s="2" t="str">
        <f aca="false">IFERROR(INDEX(Prices_Flag,MATCH(F44,Prices_ID,0)),"")</f>
        <v>FLAGGED-human review</v>
      </c>
      <c r="N44" s="2" t="s">
        <v>1129</v>
      </c>
      <c r="O44" s="0" t="s">
        <v>1130</v>
      </c>
      <c r="P44" s="8" t="s">
        <v>1131</v>
      </c>
      <c r="Q44" s="0" t="s">
        <v>1100</v>
      </c>
    </row>
    <row r="45" customFormat="false" ht="17.15" hidden="false" customHeight="false" outlineLevel="0" collapsed="false">
      <c r="A45" s="2" t="s">
        <v>1147</v>
      </c>
      <c r="B45" s="2" t="s">
        <v>1126</v>
      </c>
      <c r="C45" s="2" t="s">
        <v>176</v>
      </c>
      <c r="D45" s="2" t="s">
        <v>1127</v>
      </c>
      <c r="E45" s="2" t="s">
        <v>1051</v>
      </c>
      <c r="F45" s="2" t="s">
        <v>198</v>
      </c>
      <c r="G45" s="2" t="str">
        <f aca="false">IFERROR(INDEX(Prices_Item,MATCH(F45,Prices_ID,0)),"ITEM NOT FOUND")</f>
        <v>Anclo slab anchors (fan support)</v>
      </c>
      <c r="H45" s="7" t="n">
        <v>1</v>
      </c>
      <c r="I45" s="2" t="s">
        <v>1128</v>
      </c>
      <c r="J45" s="3" t="n">
        <f aca="false">IFERROR(INDEX(Prices_Current,MATCH(F45,Prices_ID,0)),"")</f>
        <v>60</v>
      </c>
      <c r="K45" s="2" t="s">
        <v>1061</v>
      </c>
      <c r="L45" s="3" t="n">
        <f aca="false">IF(OR(H45="",NOT(ISNUMBER(J45))),"",H45*J45)</f>
        <v>60</v>
      </c>
      <c r="M45" s="2" t="str">
        <f aca="false">IFERROR(INDEX(Prices_Flag,MATCH(F45,Prices_ID,0)),"")</f>
        <v>FLAGGED-human review</v>
      </c>
      <c r="N45" s="2" t="s">
        <v>1133</v>
      </c>
      <c r="O45" s="0" t="s">
        <v>1130</v>
      </c>
      <c r="P45" s="8" t="s">
        <v>1131</v>
      </c>
      <c r="Q45" s="0" t="s">
        <v>1100</v>
      </c>
    </row>
    <row r="46" customFormat="false" ht="17.15" hidden="false" customHeight="false" outlineLevel="0" collapsed="false">
      <c r="A46" s="2" t="s">
        <v>1148</v>
      </c>
      <c r="B46" s="2" t="s">
        <v>1126</v>
      </c>
      <c r="C46" s="2" t="s">
        <v>176</v>
      </c>
      <c r="D46" s="2" t="s">
        <v>1127</v>
      </c>
      <c r="E46" s="2" t="s">
        <v>1051</v>
      </c>
      <c r="F46" s="2" t="s">
        <v>204</v>
      </c>
      <c r="G46" s="2" t="str">
        <f aca="false">IFERROR(INDEX(Prices_Item,MATCH(F46,Prices_ID,0)),"ITEM NOT FOUND")</f>
        <v>Hilti slab anchors (fan support)</v>
      </c>
      <c r="H46" s="7" t="n">
        <v>1</v>
      </c>
      <c r="I46" s="2" t="s">
        <v>1128</v>
      </c>
      <c r="J46" s="3" t="n">
        <f aca="false">IFERROR(INDEX(Prices_Current,MATCH(F46,Prices_ID,0)),"")</f>
        <v>430</v>
      </c>
      <c r="K46" s="2" t="s">
        <v>1061</v>
      </c>
      <c r="L46" s="3" t="n">
        <f aca="false">IF(OR(H46="",NOT(ISNUMBER(J46))),"",H46*J46)</f>
        <v>430</v>
      </c>
      <c r="M46" s="2" t="str">
        <f aca="false">IFERROR(INDEX(Prices_Flag,MATCH(F46,Prices_ID,0)),"")</f>
        <v>FLAGGED-human review</v>
      </c>
      <c r="N46" s="2" t="s">
        <v>1133</v>
      </c>
      <c r="O46" s="0" t="s">
        <v>1130</v>
      </c>
      <c r="P46" s="8" t="s">
        <v>1131</v>
      </c>
      <c r="Q46" s="0" t="s">
        <v>1100</v>
      </c>
    </row>
    <row r="47" customFormat="false" ht="15" hidden="false" customHeight="false" outlineLevel="0" collapsed="false">
      <c r="A47" s="2" t="s">
        <v>1149</v>
      </c>
      <c r="B47" s="2" t="s">
        <v>1136</v>
      </c>
      <c r="C47" s="2" t="s">
        <v>176</v>
      </c>
      <c r="D47" s="2" t="s">
        <v>1137</v>
      </c>
      <c r="E47" s="2" t="s">
        <v>1051</v>
      </c>
      <c r="F47" s="2" t="s">
        <v>224</v>
      </c>
      <c r="G47" s="2" t="str">
        <f aca="false">IFERROR(INDEX(Prices_Item,MATCH(F47,Prices_ID,0)),"ITEM NOT FOUND")</f>
        <v>GE 1-pole breaker</v>
      </c>
      <c r="H47" s="7" t="n">
        <v>1</v>
      </c>
      <c r="I47" s="2" t="s">
        <v>1138</v>
      </c>
      <c r="J47" s="3" t="n">
        <f aca="false">IFERROR(INDEX(Prices_Current,MATCH(F47,Prices_ID,0)),"")</f>
        <v>161</v>
      </c>
      <c r="K47" s="2" t="s">
        <v>1061</v>
      </c>
      <c r="L47" s="3" t="n">
        <f aca="false">IF(OR(H47="",NOT(ISNUMBER(J47))),"",H47*J47)</f>
        <v>161</v>
      </c>
      <c r="M47" s="2" t="str">
        <f aca="false">IFERROR(INDEX(Prices_Flag,MATCH(F47,Prices_ID,0)),"")</f>
        <v>FLAGGED-human review</v>
      </c>
      <c r="N47" s="2" t="s">
        <v>1139</v>
      </c>
      <c r="O47" s="0" t="s">
        <v>1140</v>
      </c>
      <c r="P47" s="8" t="s">
        <v>1141</v>
      </c>
      <c r="Q47" s="0" t="s">
        <v>1044</v>
      </c>
    </row>
    <row r="48" customFormat="false" ht="17.15" hidden="false" customHeight="false" outlineLevel="0" collapsed="false">
      <c r="A48" s="2" t="s">
        <v>1150</v>
      </c>
      <c r="B48" s="2" t="s">
        <v>1151</v>
      </c>
      <c r="C48" s="2" t="s">
        <v>176</v>
      </c>
      <c r="D48" s="2" t="s">
        <v>1152</v>
      </c>
      <c r="E48" s="2" t="s">
        <v>1055</v>
      </c>
      <c r="F48" s="2" t="s">
        <v>215</v>
      </c>
      <c r="G48" s="2" t="str">
        <f aca="false">IFERROR(INDEX(Prices_Item,MATCH(F48,Prices_ID,0)),"ITEM NOT FOUND")</f>
        <v>GE THQL2130 breaker, 2-pole 30 A (default brand GE THQL)</v>
      </c>
      <c r="H48" s="7" t="n">
        <v>1</v>
      </c>
      <c r="I48" s="2" t="s">
        <v>1153</v>
      </c>
      <c r="J48" s="3" t="n">
        <f aca="false">IFERROR(INDEX(Prices_Current,MATCH(F48,Prices_ID,0)),"")</f>
        <v>473</v>
      </c>
      <c r="K48" s="2" t="s">
        <v>1061</v>
      </c>
      <c r="L48" s="3" t="n">
        <f aca="false">IF(OR(H48="",NOT(ISNUMBER(J48))),"",H48*J48)</f>
        <v>473</v>
      </c>
      <c r="M48" s="2" t="str">
        <f aca="false">IFERROR(INDEX(Prices_Flag,MATCH(F48,Prices_ID,0)),"")</f>
        <v>FLAGGED-human review</v>
      </c>
      <c r="N48" s="2" t="s">
        <v>1154</v>
      </c>
      <c r="O48" s="0" t="s">
        <v>1155</v>
      </c>
      <c r="P48" s="8" t="s">
        <v>1156</v>
      </c>
      <c r="Q48" s="0" t="s">
        <v>1100</v>
      </c>
    </row>
    <row r="49" customFormat="false" ht="17.15" hidden="false" customHeight="false" outlineLevel="0" collapsed="false">
      <c r="A49" s="2" t="s">
        <v>1157</v>
      </c>
      <c r="B49" s="2" t="s">
        <v>1151</v>
      </c>
      <c r="C49" s="2" t="s">
        <v>176</v>
      </c>
      <c r="D49" s="2" t="s">
        <v>1152</v>
      </c>
      <c r="E49" s="2" t="s">
        <v>1070</v>
      </c>
      <c r="F49" s="2" t="s">
        <v>215</v>
      </c>
      <c r="G49" s="2" t="str">
        <f aca="false">IFERROR(INDEX(Prices_Item,MATCH(F49,Prices_ID,0)),"ITEM NOT FOUND")</f>
        <v>GE THQL2130 breaker, 2-pole 30 A (default brand GE THQL)</v>
      </c>
      <c r="H49" s="7" t="n">
        <v>1</v>
      </c>
      <c r="I49" s="2" t="s">
        <v>1153</v>
      </c>
      <c r="J49" s="3" t="n">
        <f aca="false">IFERROR(INDEX(Prices_Current,MATCH(F49,Prices_ID,0)),"")</f>
        <v>473</v>
      </c>
      <c r="K49" s="2" t="s">
        <v>1061</v>
      </c>
      <c r="L49" s="3" t="n">
        <f aca="false">IF(OR(H49="",NOT(ISNUMBER(J49))),"",H49*J49)</f>
        <v>473</v>
      </c>
      <c r="M49" s="2" t="str">
        <f aca="false">IFERROR(INDEX(Prices_Flag,MATCH(F49,Prices_ID,0)),"")</f>
        <v>FLAGGED-human review</v>
      </c>
      <c r="N49" s="2" t="s">
        <v>1154</v>
      </c>
      <c r="O49" s="0" t="s">
        <v>1155</v>
      </c>
      <c r="P49" s="8" t="s">
        <v>1156</v>
      </c>
      <c r="Q49" s="0" t="s">
        <v>1100</v>
      </c>
    </row>
    <row r="50" customFormat="false" ht="17.15" hidden="false" customHeight="false" outlineLevel="0" collapsed="false">
      <c r="A50" s="2" t="s">
        <v>1158</v>
      </c>
      <c r="B50" s="2" t="s">
        <v>1151</v>
      </c>
      <c r="C50" s="2" t="s">
        <v>176</v>
      </c>
      <c r="D50" s="2" t="s">
        <v>1152</v>
      </c>
      <c r="E50" s="2" t="s">
        <v>1074</v>
      </c>
      <c r="F50" s="2" t="s">
        <v>215</v>
      </c>
      <c r="G50" s="2" t="str">
        <f aca="false">IFERROR(INDEX(Prices_Item,MATCH(F50,Prices_ID,0)),"ITEM NOT FOUND")</f>
        <v>GE THQL2130 breaker, 2-pole 30 A (default brand GE THQL)</v>
      </c>
      <c r="H50" s="7" t="n">
        <v>1</v>
      </c>
      <c r="I50" s="2" t="s">
        <v>1153</v>
      </c>
      <c r="J50" s="3" t="n">
        <f aca="false">IFERROR(INDEX(Prices_Current,MATCH(F50,Prices_ID,0)),"")</f>
        <v>473</v>
      </c>
      <c r="K50" s="2" t="s">
        <v>1061</v>
      </c>
      <c r="L50" s="3" t="n">
        <f aca="false">IF(OR(H50="",NOT(ISNUMBER(J50))),"",H50*J50)</f>
        <v>473</v>
      </c>
      <c r="M50" s="2" t="str">
        <f aca="false">IFERROR(INDEX(Prices_Flag,MATCH(F50,Prices_ID,0)),"")</f>
        <v>FLAGGED-human review</v>
      </c>
      <c r="N50" s="2" t="s">
        <v>1154</v>
      </c>
      <c r="O50" s="0" t="s">
        <v>1155</v>
      </c>
      <c r="P50" s="8" t="s">
        <v>1156</v>
      </c>
      <c r="Q50" s="0" t="s">
        <v>1100</v>
      </c>
    </row>
    <row r="51" customFormat="false" ht="17.15" hidden="false" customHeight="false" outlineLevel="0" collapsed="false">
      <c r="A51" s="2" t="s">
        <v>1159</v>
      </c>
      <c r="B51" s="2" t="s">
        <v>1151</v>
      </c>
      <c r="C51" s="2" t="s">
        <v>176</v>
      </c>
      <c r="D51" s="2" t="s">
        <v>1152</v>
      </c>
      <c r="E51" s="2" t="s">
        <v>1078</v>
      </c>
      <c r="F51" s="2" t="s">
        <v>215</v>
      </c>
      <c r="G51" s="2" t="str">
        <f aca="false">IFERROR(INDEX(Prices_Item,MATCH(F51,Prices_ID,0)),"ITEM NOT FOUND")</f>
        <v>GE THQL2130 breaker, 2-pole 30 A (default brand GE THQL)</v>
      </c>
      <c r="H51" s="7" t="n">
        <v>1</v>
      </c>
      <c r="I51" s="2" t="s">
        <v>1153</v>
      </c>
      <c r="J51" s="3" t="n">
        <f aca="false">IFERROR(INDEX(Prices_Current,MATCH(F51,Prices_ID,0)),"")</f>
        <v>473</v>
      </c>
      <c r="K51" s="2" t="s">
        <v>1061</v>
      </c>
      <c r="L51" s="3" t="n">
        <f aca="false">IF(OR(H51="",NOT(ISNUMBER(J51))),"",H51*J51)</f>
        <v>473</v>
      </c>
      <c r="M51" s="2" t="str">
        <f aca="false">IFERROR(INDEX(Prices_Flag,MATCH(F51,Prices_ID,0)),"")</f>
        <v>FLAGGED-human review</v>
      </c>
      <c r="N51" s="2" t="s">
        <v>1154</v>
      </c>
      <c r="O51" s="0" t="s">
        <v>1155</v>
      </c>
      <c r="P51" s="8" t="s">
        <v>1156</v>
      </c>
      <c r="Q51" s="0" t="s">
        <v>1100</v>
      </c>
    </row>
    <row r="52" customFormat="false" ht="17.15" hidden="false" customHeight="false" outlineLevel="0" collapsed="false">
      <c r="A52" s="2" t="s">
        <v>1160</v>
      </c>
      <c r="B52" s="2" t="s">
        <v>1161</v>
      </c>
      <c r="C52" s="2" t="s">
        <v>229</v>
      </c>
      <c r="D52" s="2" t="s">
        <v>1162</v>
      </c>
      <c r="E52" s="2" t="s">
        <v>1042</v>
      </c>
      <c r="F52" s="2" t="s">
        <v>228</v>
      </c>
      <c r="G52" s="2" t="str">
        <f aca="false">IFERROR(INDEX(Prices_Item,MATCH(F52,Prices_ID,0)),"ITEM NOT FOUND")</f>
        <v>Cockroach/scorpion treatment materials, budget</v>
      </c>
      <c r="H52" s="7" t="n">
        <v>1</v>
      </c>
      <c r="I52" s="2" t="s">
        <v>1163</v>
      </c>
      <c r="J52" s="3" t="n">
        <f aca="false">IFERROR(INDEX(Prices_Current,MATCH(F52,Prices_ID,0)),"")</f>
        <v>366</v>
      </c>
      <c r="K52" s="2" t="s">
        <v>1164</v>
      </c>
      <c r="L52" s="3" t="n">
        <f aca="false">IF(OR(H52="",NOT(ISNUMBER(J52))),"",H52*J52)</f>
        <v>366</v>
      </c>
      <c r="M52" s="2" t="str">
        <f aca="false">IFERROR(INDEX(Prices_Flag,MATCH(F52,Prices_ID,0)),"")</f>
        <v>REFERENCE ONLY-COFEPRIS</v>
      </c>
      <c r="N52" s="2" t="s">
        <v>1165</v>
      </c>
      <c r="O52" s="0" t="s">
        <v>1166</v>
      </c>
      <c r="P52" s="8" t="s">
        <v>1167</v>
      </c>
      <c r="Q52" s="0" t="s">
        <v>27</v>
      </c>
    </row>
    <row r="53" customFormat="false" ht="17.15" hidden="false" customHeight="false" outlineLevel="0" collapsed="false">
      <c r="A53" s="2" t="s">
        <v>1168</v>
      </c>
      <c r="B53" s="2" t="s">
        <v>1161</v>
      </c>
      <c r="C53" s="2" t="s">
        <v>229</v>
      </c>
      <c r="D53" s="2" t="s">
        <v>1162</v>
      </c>
      <c r="E53" s="2" t="s">
        <v>1049</v>
      </c>
      <c r="F53" s="2" t="s">
        <v>235</v>
      </c>
      <c r="G53" s="2" t="str">
        <f aca="false">IFERROR(INDEX(Prices_Item,MATCH(F53,Prices_ID,0)),"ITEM NOT FOUND")</f>
        <v>Cockroach/scorpion treatment materials, standard</v>
      </c>
      <c r="H53" s="7" t="n">
        <v>1</v>
      </c>
      <c r="I53" s="2" t="s">
        <v>1163</v>
      </c>
      <c r="J53" s="3" t="n">
        <f aca="false">IFERROR(INDEX(Prices_Current,MATCH(F53,Prices_ID,0)),"")</f>
        <v>417</v>
      </c>
      <c r="K53" s="2" t="s">
        <v>1164</v>
      </c>
      <c r="L53" s="3" t="n">
        <f aca="false">IF(OR(H53="",NOT(ISNUMBER(J53))),"",H53*J53)</f>
        <v>417</v>
      </c>
      <c r="M53" s="2" t="str">
        <f aca="false">IFERROR(INDEX(Prices_Flag,MATCH(F53,Prices_ID,0)),"")</f>
        <v>REFERENCE ONLY-COFEPRIS</v>
      </c>
      <c r="N53" s="2" t="s">
        <v>1165</v>
      </c>
      <c r="O53" s="0" t="s">
        <v>1166</v>
      </c>
      <c r="P53" s="8" t="s">
        <v>1167</v>
      </c>
      <c r="Q53" s="0" t="s">
        <v>27</v>
      </c>
    </row>
    <row r="54" customFormat="false" ht="17.15" hidden="false" customHeight="false" outlineLevel="0" collapsed="false">
      <c r="A54" s="2" t="s">
        <v>1169</v>
      </c>
      <c r="B54" s="2" t="s">
        <v>1161</v>
      </c>
      <c r="C54" s="2" t="s">
        <v>229</v>
      </c>
      <c r="D54" s="2" t="s">
        <v>1162</v>
      </c>
      <c r="E54" s="2" t="s">
        <v>1051</v>
      </c>
      <c r="F54" s="2" t="s">
        <v>237</v>
      </c>
      <c r="G54" s="2" t="str">
        <f aca="false">IFERROR(INDEX(Prices_Item,MATCH(F54,Prices_ID,0)),"ITEM NOT FOUND")</f>
        <v>Cockroach/scorpion treatment materials, premium</v>
      </c>
      <c r="H54" s="7" t="n">
        <v>1</v>
      </c>
      <c r="I54" s="2" t="s">
        <v>1163</v>
      </c>
      <c r="J54" s="3" t="n">
        <f aca="false">IFERROR(INDEX(Prices_Current,MATCH(F54,Prices_ID,0)),"")</f>
        <v>484</v>
      </c>
      <c r="K54" s="2" t="s">
        <v>1164</v>
      </c>
      <c r="L54" s="3" t="n">
        <f aca="false">IF(OR(H54="",NOT(ISNUMBER(J54))),"",H54*J54)</f>
        <v>484</v>
      </c>
      <c r="M54" s="2" t="str">
        <f aca="false">IFERROR(INDEX(Prices_Flag,MATCH(F54,Prices_ID,0)),"")</f>
        <v>REFERENCE ONLY-COFEPRIS</v>
      </c>
      <c r="N54" s="2" t="s">
        <v>1165</v>
      </c>
      <c r="O54" s="0" t="s">
        <v>1166</v>
      </c>
      <c r="P54" s="8" t="s">
        <v>1167</v>
      </c>
      <c r="Q54" s="0" t="s">
        <v>27</v>
      </c>
    </row>
    <row r="55" customFormat="false" ht="17.15" hidden="false" customHeight="false" outlineLevel="0" collapsed="false">
      <c r="A55" s="2" t="s">
        <v>1170</v>
      </c>
      <c r="B55" s="2" t="s">
        <v>1171</v>
      </c>
      <c r="C55" s="2" t="s">
        <v>229</v>
      </c>
      <c r="D55" s="2" t="s">
        <v>1172</v>
      </c>
      <c r="E55" s="2" t="s">
        <v>1042</v>
      </c>
      <c r="F55" s="2" t="s">
        <v>239</v>
      </c>
      <c r="G55" s="2" t="str">
        <f aca="false">IFERROR(INDEX(Prices_Item,MATCH(F55,Prices_ID,0)),"ITEM NOT FOUND")</f>
        <v>Termite treatment materials, budget</v>
      </c>
      <c r="H55" s="7" t="n">
        <v>1</v>
      </c>
      <c r="I55" s="2" t="s">
        <v>1163</v>
      </c>
      <c r="J55" s="3" t="n">
        <f aca="false">IFERROR(INDEX(Prices_Current,MATCH(F55,Prices_ID,0)),"")</f>
        <v>205</v>
      </c>
      <c r="K55" s="2" t="s">
        <v>1164</v>
      </c>
      <c r="L55" s="3" t="n">
        <f aca="false">IF(OR(H55="",NOT(ISNUMBER(J55))),"",H55*J55)</f>
        <v>205</v>
      </c>
      <c r="M55" s="2" t="str">
        <f aca="false">IFERROR(INDEX(Prices_Flag,MATCH(F55,Prices_ID,0)),"")</f>
        <v>REFERENCE ONLY-COFEPRIS</v>
      </c>
      <c r="N55" s="2" t="s">
        <v>1165</v>
      </c>
      <c r="O55" s="0" t="s">
        <v>1173</v>
      </c>
      <c r="P55" s="8" t="s">
        <v>1174</v>
      </c>
      <c r="Q55" s="0" t="s">
        <v>27</v>
      </c>
    </row>
    <row r="56" customFormat="false" ht="17.15" hidden="false" customHeight="false" outlineLevel="0" collapsed="false">
      <c r="A56" s="2" t="s">
        <v>1175</v>
      </c>
      <c r="B56" s="2" t="s">
        <v>1171</v>
      </c>
      <c r="C56" s="2" t="s">
        <v>229</v>
      </c>
      <c r="D56" s="2" t="s">
        <v>1172</v>
      </c>
      <c r="E56" s="2" t="s">
        <v>1049</v>
      </c>
      <c r="F56" s="2" t="s">
        <v>243</v>
      </c>
      <c r="G56" s="2" t="str">
        <f aca="false">IFERROR(INDEX(Prices_Item,MATCH(F56,Prices_ID,0)),"ITEM NOT FOUND")</f>
        <v>Termite treatment materials, standard</v>
      </c>
      <c r="H56" s="7" t="n">
        <v>1</v>
      </c>
      <c r="I56" s="2" t="s">
        <v>1163</v>
      </c>
      <c r="J56" s="3" t="n">
        <f aca="false">IFERROR(INDEX(Prices_Current,MATCH(F56,Prices_ID,0)),"")</f>
        <v>272</v>
      </c>
      <c r="K56" s="2" t="s">
        <v>1164</v>
      </c>
      <c r="L56" s="3" t="n">
        <f aca="false">IF(OR(H56="",NOT(ISNUMBER(J56))),"",H56*J56)</f>
        <v>272</v>
      </c>
      <c r="M56" s="2" t="str">
        <f aca="false">IFERROR(INDEX(Prices_Flag,MATCH(F56,Prices_ID,0)),"")</f>
        <v>REFERENCE ONLY-COFEPRIS</v>
      </c>
      <c r="N56" s="2" t="s">
        <v>1165</v>
      </c>
      <c r="O56" s="0" t="s">
        <v>1173</v>
      </c>
      <c r="P56" s="8" t="s">
        <v>1174</v>
      </c>
      <c r="Q56" s="0" t="s">
        <v>27</v>
      </c>
    </row>
    <row r="57" customFormat="false" ht="17.15" hidden="false" customHeight="false" outlineLevel="0" collapsed="false">
      <c r="A57" s="2" t="s">
        <v>1176</v>
      </c>
      <c r="B57" s="2" t="s">
        <v>1171</v>
      </c>
      <c r="C57" s="2" t="s">
        <v>229</v>
      </c>
      <c r="D57" s="2" t="s">
        <v>1172</v>
      </c>
      <c r="E57" s="2" t="s">
        <v>1051</v>
      </c>
      <c r="F57" s="2" t="s">
        <v>245</v>
      </c>
      <c r="G57" s="2" t="str">
        <f aca="false">IFERROR(INDEX(Prices_Item,MATCH(F57,Prices_ID,0)),"ITEM NOT FOUND")</f>
        <v>Termite treatment materials, premium</v>
      </c>
      <c r="H57" s="7" t="n">
        <v>1</v>
      </c>
      <c r="I57" s="2" t="s">
        <v>1163</v>
      </c>
      <c r="J57" s="3" t="n">
        <f aca="false">IFERROR(INDEX(Prices_Current,MATCH(F57,Prices_ID,0)),"")</f>
        <v>327</v>
      </c>
      <c r="K57" s="2" t="s">
        <v>1164</v>
      </c>
      <c r="L57" s="3" t="n">
        <f aca="false">IF(OR(H57="",NOT(ISNUMBER(J57))),"",H57*J57)</f>
        <v>327</v>
      </c>
      <c r="M57" s="2" t="str">
        <f aca="false">IFERROR(INDEX(Prices_Flag,MATCH(F57,Prices_ID,0)),"")</f>
        <v>REFERENCE ONLY-COFEPRIS</v>
      </c>
      <c r="N57" s="2" t="s">
        <v>1165</v>
      </c>
      <c r="O57" s="0" t="s">
        <v>1173</v>
      </c>
      <c r="P57" s="8" t="s">
        <v>1174</v>
      </c>
      <c r="Q57" s="0" t="s">
        <v>27</v>
      </c>
    </row>
    <row r="58" customFormat="false" ht="15" hidden="false" customHeight="false" outlineLevel="0" collapsed="false">
      <c r="A58" s="2" t="s">
        <v>1177</v>
      </c>
      <c r="B58" s="2" t="s">
        <v>1178</v>
      </c>
      <c r="C58" s="2" t="s">
        <v>229</v>
      </c>
      <c r="D58" s="2" t="s">
        <v>1179</v>
      </c>
      <c r="E58" s="2" t="s">
        <v>1042</v>
      </c>
      <c r="F58" s="2" t="s">
        <v>247</v>
      </c>
      <c r="G58" s="2" t="str">
        <f aca="false">IFERROR(INDEX(Prices_Item,MATCH(F58,Prices_ID,0)),"ITEM NOT FOUND")</f>
        <v>Rodent control materials, budget</v>
      </c>
      <c r="H58" s="7" t="n">
        <v>1</v>
      </c>
      <c r="I58" s="2" t="s">
        <v>1163</v>
      </c>
      <c r="J58" s="3" t="n">
        <f aca="false">IFERROR(INDEX(Prices_Current,MATCH(F58,Prices_ID,0)),"")</f>
        <v>598</v>
      </c>
      <c r="K58" s="2" t="s">
        <v>1164</v>
      </c>
      <c r="L58" s="3" t="n">
        <f aca="false">IF(OR(H58="",NOT(ISNUMBER(J58))),"",H58*J58)</f>
        <v>598</v>
      </c>
      <c r="M58" s="2" t="str">
        <f aca="false">IFERROR(INDEX(Prices_Flag,MATCH(F58,Prices_ID,0)),"")</f>
        <v>REFERENCE ONLY-COFEPRIS</v>
      </c>
      <c r="N58" s="2" t="s">
        <v>1165</v>
      </c>
      <c r="O58" s="0" t="s">
        <v>1180</v>
      </c>
      <c r="P58" s="8" t="s">
        <v>1181</v>
      </c>
      <c r="Q58" s="0" t="s">
        <v>27</v>
      </c>
    </row>
    <row r="59" customFormat="false" ht="15" hidden="false" customHeight="false" outlineLevel="0" collapsed="false">
      <c r="A59" s="2" t="s">
        <v>1182</v>
      </c>
      <c r="B59" s="2" t="s">
        <v>1178</v>
      </c>
      <c r="C59" s="2" t="s">
        <v>229</v>
      </c>
      <c r="D59" s="2" t="s">
        <v>1179</v>
      </c>
      <c r="E59" s="2" t="s">
        <v>1049</v>
      </c>
      <c r="F59" s="2" t="s">
        <v>251</v>
      </c>
      <c r="G59" s="2" t="str">
        <f aca="false">IFERROR(INDEX(Prices_Item,MATCH(F59,Prices_ID,0)),"ITEM NOT FOUND")</f>
        <v>Rodent control materials, standard</v>
      </c>
      <c r="H59" s="7" t="n">
        <v>1</v>
      </c>
      <c r="I59" s="2" t="s">
        <v>1163</v>
      </c>
      <c r="J59" s="3" t="n">
        <f aca="false">IFERROR(INDEX(Prices_Current,MATCH(F59,Prices_ID,0)),"")</f>
        <v>664</v>
      </c>
      <c r="K59" s="2" t="s">
        <v>1164</v>
      </c>
      <c r="L59" s="3" t="n">
        <f aca="false">IF(OR(H59="",NOT(ISNUMBER(J59))),"",H59*J59)</f>
        <v>664</v>
      </c>
      <c r="M59" s="2" t="str">
        <f aca="false">IFERROR(INDEX(Prices_Flag,MATCH(F59,Prices_ID,0)),"")</f>
        <v>REFERENCE ONLY-COFEPRIS</v>
      </c>
      <c r="N59" s="2" t="s">
        <v>1165</v>
      </c>
      <c r="O59" s="0" t="s">
        <v>1180</v>
      </c>
      <c r="P59" s="8" t="s">
        <v>1181</v>
      </c>
      <c r="Q59" s="0" t="s">
        <v>27</v>
      </c>
    </row>
    <row r="60" customFormat="false" ht="15" hidden="false" customHeight="false" outlineLevel="0" collapsed="false">
      <c r="A60" s="2" t="s">
        <v>1183</v>
      </c>
      <c r="B60" s="2" t="s">
        <v>1178</v>
      </c>
      <c r="C60" s="2" t="s">
        <v>229</v>
      </c>
      <c r="D60" s="2" t="s">
        <v>1179</v>
      </c>
      <c r="E60" s="2" t="s">
        <v>1051</v>
      </c>
      <c r="F60" s="2" t="s">
        <v>253</v>
      </c>
      <c r="G60" s="2" t="str">
        <f aca="false">IFERROR(INDEX(Prices_Item,MATCH(F60,Prices_ID,0)),"ITEM NOT FOUND")</f>
        <v>Rodent control materials, premium</v>
      </c>
      <c r="H60" s="7" t="n">
        <v>1</v>
      </c>
      <c r="I60" s="2" t="s">
        <v>1163</v>
      </c>
      <c r="J60" s="3" t="n">
        <f aca="false">IFERROR(INDEX(Prices_Current,MATCH(F60,Prices_ID,0)),"")</f>
        <v>1016</v>
      </c>
      <c r="K60" s="2" t="s">
        <v>1164</v>
      </c>
      <c r="L60" s="3" t="n">
        <f aca="false">IF(OR(H60="",NOT(ISNUMBER(J60))),"",H60*J60)</f>
        <v>1016</v>
      </c>
      <c r="M60" s="2" t="str">
        <f aca="false">IFERROR(INDEX(Prices_Flag,MATCH(F60,Prices_ID,0)),"")</f>
        <v>REFERENCE ONLY-COFEPRIS</v>
      </c>
      <c r="N60" s="2" t="s">
        <v>1165</v>
      </c>
      <c r="O60" s="0" t="s">
        <v>1180</v>
      </c>
      <c r="P60" s="8" t="s">
        <v>1181</v>
      </c>
      <c r="Q60" s="0" t="s">
        <v>27</v>
      </c>
    </row>
    <row r="61" customFormat="false" ht="17.15" hidden="false" customHeight="false" outlineLevel="0" collapsed="false">
      <c r="A61" s="2" t="s">
        <v>1184</v>
      </c>
      <c r="B61" s="2" t="s">
        <v>1185</v>
      </c>
      <c r="C61" s="2" t="s">
        <v>273</v>
      </c>
      <c r="D61" s="2" t="s">
        <v>1186</v>
      </c>
      <c r="E61" s="2" t="s">
        <v>1042</v>
      </c>
      <c r="F61" s="2" t="s">
        <v>272</v>
      </c>
      <c r="G61" s="2" t="str">
        <f aca="false">IFERROR(INDEX(Prices_Item,MATCH(F61,Prices_ID,0)),"ITEM NOT FOUND")</f>
        <v>Lawn fertilizer Nutripasto 10 kg</v>
      </c>
      <c r="H61" s="7" t="n">
        <v>0.25</v>
      </c>
      <c r="I61" s="2" t="s">
        <v>1187</v>
      </c>
      <c r="J61" s="3" t="n">
        <f aca="false">IFERROR(INDEX(Prices_Current,MATCH(F61,Prices_ID,0)),"")</f>
        <v>615</v>
      </c>
      <c r="K61" s="2" t="s">
        <v>1100</v>
      </c>
      <c r="L61" s="3" t="n">
        <f aca="false">IF(OR(H61="",NOT(ISNUMBER(J61))),"",H61*J61)</f>
        <v>153.75</v>
      </c>
      <c r="M61" s="2" t="str">
        <f aca="false">IFERROR(INDEX(Prices_Flag,MATCH(F61,Prices_ID,0)),"")</f>
        <v>none</v>
      </c>
      <c r="N61" s="2"/>
      <c r="O61" s="0" t="s">
        <v>1188</v>
      </c>
      <c r="P61" s="8" t="s">
        <v>1189</v>
      </c>
      <c r="Q61" s="0" t="s">
        <v>27</v>
      </c>
    </row>
    <row r="62" customFormat="false" ht="17.15" hidden="false" customHeight="false" outlineLevel="0" collapsed="false">
      <c r="A62" s="2" t="s">
        <v>1190</v>
      </c>
      <c r="B62" s="2" t="s">
        <v>1185</v>
      </c>
      <c r="C62" s="2" t="s">
        <v>273</v>
      </c>
      <c r="D62" s="2" t="s">
        <v>1186</v>
      </c>
      <c r="E62" s="2" t="s">
        <v>1042</v>
      </c>
      <c r="F62" s="2" t="s">
        <v>295</v>
      </c>
      <c r="G62" s="2" t="str">
        <f aca="false">IFERROR(INDEX(Prices_Item,MATCH(F62,Prices_ID,0)),"ITEM NOT FOUND")</f>
        <v>Black topsoil 25 kg</v>
      </c>
      <c r="H62" s="7" t="n">
        <v>3</v>
      </c>
      <c r="I62" s="2" t="s">
        <v>1191</v>
      </c>
      <c r="J62" s="3" t="n">
        <f aca="false">IFERROR(INDEX(Prices_Current,MATCH(F62,Prices_ID,0)),"")</f>
        <v>205</v>
      </c>
      <c r="K62" s="2" t="s">
        <v>1100</v>
      </c>
      <c r="L62" s="3" t="n">
        <f aca="false">IF(OR(H62="",NOT(ISNUMBER(J62))),"",H62*J62)</f>
        <v>615</v>
      </c>
      <c r="M62" s="2" t="str">
        <f aca="false">IFERROR(INDEX(Prices_Flag,MATCH(F62,Prices_ID,0)),"")</f>
        <v>none</v>
      </c>
      <c r="N62" s="2"/>
      <c r="O62" s="0" t="s">
        <v>1188</v>
      </c>
      <c r="P62" s="8" t="s">
        <v>1189</v>
      </c>
      <c r="Q62" s="0" t="s">
        <v>27</v>
      </c>
    </row>
    <row r="63" customFormat="false" ht="17.15" hidden="false" customHeight="false" outlineLevel="0" collapsed="false">
      <c r="A63" s="2" t="s">
        <v>1192</v>
      </c>
      <c r="B63" s="2" t="s">
        <v>1185</v>
      </c>
      <c r="C63" s="2" t="s">
        <v>273</v>
      </c>
      <c r="D63" s="2" t="s">
        <v>1186</v>
      </c>
      <c r="E63" s="2" t="s">
        <v>1042</v>
      </c>
      <c r="F63" s="2" t="s">
        <v>311</v>
      </c>
      <c r="G63" s="2" t="str">
        <f aca="false">IFERROR(INDEX(Prices_Item,MATCH(F63,Prices_ID,0)),"ITEM NOT FOUND")</f>
        <v>Truper trimmer line 2.4 mm, 78 m</v>
      </c>
      <c r="H63" s="7" t="n">
        <v>0.128205</v>
      </c>
      <c r="I63" s="2" t="s">
        <v>1193</v>
      </c>
      <c r="J63" s="3" t="n">
        <f aca="false">IFERROR(INDEX(Prices_Current,MATCH(F63,Prices_ID,0)),"")</f>
        <v>165</v>
      </c>
      <c r="K63" s="2" t="s">
        <v>1100</v>
      </c>
      <c r="L63" s="3" t="n">
        <f aca="false">IF(OR(H63="",NOT(ISNUMBER(J63))),"",H63*J63)</f>
        <v>21.153825</v>
      </c>
      <c r="M63" s="2" t="str">
        <f aca="false">IFERROR(INDEX(Prices_Flag,MATCH(F63,Prices_ID,0)),"")</f>
        <v>none</v>
      </c>
      <c r="N63" s="2"/>
      <c r="O63" s="0" t="s">
        <v>1188</v>
      </c>
      <c r="P63" s="8" t="s">
        <v>1189</v>
      </c>
      <c r="Q63" s="0" t="s">
        <v>27</v>
      </c>
    </row>
    <row r="64" customFormat="false" ht="17.15" hidden="false" customHeight="false" outlineLevel="0" collapsed="false">
      <c r="A64" s="2" t="s">
        <v>1194</v>
      </c>
      <c r="B64" s="2" t="s">
        <v>1185</v>
      </c>
      <c r="C64" s="2" t="s">
        <v>273</v>
      </c>
      <c r="D64" s="2" t="s">
        <v>1186</v>
      </c>
      <c r="E64" s="2" t="s">
        <v>1042</v>
      </c>
      <c r="F64" s="2" t="s">
        <v>334</v>
      </c>
      <c r="G64" s="2" t="str">
        <f aca="false">IFERROR(INDEX(Prices_Item,MATCH(F64,Prices_ID,0)),"ITEM NOT FOUND")</f>
        <v>Servibolsa garden bags, 40 pc</v>
      </c>
      <c r="H64" s="7" t="n">
        <v>0.125</v>
      </c>
      <c r="I64" s="2" t="s">
        <v>1195</v>
      </c>
      <c r="J64" s="3" t="n">
        <f aca="false">IFERROR(INDEX(Prices_Current,MATCH(F64,Prices_ID,0)),"")</f>
        <v>159</v>
      </c>
      <c r="K64" s="2" t="s">
        <v>1100</v>
      </c>
      <c r="L64" s="3" t="n">
        <f aca="false">IF(OR(H64="",NOT(ISNUMBER(J64))),"",H64*J64)</f>
        <v>19.875</v>
      </c>
      <c r="M64" s="2" t="str">
        <f aca="false">IFERROR(INDEX(Prices_Flag,MATCH(F64,Prices_ID,0)),"")</f>
        <v>none</v>
      </c>
      <c r="N64" s="2"/>
      <c r="O64" s="0" t="s">
        <v>1188</v>
      </c>
      <c r="P64" s="8" t="s">
        <v>1189</v>
      </c>
      <c r="Q64" s="0" t="s">
        <v>27</v>
      </c>
    </row>
    <row r="65" customFormat="false" ht="17.15" hidden="false" customHeight="false" outlineLevel="0" collapsed="false">
      <c r="A65" s="2" t="s">
        <v>1196</v>
      </c>
      <c r="B65" s="2" t="s">
        <v>1185</v>
      </c>
      <c r="C65" s="2" t="s">
        <v>273</v>
      </c>
      <c r="D65" s="2" t="s">
        <v>1186</v>
      </c>
      <c r="E65" s="2" t="s">
        <v>1042</v>
      </c>
      <c r="F65" s="2" t="s">
        <v>344</v>
      </c>
      <c r="G65" s="2" t="str">
        <f aca="false">IFERROR(INDEX(Prices_Item,MATCH(F65,Prices_ID,0)),"ITEM NOT FOUND")</f>
        <v>Fine bark mulch 56 L</v>
      </c>
      <c r="H65" s="7" t="n">
        <v>9</v>
      </c>
      <c r="I65" s="2" t="s">
        <v>1197</v>
      </c>
      <c r="J65" s="3" t="n">
        <f aca="false">IFERROR(INDEX(Prices_Current,MATCH(F65,Prices_ID,0)),"")</f>
        <v>197</v>
      </c>
      <c r="K65" s="2" t="s">
        <v>1044</v>
      </c>
      <c r="L65" s="3" t="n">
        <f aca="false">IF(OR(H65="",NOT(ISNUMBER(J65))),"",H65*J65)</f>
        <v>1773</v>
      </c>
      <c r="M65" s="2" t="str">
        <f aca="false">IFERROR(INDEX(Prices_Flag,MATCH(F65,Prices_ID,0)),"")</f>
        <v>none</v>
      </c>
      <c r="N65" s="2"/>
      <c r="O65" s="0" t="s">
        <v>1188</v>
      </c>
      <c r="P65" s="8" t="s">
        <v>1189</v>
      </c>
      <c r="Q65" s="0" t="s">
        <v>27</v>
      </c>
    </row>
    <row r="66" customFormat="false" ht="17.15" hidden="false" customHeight="false" outlineLevel="0" collapsed="false">
      <c r="A66" s="2" t="s">
        <v>1198</v>
      </c>
      <c r="B66" s="2" t="s">
        <v>1185</v>
      </c>
      <c r="C66" s="2" t="s">
        <v>273</v>
      </c>
      <c r="D66" s="2" t="s">
        <v>1186</v>
      </c>
      <c r="E66" s="2" t="s">
        <v>1042</v>
      </c>
      <c r="F66" s="2" t="s">
        <v>355</v>
      </c>
      <c r="G66" s="2" t="str">
        <f aca="false">IFERROR(INDEX(Prices_Item,MATCH(F66,Prices_ID,0)),"ITEM NOT FOUND")</f>
        <v>Sod (grass carpet), per m²</v>
      </c>
      <c r="H66" s="7" t="n">
        <v>5</v>
      </c>
      <c r="I66" s="2" t="s">
        <v>1199</v>
      </c>
      <c r="J66" s="3" t="n">
        <f aca="false">IFERROR(INDEX(Prices_Current,MATCH(F66,Prices_ID,0)),"")</f>
        <v>68</v>
      </c>
      <c r="K66" s="2" t="s">
        <v>1044</v>
      </c>
      <c r="L66" s="3" t="n">
        <f aca="false">IF(OR(H66="",NOT(ISNUMBER(J66))),"",H66*J66)</f>
        <v>340</v>
      </c>
      <c r="M66" s="2" t="str">
        <f aca="false">IFERROR(INDEX(Prices_Flag,MATCH(F66,Prices_ID,0)),"")</f>
        <v>none</v>
      </c>
      <c r="N66" s="2"/>
      <c r="O66" s="0" t="s">
        <v>1188</v>
      </c>
      <c r="P66" s="8" t="s">
        <v>1189</v>
      </c>
      <c r="Q66" s="0" t="s">
        <v>27</v>
      </c>
    </row>
    <row r="67" customFormat="false" ht="17.15" hidden="false" customHeight="false" outlineLevel="0" collapsed="false">
      <c r="A67" s="2" t="s">
        <v>1200</v>
      </c>
      <c r="B67" s="2" t="s">
        <v>1185</v>
      </c>
      <c r="C67" s="2" t="s">
        <v>273</v>
      </c>
      <c r="D67" s="2" t="s">
        <v>1186</v>
      </c>
      <c r="E67" s="2" t="s">
        <v>1042</v>
      </c>
      <c r="F67" s="2" t="s">
        <v>361</v>
      </c>
      <c r="G67" s="2" t="str">
        <f aca="false">IFERROR(INDEX(Prices_Item,MATCH(F67,Prices_ID,0)),"ITEM NOT FOUND")</f>
        <v>Allectus GR 5 kg (lawn insecticide)</v>
      </c>
      <c r="H67" s="7"/>
      <c r="I67" s="2" t="s">
        <v>1201</v>
      </c>
      <c r="J67" s="3" t="n">
        <f aca="false">IFERROR(INDEX(Prices_Current,MATCH(F67,Prices_ID,0)),"")</f>
        <v>495</v>
      </c>
      <c r="K67" s="2" t="s">
        <v>1164</v>
      </c>
      <c r="L67" s="3" t="str">
        <f aca="false">IF(OR(H67="",NOT(ISNUMBER(J67))),"",H67*J67)</f>
        <v/>
      </c>
      <c r="M67" s="2" t="str">
        <f aca="false">IFERROR(INDEX(Prices_Flag,MATCH(F67,Prices_ID,0)),"")</f>
        <v>REFERENCE ONLY-COFEPRIS</v>
      </c>
      <c r="N67" s="2" t="s">
        <v>1202</v>
      </c>
      <c r="O67" s="0" t="s">
        <v>1188</v>
      </c>
      <c r="P67" s="8" t="s">
        <v>1189</v>
      </c>
      <c r="Q67" s="0" t="s">
        <v>27</v>
      </c>
    </row>
    <row r="68" customFormat="false" ht="17.15" hidden="false" customHeight="false" outlineLevel="0" collapsed="false">
      <c r="A68" s="2" t="s">
        <v>1203</v>
      </c>
      <c r="B68" s="2" t="s">
        <v>1185</v>
      </c>
      <c r="C68" s="2" t="s">
        <v>273</v>
      </c>
      <c r="D68" s="2" t="s">
        <v>1186</v>
      </c>
      <c r="E68" s="2" t="s">
        <v>1042</v>
      </c>
      <c r="F68" s="2" t="s">
        <v>366</v>
      </c>
      <c r="G68" s="2" t="str">
        <f aca="false">IFERROR(INDEX(Prices_Item,MATCH(F68,Prices_ID,0)),"ITEM NOT FOUND")</f>
        <v>Urban herbicide (JAR/URB RSCO-labelled only)</v>
      </c>
      <c r="H68" s="7"/>
      <c r="I68" s="2" t="s">
        <v>1204</v>
      </c>
      <c r="J68" s="3" t="str">
        <f aca="false">IFERROR(INDEX(Prices_Current,MATCH(F68,Prices_ID,0)),"")</f>
        <v/>
      </c>
      <c r="K68" s="2" t="s">
        <v>1164</v>
      </c>
      <c r="L68" s="3" t="str">
        <f aca="false">IF(OR(H68="",NOT(ISNUMBER(J68))),"",H68*J68)</f>
        <v/>
      </c>
      <c r="M68" s="2" t="str">
        <f aca="false">IFERROR(INDEX(Prices_Flag,MATCH(F68,Prices_ID,0)),"")</f>
        <v>REFERENCE ONLY-COFEPRIS</v>
      </c>
      <c r="N68" s="2" t="s">
        <v>1205</v>
      </c>
      <c r="O68" s="0" t="s">
        <v>1188</v>
      </c>
      <c r="P68" s="8" t="s">
        <v>1189</v>
      </c>
      <c r="Q68" s="0" t="s">
        <v>27</v>
      </c>
    </row>
    <row r="69" customFormat="false" ht="17.15" hidden="false" customHeight="false" outlineLevel="0" collapsed="false">
      <c r="A69" s="2" t="s">
        <v>1206</v>
      </c>
      <c r="B69" s="2" t="s">
        <v>1185</v>
      </c>
      <c r="C69" s="2" t="s">
        <v>273</v>
      </c>
      <c r="D69" s="2" t="s">
        <v>1186</v>
      </c>
      <c r="E69" s="2" t="s">
        <v>1049</v>
      </c>
      <c r="F69" s="2" t="s">
        <v>282</v>
      </c>
      <c r="G69" s="2" t="str">
        <f aca="false">IFERROR(INDEX(Prices_Item,MATCH(F69,Prices_ID,0)),"ITEM NOT FOUND")</f>
        <v>Lawn fertilizer Nutripasto 5 kg</v>
      </c>
      <c r="H69" s="7" t="n">
        <v>0.5</v>
      </c>
      <c r="I69" s="2" t="s">
        <v>1207</v>
      </c>
      <c r="J69" s="3" t="n">
        <f aca="false">IFERROR(INDEX(Prices_Current,MATCH(F69,Prices_ID,0)),"")</f>
        <v>325</v>
      </c>
      <c r="K69" s="2" t="s">
        <v>1100</v>
      </c>
      <c r="L69" s="3" t="n">
        <f aca="false">IF(OR(H69="",NOT(ISNUMBER(J69))),"",H69*J69)</f>
        <v>162.5</v>
      </c>
      <c r="M69" s="2" t="str">
        <f aca="false">IFERROR(INDEX(Prices_Flag,MATCH(F69,Prices_ID,0)),"")</f>
        <v>none</v>
      </c>
      <c r="N69" s="2"/>
      <c r="O69" s="0" t="s">
        <v>1188</v>
      </c>
      <c r="P69" s="8" t="s">
        <v>1189</v>
      </c>
      <c r="Q69" s="0" t="s">
        <v>27</v>
      </c>
    </row>
    <row r="70" customFormat="false" ht="17.15" hidden="false" customHeight="false" outlineLevel="0" collapsed="false">
      <c r="A70" s="2" t="s">
        <v>1208</v>
      </c>
      <c r="B70" s="2" t="s">
        <v>1185</v>
      </c>
      <c r="C70" s="2" t="s">
        <v>273</v>
      </c>
      <c r="D70" s="2" t="s">
        <v>1186</v>
      </c>
      <c r="E70" s="2" t="s">
        <v>1049</v>
      </c>
      <c r="F70" s="2" t="s">
        <v>300</v>
      </c>
      <c r="G70" s="2" t="str">
        <f aca="false">IFERROR(INDEX(Prices_Item,MATCH(F70,Prices_ID,0)),"ITEM NOT FOUND")</f>
        <v>Vigoro prepared soil</v>
      </c>
      <c r="H70" s="7" t="n">
        <v>3</v>
      </c>
      <c r="I70" s="2" t="s">
        <v>1191</v>
      </c>
      <c r="J70" s="3" t="n">
        <f aca="false">IFERROR(INDEX(Prices_Current,MATCH(F70,Prices_ID,0)),"")</f>
        <v>225</v>
      </c>
      <c r="K70" s="2" t="s">
        <v>1100</v>
      </c>
      <c r="L70" s="3" t="n">
        <f aca="false">IF(OR(H70="",NOT(ISNUMBER(J70))),"",H70*J70)</f>
        <v>675</v>
      </c>
      <c r="M70" s="2" t="str">
        <f aca="false">IFERROR(INDEX(Prices_Flag,MATCH(F70,Prices_ID,0)),"")</f>
        <v>none</v>
      </c>
      <c r="N70" s="2"/>
      <c r="O70" s="0" t="s">
        <v>1188</v>
      </c>
      <c r="P70" s="8" t="s">
        <v>1189</v>
      </c>
      <c r="Q70" s="0" t="s">
        <v>27</v>
      </c>
    </row>
    <row r="71" customFormat="false" ht="17.15" hidden="false" customHeight="false" outlineLevel="0" collapsed="false">
      <c r="A71" s="2" t="s">
        <v>1209</v>
      </c>
      <c r="B71" s="2" t="s">
        <v>1185</v>
      </c>
      <c r="C71" s="2" t="s">
        <v>273</v>
      </c>
      <c r="D71" s="2" t="s">
        <v>1186</v>
      </c>
      <c r="E71" s="2" t="s">
        <v>1049</v>
      </c>
      <c r="F71" s="2" t="s">
        <v>318</v>
      </c>
      <c r="G71" s="2" t="str">
        <f aca="false">IFERROR(INDEX(Prices_Item,MATCH(F71,Prices_ID,0)),"ITEM NOT FOUND")</f>
        <v>Truper trimmer line, 12 m</v>
      </c>
      <c r="H71" s="7" t="n">
        <v>0.833333</v>
      </c>
      <c r="I71" s="2" t="s">
        <v>1210</v>
      </c>
      <c r="J71" s="3" t="n">
        <f aca="false">IFERROR(INDEX(Prices_Current,MATCH(F71,Prices_ID,0)),"")</f>
        <v>35</v>
      </c>
      <c r="K71" s="2" t="s">
        <v>1100</v>
      </c>
      <c r="L71" s="3" t="n">
        <f aca="false">IF(OR(H71="",NOT(ISNUMBER(J71))),"",H71*J71)</f>
        <v>29.166655</v>
      </c>
      <c r="M71" s="2" t="str">
        <f aca="false">IFERROR(INDEX(Prices_Flag,MATCH(F71,Prices_ID,0)),"")</f>
        <v>none</v>
      </c>
      <c r="N71" s="2"/>
      <c r="O71" s="0" t="s">
        <v>1188</v>
      </c>
      <c r="P71" s="8" t="s">
        <v>1189</v>
      </c>
      <c r="Q71" s="0" t="s">
        <v>27</v>
      </c>
    </row>
    <row r="72" customFormat="false" ht="17.15" hidden="false" customHeight="false" outlineLevel="0" collapsed="false">
      <c r="A72" s="2" t="s">
        <v>1211</v>
      </c>
      <c r="B72" s="2" t="s">
        <v>1185</v>
      </c>
      <c r="C72" s="2" t="s">
        <v>273</v>
      </c>
      <c r="D72" s="2" t="s">
        <v>1186</v>
      </c>
      <c r="E72" s="2" t="s">
        <v>1049</v>
      </c>
      <c r="F72" s="2" t="s">
        <v>339</v>
      </c>
      <c r="G72" s="2" t="str">
        <f aca="false">IFERROR(INDEX(Prices_Item,MATCH(F72,Prices_ID,0)),"ITEM NOT FOUND")</f>
        <v>Heavy garden bags, roll of 20</v>
      </c>
      <c r="H72" s="7" t="n">
        <v>0.25</v>
      </c>
      <c r="I72" s="2" t="s">
        <v>1212</v>
      </c>
      <c r="J72" s="3" t="n">
        <f aca="false">IFERROR(INDEX(Prices_Current,MATCH(F72,Prices_ID,0)),"")</f>
        <v>175</v>
      </c>
      <c r="K72" s="2" t="s">
        <v>1100</v>
      </c>
      <c r="L72" s="3" t="n">
        <f aca="false">IF(OR(H72="",NOT(ISNUMBER(J72))),"",H72*J72)</f>
        <v>43.75</v>
      </c>
      <c r="M72" s="2" t="str">
        <f aca="false">IFERROR(INDEX(Prices_Flag,MATCH(F72,Prices_ID,0)),"")</f>
        <v>none</v>
      </c>
      <c r="N72" s="2"/>
      <c r="O72" s="0" t="s">
        <v>1188</v>
      </c>
      <c r="P72" s="8" t="s">
        <v>1189</v>
      </c>
      <c r="Q72" s="0" t="s">
        <v>27</v>
      </c>
    </row>
    <row r="73" customFormat="false" ht="17.15" hidden="false" customHeight="false" outlineLevel="0" collapsed="false">
      <c r="A73" s="2" t="s">
        <v>1213</v>
      </c>
      <c r="B73" s="2" t="s">
        <v>1185</v>
      </c>
      <c r="C73" s="2" t="s">
        <v>273</v>
      </c>
      <c r="D73" s="2" t="s">
        <v>1186</v>
      </c>
      <c r="E73" s="2" t="s">
        <v>1049</v>
      </c>
      <c r="F73" s="2" t="s">
        <v>344</v>
      </c>
      <c r="G73" s="2" t="str">
        <f aca="false">IFERROR(INDEX(Prices_Item,MATCH(F73,Prices_ID,0)),"ITEM NOT FOUND")</f>
        <v>Fine bark mulch 56 L</v>
      </c>
      <c r="H73" s="7" t="n">
        <v>9</v>
      </c>
      <c r="I73" s="2" t="s">
        <v>1197</v>
      </c>
      <c r="J73" s="3" t="n">
        <f aca="false">IFERROR(INDEX(Prices_Current,MATCH(F73,Prices_ID,0)),"")</f>
        <v>197</v>
      </c>
      <c r="K73" s="2" t="s">
        <v>1044</v>
      </c>
      <c r="L73" s="3" t="n">
        <f aca="false">IF(OR(H73="",NOT(ISNUMBER(J73))),"",H73*J73)</f>
        <v>1773</v>
      </c>
      <c r="M73" s="2" t="str">
        <f aca="false">IFERROR(INDEX(Prices_Flag,MATCH(F73,Prices_ID,0)),"")</f>
        <v>none</v>
      </c>
      <c r="N73" s="2"/>
      <c r="O73" s="0" t="s">
        <v>1188</v>
      </c>
      <c r="P73" s="8" t="s">
        <v>1189</v>
      </c>
      <c r="Q73" s="0" t="s">
        <v>27</v>
      </c>
    </row>
    <row r="74" customFormat="false" ht="17.15" hidden="false" customHeight="false" outlineLevel="0" collapsed="false">
      <c r="A74" s="2" t="s">
        <v>1214</v>
      </c>
      <c r="B74" s="2" t="s">
        <v>1185</v>
      </c>
      <c r="C74" s="2" t="s">
        <v>273</v>
      </c>
      <c r="D74" s="2" t="s">
        <v>1186</v>
      </c>
      <c r="E74" s="2" t="s">
        <v>1049</v>
      </c>
      <c r="F74" s="2" t="s">
        <v>355</v>
      </c>
      <c r="G74" s="2" t="str">
        <f aca="false">IFERROR(INDEX(Prices_Item,MATCH(F74,Prices_ID,0)),"ITEM NOT FOUND")</f>
        <v>Sod (grass carpet), per m²</v>
      </c>
      <c r="H74" s="7" t="n">
        <v>5</v>
      </c>
      <c r="I74" s="2" t="s">
        <v>1199</v>
      </c>
      <c r="J74" s="3" t="n">
        <f aca="false">IFERROR(INDEX(Prices_Current,MATCH(F74,Prices_ID,0)),"")</f>
        <v>68</v>
      </c>
      <c r="K74" s="2" t="s">
        <v>1044</v>
      </c>
      <c r="L74" s="3" t="n">
        <f aca="false">IF(OR(H74="",NOT(ISNUMBER(J74))),"",H74*J74)</f>
        <v>340</v>
      </c>
      <c r="M74" s="2" t="str">
        <f aca="false">IFERROR(INDEX(Prices_Flag,MATCH(F74,Prices_ID,0)),"")</f>
        <v>none</v>
      </c>
      <c r="N74" s="2"/>
      <c r="O74" s="0" t="s">
        <v>1188</v>
      </c>
      <c r="P74" s="8" t="s">
        <v>1189</v>
      </c>
      <c r="Q74" s="0" t="s">
        <v>27</v>
      </c>
    </row>
    <row r="75" customFormat="false" ht="17.15" hidden="false" customHeight="false" outlineLevel="0" collapsed="false">
      <c r="A75" s="2" t="s">
        <v>1215</v>
      </c>
      <c r="B75" s="2" t="s">
        <v>1185</v>
      </c>
      <c r="C75" s="2" t="s">
        <v>273</v>
      </c>
      <c r="D75" s="2" t="s">
        <v>1186</v>
      </c>
      <c r="E75" s="2" t="s">
        <v>1049</v>
      </c>
      <c r="F75" s="2" t="s">
        <v>361</v>
      </c>
      <c r="G75" s="2" t="str">
        <f aca="false">IFERROR(INDEX(Prices_Item,MATCH(F75,Prices_ID,0)),"ITEM NOT FOUND")</f>
        <v>Allectus GR 5 kg (lawn insecticide)</v>
      </c>
      <c r="H75" s="7"/>
      <c r="I75" s="2" t="s">
        <v>1201</v>
      </c>
      <c r="J75" s="3" t="n">
        <f aca="false">IFERROR(INDEX(Prices_Current,MATCH(F75,Prices_ID,0)),"")</f>
        <v>495</v>
      </c>
      <c r="K75" s="2" t="s">
        <v>1164</v>
      </c>
      <c r="L75" s="3" t="str">
        <f aca="false">IF(OR(H75="",NOT(ISNUMBER(J75))),"",H75*J75)</f>
        <v/>
      </c>
      <c r="M75" s="2" t="str">
        <f aca="false">IFERROR(INDEX(Prices_Flag,MATCH(F75,Prices_ID,0)),"")</f>
        <v>REFERENCE ONLY-COFEPRIS</v>
      </c>
      <c r="N75" s="2" t="s">
        <v>1202</v>
      </c>
      <c r="O75" s="0" t="s">
        <v>1188</v>
      </c>
      <c r="P75" s="8" t="s">
        <v>1189</v>
      </c>
      <c r="Q75" s="0" t="s">
        <v>27</v>
      </c>
    </row>
    <row r="76" customFormat="false" ht="17.15" hidden="false" customHeight="false" outlineLevel="0" collapsed="false">
      <c r="A76" s="2" t="s">
        <v>1216</v>
      </c>
      <c r="B76" s="2" t="s">
        <v>1185</v>
      </c>
      <c r="C76" s="2" t="s">
        <v>273</v>
      </c>
      <c r="D76" s="2" t="s">
        <v>1186</v>
      </c>
      <c r="E76" s="2" t="s">
        <v>1049</v>
      </c>
      <c r="F76" s="2" t="s">
        <v>366</v>
      </c>
      <c r="G76" s="2" t="str">
        <f aca="false">IFERROR(INDEX(Prices_Item,MATCH(F76,Prices_ID,0)),"ITEM NOT FOUND")</f>
        <v>Urban herbicide (JAR/URB RSCO-labelled only)</v>
      </c>
      <c r="H76" s="7"/>
      <c r="I76" s="2" t="s">
        <v>1204</v>
      </c>
      <c r="J76" s="3" t="str">
        <f aca="false">IFERROR(INDEX(Prices_Current,MATCH(F76,Prices_ID,0)),"")</f>
        <v/>
      </c>
      <c r="K76" s="2" t="s">
        <v>1164</v>
      </c>
      <c r="L76" s="3" t="str">
        <f aca="false">IF(OR(H76="",NOT(ISNUMBER(J76))),"",H76*J76)</f>
        <v/>
      </c>
      <c r="M76" s="2" t="str">
        <f aca="false">IFERROR(INDEX(Prices_Flag,MATCH(F76,Prices_ID,0)),"")</f>
        <v>REFERENCE ONLY-COFEPRIS</v>
      </c>
      <c r="N76" s="2" t="s">
        <v>1205</v>
      </c>
      <c r="O76" s="0" t="s">
        <v>1188</v>
      </c>
      <c r="P76" s="8" t="s">
        <v>1189</v>
      </c>
      <c r="Q76" s="0" t="s">
        <v>27</v>
      </c>
    </row>
    <row r="77" customFormat="false" ht="17.15" hidden="false" customHeight="false" outlineLevel="0" collapsed="false">
      <c r="A77" s="2" t="s">
        <v>1217</v>
      </c>
      <c r="B77" s="2" t="s">
        <v>1185</v>
      </c>
      <c r="C77" s="2" t="s">
        <v>273</v>
      </c>
      <c r="D77" s="2" t="s">
        <v>1186</v>
      </c>
      <c r="E77" s="2" t="s">
        <v>1051</v>
      </c>
      <c r="F77" s="2" t="s">
        <v>290</v>
      </c>
      <c r="G77" s="2" t="str">
        <f aca="false">IFERROR(INDEX(Prices_Item,MATCH(F77,Prices_ID,0)),"ITEM NOT FOUND")</f>
        <v>Fertilizer Vigoro 17-17-17 5 kg</v>
      </c>
      <c r="H77" s="7" t="n">
        <v>0.5</v>
      </c>
      <c r="I77" s="2" t="s">
        <v>1207</v>
      </c>
      <c r="J77" s="3" t="n">
        <f aca="false">IFERROR(INDEX(Prices_Current,MATCH(F77,Prices_ID,0)),"")</f>
        <v>425</v>
      </c>
      <c r="K77" s="2" t="s">
        <v>1100</v>
      </c>
      <c r="L77" s="3" t="n">
        <f aca="false">IF(OR(H77="",NOT(ISNUMBER(J77))),"",H77*J77)</f>
        <v>212.5</v>
      </c>
      <c r="M77" s="2" t="str">
        <f aca="false">IFERROR(INDEX(Prices_Flag,MATCH(F77,Prices_ID,0)),"")</f>
        <v>none</v>
      </c>
      <c r="N77" s="2"/>
      <c r="O77" s="0" t="s">
        <v>1188</v>
      </c>
      <c r="P77" s="8" t="s">
        <v>1189</v>
      </c>
      <c r="Q77" s="0" t="s">
        <v>27</v>
      </c>
    </row>
    <row r="78" customFormat="false" ht="17.15" hidden="false" customHeight="false" outlineLevel="0" collapsed="false">
      <c r="A78" s="2" t="s">
        <v>1218</v>
      </c>
      <c r="B78" s="2" t="s">
        <v>1185</v>
      </c>
      <c r="C78" s="2" t="s">
        <v>273</v>
      </c>
      <c r="D78" s="2" t="s">
        <v>1186</v>
      </c>
      <c r="E78" s="2" t="s">
        <v>1051</v>
      </c>
      <c r="F78" s="2" t="s">
        <v>300</v>
      </c>
      <c r="G78" s="2" t="str">
        <f aca="false">IFERROR(INDEX(Prices_Item,MATCH(F78,Prices_ID,0)),"ITEM NOT FOUND")</f>
        <v>Vigoro prepared soil</v>
      </c>
      <c r="H78" s="7" t="n">
        <v>2</v>
      </c>
      <c r="I78" s="2" t="s">
        <v>1219</v>
      </c>
      <c r="J78" s="3" t="n">
        <f aca="false">IFERROR(INDEX(Prices_Current,MATCH(F78,Prices_ID,0)),"")</f>
        <v>225</v>
      </c>
      <c r="K78" s="2" t="s">
        <v>1100</v>
      </c>
      <c r="L78" s="3" t="n">
        <f aca="false">IF(OR(H78="",NOT(ISNUMBER(J78))),"",H78*J78)</f>
        <v>450</v>
      </c>
      <c r="M78" s="2" t="str">
        <f aca="false">IFERROR(INDEX(Prices_Flag,MATCH(F78,Prices_ID,0)),"")</f>
        <v>none</v>
      </c>
      <c r="N78" s="2"/>
      <c r="O78" s="0" t="s">
        <v>1188</v>
      </c>
      <c r="P78" s="8" t="s">
        <v>1189</v>
      </c>
      <c r="Q78" s="0" t="s">
        <v>27</v>
      </c>
    </row>
    <row r="79" customFormat="false" ht="17.15" hidden="false" customHeight="false" outlineLevel="0" collapsed="false">
      <c r="A79" s="2" t="s">
        <v>1220</v>
      </c>
      <c r="B79" s="2" t="s">
        <v>1185</v>
      </c>
      <c r="C79" s="2" t="s">
        <v>273</v>
      </c>
      <c r="D79" s="2" t="s">
        <v>1186</v>
      </c>
      <c r="E79" s="2" t="s">
        <v>1051</v>
      </c>
      <c r="F79" s="2" t="s">
        <v>305</v>
      </c>
      <c r="G79" s="2" t="str">
        <f aca="false">IFERROR(INDEX(Prices_Item,MATCH(F79,Prices_ID,0)),"ITEM NOT FOUND")</f>
        <v>Pisumma compost 30 L</v>
      </c>
      <c r="H79" s="7" t="n">
        <v>2</v>
      </c>
      <c r="I79" s="2" t="s">
        <v>1219</v>
      </c>
      <c r="J79" s="3" t="n">
        <f aca="false">IFERROR(INDEX(Prices_Current,MATCH(F79,Prices_ID,0)),"")</f>
        <v>159</v>
      </c>
      <c r="K79" s="2" t="s">
        <v>1100</v>
      </c>
      <c r="L79" s="3" t="n">
        <f aca="false">IF(OR(H79="",NOT(ISNUMBER(J79))),"",H79*J79)</f>
        <v>318</v>
      </c>
      <c r="M79" s="2" t="str">
        <f aca="false">IFERROR(INDEX(Prices_Flag,MATCH(F79,Prices_ID,0)),"")</f>
        <v>none</v>
      </c>
      <c r="N79" s="2"/>
      <c r="O79" s="0" t="s">
        <v>1188</v>
      </c>
      <c r="P79" s="8" t="s">
        <v>1189</v>
      </c>
      <c r="Q79" s="0" t="s">
        <v>27</v>
      </c>
    </row>
    <row r="80" customFormat="false" ht="17.15" hidden="false" customHeight="false" outlineLevel="0" collapsed="false">
      <c r="A80" s="2" t="s">
        <v>1221</v>
      </c>
      <c r="B80" s="2" t="s">
        <v>1185</v>
      </c>
      <c r="C80" s="2" t="s">
        <v>273</v>
      </c>
      <c r="D80" s="2" t="s">
        <v>1186</v>
      </c>
      <c r="E80" s="2" t="s">
        <v>1051</v>
      </c>
      <c r="F80" s="2" t="s">
        <v>318</v>
      </c>
      <c r="G80" s="2" t="str">
        <f aca="false">IFERROR(INDEX(Prices_Item,MATCH(F80,Prices_ID,0)),"ITEM NOT FOUND")</f>
        <v>Truper trimmer line, 12 m</v>
      </c>
      <c r="H80" s="7" t="n">
        <v>0.833333</v>
      </c>
      <c r="I80" s="2" t="s">
        <v>1210</v>
      </c>
      <c r="J80" s="3" t="n">
        <f aca="false">IFERROR(INDEX(Prices_Current,MATCH(F80,Prices_ID,0)),"")</f>
        <v>35</v>
      </c>
      <c r="K80" s="2" t="s">
        <v>1100</v>
      </c>
      <c r="L80" s="3" t="n">
        <f aca="false">IF(OR(H80="",NOT(ISNUMBER(J80))),"",H80*J80)</f>
        <v>29.166655</v>
      </c>
      <c r="M80" s="2" t="str">
        <f aca="false">IFERROR(INDEX(Prices_Flag,MATCH(F80,Prices_ID,0)),"")</f>
        <v>none</v>
      </c>
      <c r="N80" s="2"/>
      <c r="O80" s="0" t="s">
        <v>1188</v>
      </c>
      <c r="P80" s="8" t="s">
        <v>1189</v>
      </c>
      <c r="Q80" s="0" t="s">
        <v>27</v>
      </c>
    </row>
    <row r="81" customFormat="false" ht="17.15" hidden="false" customHeight="false" outlineLevel="0" collapsed="false">
      <c r="A81" s="2" t="s">
        <v>1222</v>
      </c>
      <c r="B81" s="2" t="s">
        <v>1185</v>
      </c>
      <c r="C81" s="2" t="s">
        <v>273</v>
      </c>
      <c r="D81" s="2" t="s">
        <v>1186</v>
      </c>
      <c r="E81" s="2" t="s">
        <v>1051</v>
      </c>
      <c r="F81" s="2" t="s">
        <v>339</v>
      </c>
      <c r="G81" s="2" t="str">
        <f aca="false">IFERROR(INDEX(Prices_Item,MATCH(F81,Prices_ID,0)),"ITEM NOT FOUND")</f>
        <v>Heavy garden bags, roll of 20</v>
      </c>
      <c r="H81" s="7" t="n">
        <v>0.25</v>
      </c>
      <c r="I81" s="2" t="s">
        <v>1212</v>
      </c>
      <c r="J81" s="3" t="n">
        <f aca="false">IFERROR(INDEX(Prices_Current,MATCH(F81,Prices_ID,0)),"")</f>
        <v>175</v>
      </c>
      <c r="K81" s="2" t="s">
        <v>1100</v>
      </c>
      <c r="L81" s="3" t="n">
        <f aca="false">IF(OR(H81="",NOT(ISNUMBER(J81))),"",H81*J81)</f>
        <v>43.75</v>
      </c>
      <c r="M81" s="2" t="str">
        <f aca="false">IFERROR(INDEX(Prices_Flag,MATCH(F81,Prices_ID,0)),"")</f>
        <v>none</v>
      </c>
      <c r="N81" s="2"/>
      <c r="O81" s="0" t="s">
        <v>1188</v>
      </c>
      <c r="P81" s="8" t="s">
        <v>1189</v>
      </c>
      <c r="Q81" s="0" t="s">
        <v>27</v>
      </c>
    </row>
    <row r="82" customFormat="false" ht="17.15" hidden="false" customHeight="false" outlineLevel="0" collapsed="false">
      <c r="A82" s="2" t="s">
        <v>1223</v>
      </c>
      <c r="B82" s="2" t="s">
        <v>1185</v>
      </c>
      <c r="C82" s="2" t="s">
        <v>273</v>
      </c>
      <c r="D82" s="2" t="s">
        <v>1186</v>
      </c>
      <c r="E82" s="2" t="s">
        <v>1051</v>
      </c>
      <c r="F82" s="2" t="s">
        <v>349</v>
      </c>
      <c r="G82" s="2" t="str">
        <f aca="false">IFERROR(INDEX(Prices_Item,MATCH(F82,Prices_ID,0)),"ITEM NOT FOUND")</f>
        <v>Vigoro pine bark XL</v>
      </c>
      <c r="H82" s="7" t="n">
        <v>9</v>
      </c>
      <c r="I82" s="2" t="s">
        <v>1197</v>
      </c>
      <c r="J82" s="3" t="n">
        <f aca="false">IFERROR(INDEX(Prices_Current,MATCH(F82,Prices_ID,0)),"")</f>
        <v>439</v>
      </c>
      <c r="K82" s="2" t="s">
        <v>1044</v>
      </c>
      <c r="L82" s="3" t="n">
        <f aca="false">IF(OR(H82="",NOT(ISNUMBER(J82))),"",H82*J82)</f>
        <v>3951</v>
      </c>
      <c r="M82" s="2" t="str">
        <f aca="false">IFERROR(INDEX(Prices_Flag,MATCH(F82,Prices_ID,0)),"")</f>
        <v>none</v>
      </c>
      <c r="N82" s="2"/>
      <c r="O82" s="0" t="s">
        <v>1188</v>
      </c>
      <c r="P82" s="8" t="s">
        <v>1189</v>
      </c>
      <c r="Q82" s="0" t="s">
        <v>27</v>
      </c>
    </row>
    <row r="83" customFormat="false" ht="17.15" hidden="false" customHeight="false" outlineLevel="0" collapsed="false">
      <c r="A83" s="2" t="s">
        <v>1224</v>
      </c>
      <c r="B83" s="2" t="s">
        <v>1185</v>
      </c>
      <c r="C83" s="2" t="s">
        <v>273</v>
      </c>
      <c r="D83" s="2" t="s">
        <v>1186</v>
      </c>
      <c r="E83" s="2" t="s">
        <v>1051</v>
      </c>
      <c r="F83" s="2" t="s">
        <v>355</v>
      </c>
      <c r="G83" s="2" t="str">
        <f aca="false">IFERROR(INDEX(Prices_Item,MATCH(F83,Prices_ID,0)),"ITEM NOT FOUND")</f>
        <v>Sod (grass carpet), per m²</v>
      </c>
      <c r="H83" s="7" t="n">
        <v>5</v>
      </c>
      <c r="I83" s="2" t="s">
        <v>1199</v>
      </c>
      <c r="J83" s="3" t="n">
        <f aca="false">IFERROR(INDEX(Prices_Current,MATCH(F83,Prices_ID,0)),"")</f>
        <v>68</v>
      </c>
      <c r="K83" s="2" t="s">
        <v>1044</v>
      </c>
      <c r="L83" s="3" t="n">
        <f aca="false">IF(OR(H83="",NOT(ISNUMBER(J83))),"",H83*J83)</f>
        <v>340</v>
      </c>
      <c r="M83" s="2" t="str">
        <f aca="false">IFERROR(INDEX(Prices_Flag,MATCH(F83,Prices_ID,0)),"")</f>
        <v>none</v>
      </c>
      <c r="N83" s="2"/>
      <c r="O83" s="0" t="s">
        <v>1188</v>
      </c>
      <c r="P83" s="8" t="s">
        <v>1189</v>
      </c>
      <c r="Q83" s="0" t="s">
        <v>27</v>
      </c>
    </row>
    <row r="84" customFormat="false" ht="17.15" hidden="false" customHeight="false" outlineLevel="0" collapsed="false">
      <c r="A84" s="2" t="s">
        <v>1225</v>
      </c>
      <c r="B84" s="2" t="s">
        <v>1185</v>
      </c>
      <c r="C84" s="2" t="s">
        <v>273</v>
      </c>
      <c r="D84" s="2" t="s">
        <v>1186</v>
      </c>
      <c r="E84" s="2" t="s">
        <v>1051</v>
      </c>
      <c r="F84" s="2" t="s">
        <v>361</v>
      </c>
      <c r="G84" s="2" t="str">
        <f aca="false">IFERROR(INDEX(Prices_Item,MATCH(F84,Prices_ID,0)),"ITEM NOT FOUND")</f>
        <v>Allectus GR 5 kg (lawn insecticide)</v>
      </c>
      <c r="H84" s="7"/>
      <c r="I84" s="2" t="s">
        <v>1201</v>
      </c>
      <c r="J84" s="3" t="n">
        <f aca="false">IFERROR(INDEX(Prices_Current,MATCH(F84,Prices_ID,0)),"")</f>
        <v>495</v>
      </c>
      <c r="K84" s="2" t="s">
        <v>1164</v>
      </c>
      <c r="L84" s="3" t="str">
        <f aca="false">IF(OR(H84="",NOT(ISNUMBER(J84))),"",H84*J84)</f>
        <v/>
      </c>
      <c r="M84" s="2" t="str">
        <f aca="false">IFERROR(INDEX(Prices_Flag,MATCH(F84,Prices_ID,0)),"")</f>
        <v>REFERENCE ONLY-COFEPRIS</v>
      </c>
      <c r="N84" s="2" t="s">
        <v>1202</v>
      </c>
      <c r="O84" s="0" t="s">
        <v>1188</v>
      </c>
      <c r="P84" s="8" t="s">
        <v>1189</v>
      </c>
      <c r="Q84" s="0" t="s">
        <v>27</v>
      </c>
    </row>
    <row r="85" customFormat="false" ht="17.15" hidden="false" customHeight="false" outlineLevel="0" collapsed="false">
      <c r="A85" s="2" t="s">
        <v>1226</v>
      </c>
      <c r="B85" s="2" t="s">
        <v>1185</v>
      </c>
      <c r="C85" s="2" t="s">
        <v>273</v>
      </c>
      <c r="D85" s="2" t="s">
        <v>1186</v>
      </c>
      <c r="E85" s="2" t="s">
        <v>1051</v>
      </c>
      <c r="F85" s="2" t="s">
        <v>366</v>
      </c>
      <c r="G85" s="2" t="str">
        <f aca="false">IFERROR(INDEX(Prices_Item,MATCH(F85,Prices_ID,0)),"ITEM NOT FOUND")</f>
        <v>Urban herbicide (JAR/URB RSCO-labelled only)</v>
      </c>
      <c r="H85" s="7"/>
      <c r="I85" s="2" t="s">
        <v>1204</v>
      </c>
      <c r="J85" s="3" t="str">
        <f aca="false">IFERROR(INDEX(Prices_Current,MATCH(F85,Prices_ID,0)),"")</f>
        <v/>
      </c>
      <c r="K85" s="2" t="s">
        <v>1164</v>
      </c>
      <c r="L85" s="3" t="str">
        <f aca="false">IF(OR(H85="",NOT(ISNUMBER(J85))),"",H85*J85)</f>
        <v/>
      </c>
      <c r="M85" s="2" t="str">
        <f aca="false">IFERROR(INDEX(Prices_Flag,MATCH(F85,Prices_ID,0)),"")</f>
        <v>REFERENCE ONLY-COFEPRIS</v>
      </c>
      <c r="N85" s="2" t="s">
        <v>1205</v>
      </c>
      <c r="O85" s="0" t="s">
        <v>1188</v>
      </c>
      <c r="P85" s="8" t="s">
        <v>1189</v>
      </c>
      <c r="Q85" s="0" t="s">
        <v>27</v>
      </c>
    </row>
    <row r="86" customFormat="false" ht="17.15" hidden="false" customHeight="false" outlineLevel="0" collapsed="false">
      <c r="A86" s="2" t="s">
        <v>1227</v>
      </c>
      <c r="B86" s="2" t="s">
        <v>1228</v>
      </c>
      <c r="C86" s="2" t="s">
        <v>273</v>
      </c>
      <c r="D86" s="2" t="s">
        <v>1229</v>
      </c>
      <c r="E86" s="2" t="s">
        <v>1042</v>
      </c>
      <c r="F86" s="2" t="s">
        <v>311</v>
      </c>
      <c r="G86" s="2" t="str">
        <f aca="false">IFERROR(INDEX(Prices_Item,MATCH(F86,Prices_ID,0)),"ITEM NOT FOUND")</f>
        <v>Truper trimmer line 2.4 mm, 78 m</v>
      </c>
      <c r="H86" s="7" t="n">
        <v>0.320513</v>
      </c>
      <c r="I86" s="2" t="s">
        <v>1230</v>
      </c>
      <c r="J86" s="3" t="n">
        <f aca="false">IFERROR(INDEX(Prices_Current,MATCH(F86,Prices_ID,0)),"")</f>
        <v>165</v>
      </c>
      <c r="K86" s="2" t="s">
        <v>1100</v>
      </c>
      <c r="L86" s="3" t="n">
        <f aca="false">IF(OR(H86="",NOT(ISNUMBER(J86))),"",H86*J86)</f>
        <v>52.884645</v>
      </c>
      <c r="M86" s="2" t="str">
        <f aca="false">IFERROR(INDEX(Prices_Flag,MATCH(F86,Prices_ID,0)),"")</f>
        <v>none</v>
      </c>
      <c r="N86" s="2"/>
      <c r="O86" s="0" t="s">
        <v>1231</v>
      </c>
      <c r="P86" s="8" t="s">
        <v>1232</v>
      </c>
      <c r="Q86" s="0" t="s">
        <v>27</v>
      </c>
    </row>
    <row r="87" customFormat="false" ht="17.15" hidden="false" customHeight="false" outlineLevel="0" collapsed="false">
      <c r="A87" s="2" t="s">
        <v>1233</v>
      </c>
      <c r="B87" s="2" t="s">
        <v>1228</v>
      </c>
      <c r="C87" s="2" t="s">
        <v>273</v>
      </c>
      <c r="D87" s="2" t="s">
        <v>1229</v>
      </c>
      <c r="E87" s="2" t="s">
        <v>1042</v>
      </c>
      <c r="F87" s="2" t="s">
        <v>334</v>
      </c>
      <c r="G87" s="2" t="str">
        <f aca="false">IFERROR(INDEX(Prices_Item,MATCH(F87,Prices_ID,0)),"ITEM NOT FOUND")</f>
        <v>Servibolsa garden bags, 40 pc</v>
      </c>
      <c r="H87" s="7" t="n">
        <v>0.25</v>
      </c>
      <c r="I87" s="2" t="s">
        <v>1234</v>
      </c>
      <c r="J87" s="3" t="n">
        <f aca="false">IFERROR(INDEX(Prices_Current,MATCH(F87,Prices_ID,0)),"")</f>
        <v>159</v>
      </c>
      <c r="K87" s="2" t="s">
        <v>1100</v>
      </c>
      <c r="L87" s="3" t="n">
        <f aca="false">IF(OR(H87="",NOT(ISNUMBER(J87))),"",H87*J87)</f>
        <v>39.75</v>
      </c>
      <c r="M87" s="2" t="str">
        <f aca="false">IFERROR(INDEX(Prices_Flag,MATCH(F87,Prices_ID,0)),"")</f>
        <v>none</v>
      </c>
      <c r="N87" s="2"/>
      <c r="O87" s="0" t="s">
        <v>1231</v>
      </c>
      <c r="P87" s="8" t="s">
        <v>1232</v>
      </c>
      <c r="Q87" s="0" t="s">
        <v>27</v>
      </c>
    </row>
    <row r="88" customFormat="false" ht="17.15" hidden="false" customHeight="false" outlineLevel="0" collapsed="false">
      <c r="A88" s="2" t="s">
        <v>1235</v>
      </c>
      <c r="B88" s="2" t="s">
        <v>1228</v>
      </c>
      <c r="C88" s="2" t="s">
        <v>273</v>
      </c>
      <c r="D88" s="2" t="s">
        <v>1229</v>
      </c>
      <c r="E88" s="2" t="s">
        <v>1042</v>
      </c>
      <c r="F88" s="2" t="s">
        <v>736</v>
      </c>
      <c r="G88" s="2" t="str">
        <f aca="false">IFERROR(INDEX(Prices_Item,MATCH(F88,Prices_ID,0)),"ITEM NOT FOUND")</f>
        <v>Hanes black landscape fabric roll, 0.475 kg</v>
      </c>
      <c r="H88" s="7" t="n">
        <v>1</v>
      </c>
      <c r="I88" s="2" t="s">
        <v>1236</v>
      </c>
      <c r="J88" s="3" t="n">
        <f aca="false">IFERROR(INDEX(Prices_Current,MATCH(F88,Prices_ID,0)),"")</f>
        <v>225</v>
      </c>
      <c r="K88" s="2" t="s">
        <v>1044</v>
      </c>
      <c r="L88" s="3" t="n">
        <f aca="false">IF(OR(H88="",NOT(ISNUMBER(J88))),"",H88*J88)</f>
        <v>225</v>
      </c>
      <c r="M88" s="2" t="str">
        <f aca="false">IFERROR(INDEX(Prices_Flag,MATCH(F88,Prices_ID,0)),"")</f>
        <v>none</v>
      </c>
      <c r="N88" s="2"/>
      <c r="O88" s="0" t="s">
        <v>1231</v>
      </c>
      <c r="P88" s="8" t="s">
        <v>1232</v>
      </c>
      <c r="Q88" s="0" t="s">
        <v>27</v>
      </c>
    </row>
    <row r="89" customFormat="false" ht="17.15" hidden="false" customHeight="false" outlineLevel="0" collapsed="false">
      <c r="A89" s="2" t="s">
        <v>1237</v>
      </c>
      <c r="B89" s="2" t="s">
        <v>1228</v>
      </c>
      <c r="C89" s="2" t="s">
        <v>273</v>
      </c>
      <c r="D89" s="2" t="s">
        <v>1229</v>
      </c>
      <c r="E89" s="2" t="s">
        <v>1042</v>
      </c>
      <c r="F89" s="2" t="s">
        <v>742</v>
      </c>
      <c r="G89" s="2" t="str">
        <f aca="false">IFERROR(INDEX(Prices_Item,MATCH(F89,Prices_ID,0)),"ITEM NOT FOUND")</f>
        <v>Landscape fabric staples (budget, derived)</v>
      </c>
      <c r="H89" s="7" t="n">
        <v>1</v>
      </c>
      <c r="I89" s="2" t="s">
        <v>1238</v>
      </c>
      <c r="J89" s="3" t="n">
        <f aca="false">IFERROR(INDEX(Prices_Current,MATCH(F89,Prices_ID,0)),"")</f>
        <v>72</v>
      </c>
      <c r="K89" s="2" t="s">
        <v>1044</v>
      </c>
      <c r="L89" s="3" t="n">
        <f aca="false">IF(OR(H89="",NOT(ISNUMBER(J89))),"",H89*J89)</f>
        <v>72</v>
      </c>
      <c r="M89" s="2" t="str">
        <f aca="false">IFERROR(INDEX(Prices_Flag,MATCH(F89,Prices_ID,0)),"")</f>
        <v>none</v>
      </c>
      <c r="N89" s="2"/>
      <c r="O89" s="0" t="s">
        <v>1231</v>
      </c>
      <c r="P89" s="8" t="s">
        <v>1232</v>
      </c>
      <c r="Q89" s="0" t="s">
        <v>27</v>
      </c>
    </row>
    <row r="90" customFormat="false" ht="17.15" hidden="false" customHeight="false" outlineLevel="0" collapsed="false">
      <c r="A90" s="2" t="s">
        <v>1239</v>
      </c>
      <c r="B90" s="2" t="s">
        <v>1228</v>
      </c>
      <c r="C90" s="2" t="s">
        <v>273</v>
      </c>
      <c r="D90" s="2" t="s">
        <v>1229</v>
      </c>
      <c r="E90" s="2" t="s">
        <v>1049</v>
      </c>
      <c r="F90" s="2" t="s">
        <v>323</v>
      </c>
      <c r="G90" s="2" t="str">
        <f aca="false">IFERROR(INDEX(Prices_Item,MATCH(F90,Prices_ID,0)),"ITEM NOT FOUND")</f>
        <v>Truper trimmer line 3 mm, 56 m</v>
      </c>
      <c r="H90" s="7" t="n">
        <v>0.446429</v>
      </c>
      <c r="I90" s="2" t="s">
        <v>1240</v>
      </c>
      <c r="J90" s="3" t="n">
        <f aca="false">IFERROR(INDEX(Prices_Current,MATCH(F90,Prices_ID,0)),"")</f>
        <v>165</v>
      </c>
      <c r="K90" s="2" t="s">
        <v>1100</v>
      </c>
      <c r="L90" s="3" t="n">
        <f aca="false">IF(OR(H90="",NOT(ISNUMBER(J90))),"",H90*J90)</f>
        <v>73.660785</v>
      </c>
      <c r="M90" s="2" t="str">
        <f aca="false">IFERROR(INDEX(Prices_Flag,MATCH(F90,Prices_ID,0)),"")</f>
        <v>none</v>
      </c>
      <c r="N90" s="2"/>
      <c r="O90" s="0" t="s">
        <v>1231</v>
      </c>
      <c r="P90" s="8" t="s">
        <v>1232</v>
      </c>
      <c r="Q90" s="0" t="s">
        <v>27</v>
      </c>
    </row>
    <row r="91" customFormat="false" ht="17.15" hidden="false" customHeight="false" outlineLevel="0" collapsed="false">
      <c r="A91" s="2" t="s">
        <v>1241</v>
      </c>
      <c r="B91" s="2" t="s">
        <v>1228</v>
      </c>
      <c r="C91" s="2" t="s">
        <v>273</v>
      </c>
      <c r="D91" s="2" t="s">
        <v>1229</v>
      </c>
      <c r="E91" s="2" t="s">
        <v>1049</v>
      </c>
      <c r="F91" s="2" t="s">
        <v>339</v>
      </c>
      <c r="G91" s="2" t="str">
        <f aca="false">IFERROR(INDEX(Prices_Item,MATCH(F91,Prices_ID,0)),"ITEM NOT FOUND")</f>
        <v>Heavy garden bags, roll of 20</v>
      </c>
      <c r="H91" s="7" t="n">
        <v>0.5</v>
      </c>
      <c r="I91" s="2" t="s">
        <v>1242</v>
      </c>
      <c r="J91" s="3" t="n">
        <f aca="false">IFERROR(INDEX(Prices_Current,MATCH(F91,Prices_ID,0)),"")</f>
        <v>175</v>
      </c>
      <c r="K91" s="2" t="s">
        <v>1100</v>
      </c>
      <c r="L91" s="3" t="n">
        <f aca="false">IF(OR(H91="",NOT(ISNUMBER(J91))),"",H91*J91)</f>
        <v>87.5</v>
      </c>
      <c r="M91" s="2" t="str">
        <f aca="false">IFERROR(INDEX(Prices_Flag,MATCH(F91,Prices_ID,0)),"")</f>
        <v>none</v>
      </c>
      <c r="N91" s="2"/>
      <c r="O91" s="0" t="s">
        <v>1231</v>
      </c>
      <c r="P91" s="8" t="s">
        <v>1232</v>
      </c>
      <c r="Q91" s="0" t="s">
        <v>27</v>
      </c>
    </row>
    <row r="92" customFormat="false" ht="17.15" hidden="false" customHeight="false" outlineLevel="0" collapsed="false">
      <c r="A92" s="2" t="s">
        <v>1243</v>
      </c>
      <c r="B92" s="2" t="s">
        <v>1228</v>
      </c>
      <c r="C92" s="2" t="s">
        <v>273</v>
      </c>
      <c r="D92" s="2" t="s">
        <v>1229</v>
      </c>
      <c r="E92" s="2" t="s">
        <v>1049</v>
      </c>
      <c r="F92" s="2" t="s">
        <v>376</v>
      </c>
      <c r="G92" s="2" t="str">
        <f aca="false">IFERROR(INDEX(Prices_Item,MATCH(F92,Prices_ID,0)),"ITEM NOT FOUND")</f>
        <v>Landscape fabric + staples, standard</v>
      </c>
      <c r="H92" s="7" t="n">
        <v>1</v>
      </c>
      <c r="I92" s="2" t="s">
        <v>1163</v>
      </c>
      <c r="J92" s="3" t="n">
        <f aca="false">IFERROR(INDEX(Prices_Current,MATCH(F92,Prices_ID,0)),"")</f>
        <v>554</v>
      </c>
      <c r="K92" s="2" t="s">
        <v>1044</v>
      </c>
      <c r="L92" s="3" t="n">
        <f aca="false">IF(OR(H92="",NOT(ISNUMBER(J92))),"",H92*J92)</f>
        <v>554</v>
      </c>
      <c r="M92" s="2" t="str">
        <f aca="false">IFERROR(INDEX(Prices_Flag,MATCH(F92,Prices_ID,0)),"")</f>
        <v>none</v>
      </c>
      <c r="N92" s="2"/>
      <c r="O92" s="0" t="s">
        <v>1231</v>
      </c>
      <c r="P92" s="8" t="s">
        <v>1232</v>
      </c>
      <c r="Q92" s="0" t="s">
        <v>27</v>
      </c>
    </row>
    <row r="93" customFormat="false" ht="17.15" hidden="false" customHeight="false" outlineLevel="0" collapsed="false">
      <c r="A93" s="2" t="s">
        <v>1244</v>
      </c>
      <c r="B93" s="2" t="s">
        <v>1228</v>
      </c>
      <c r="C93" s="2" t="s">
        <v>273</v>
      </c>
      <c r="D93" s="2" t="s">
        <v>1229</v>
      </c>
      <c r="E93" s="2" t="s">
        <v>1051</v>
      </c>
      <c r="F93" s="2" t="s">
        <v>328</v>
      </c>
      <c r="G93" s="2" t="str">
        <f aca="false">IFERROR(INDEX(Prices_Item,MATCH(F93,Prices_ID,0)),"ITEM NOT FOUND")</f>
        <v>Stihl trimmer line, 253 m</v>
      </c>
      <c r="H93" s="7" t="n">
        <v>0.098814</v>
      </c>
      <c r="I93" s="2" t="s">
        <v>1245</v>
      </c>
      <c r="J93" s="3" t="n">
        <f aca="false">IFERROR(INDEX(Prices_Current,MATCH(F93,Prices_ID,0)),"")</f>
        <v>564</v>
      </c>
      <c r="K93" s="2" t="s">
        <v>1100</v>
      </c>
      <c r="L93" s="3" t="n">
        <f aca="false">IF(OR(H93="",NOT(ISNUMBER(J93))),"",H93*J93)</f>
        <v>55.731096</v>
      </c>
      <c r="M93" s="2" t="str">
        <f aca="false">IFERROR(INDEX(Prices_Flag,MATCH(F93,Prices_ID,0)),"")</f>
        <v>none</v>
      </c>
      <c r="N93" s="2"/>
      <c r="O93" s="0" t="s">
        <v>1231</v>
      </c>
      <c r="P93" s="8" t="s">
        <v>1232</v>
      </c>
      <c r="Q93" s="0" t="s">
        <v>27</v>
      </c>
    </row>
    <row r="94" customFormat="false" ht="17.15" hidden="false" customHeight="false" outlineLevel="0" collapsed="false">
      <c r="A94" s="2" t="s">
        <v>1246</v>
      </c>
      <c r="B94" s="2" t="s">
        <v>1228</v>
      </c>
      <c r="C94" s="2" t="s">
        <v>273</v>
      </c>
      <c r="D94" s="2" t="s">
        <v>1229</v>
      </c>
      <c r="E94" s="2" t="s">
        <v>1051</v>
      </c>
      <c r="F94" s="2" t="s">
        <v>339</v>
      </c>
      <c r="G94" s="2" t="str">
        <f aca="false">IFERROR(INDEX(Prices_Item,MATCH(F94,Prices_ID,0)),"ITEM NOT FOUND")</f>
        <v>Heavy garden bags, roll of 20</v>
      </c>
      <c r="H94" s="7" t="n">
        <v>0.5</v>
      </c>
      <c r="I94" s="2" t="s">
        <v>1242</v>
      </c>
      <c r="J94" s="3" t="n">
        <f aca="false">IFERROR(INDEX(Prices_Current,MATCH(F94,Prices_ID,0)),"")</f>
        <v>175</v>
      </c>
      <c r="K94" s="2" t="s">
        <v>1100</v>
      </c>
      <c r="L94" s="3" t="n">
        <f aca="false">IF(OR(H94="",NOT(ISNUMBER(J94))),"",H94*J94)</f>
        <v>87.5</v>
      </c>
      <c r="M94" s="2" t="str">
        <f aca="false">IFERROR(INDEX(Prices_Flag,MATCH(F94,Prices_ID,0)),"")</f>
        <v>none</v>
      </c>
      <c r="N94" s="2"/>
      <c r="O94" s="0" t="s">
        <v>1231</v>
      </c>
      <c r="P94" s="8" t="s">
        <v>1232</v>
      </c>
      <c r="Q94" s="0" t="s">
        <v>27</v>
      </c>
    </row>
    <row r="95" customFormat="false" ht="17.15" hidden="false" customHeight="false" outlineLevel="0" collapsed="false">
      <c r="A95" s="2" t="s">
        <v>1247</v>
      </c>
      <c r="B95" s="2" t="s">
        <v>1228</v>
      </c>
      <c r="C95" s="2" t="s">
        <v>273</v>
      </c>
      <c r="D95" s="2" t="s">
        <v>1229</v>
      </c>
      <c r="E95" s="2" t="s">
        <v>1051</v>
      </c>
      <c r="F95" s="2" t="s">
        <v>379</v>
      </c>
      <c r="G95" s="2" t="str">
        <f aca="false">IFERROR(INDEX(Prices_Item,MATCH(F95,Prices_ID,0)),"ITEM NOT FOUND")</f>
        <v>Landscape fabric + staples, premium</v>
      </c>
      <c r="H95" s="7" t="n">
        <v>1</v>
      </c>
      <c r="I95" s="2" t="s">
        <v>1163</v>
      </c>
      <c r="J95" s="3" t="n">
        <f aca="false">IFERROR(INDEX(Prices_Current,MATCH(F95,Prices_ID,0)),"")</f>
        <v>570</v>
      </c>
      <c r="K95" s="2" t="s">
        <v>1044</v>
      </c>
      <c r="L95" s="3" t="n">
        <f aca="false">IF(OR(H95="",NOT(ISNUMBER(J95))),"",H95*J95)</f>
        <v>570</v>
      </c>
      <c r="M95" s="2" t="str">
        <f aca="false">IFERROR(INDEX(Prices_Flag,MATCH(F95,Prices_ID,0)),"")</f>
        <v>none</v>
      </c>
      <c r="N95" s="2"/>
      <c r="O95" s="0" t="s">
        <v>1231</v>
      </c>
      <c r="P95" s="8" t="s">
        <v>1232</v>
      </c>
      <c r="Q95" s="0" t="s">
        <v>27</v>
      </c>
    </row>
    <row r="96" customFormat="false" ht="17.15" hidden="false" customHeight="false" outlineLevel="0" collapsed="false">
      <c r="A96" s="2" t="s">
        <v>1248</v>
      </c>
      <c r="B96" s="2" t="s">
        <v>1249</v>
      </c>
      <c r="C96" s="2" t="s">
        <v>273</v>
      </c>
      <c r="D96" s="2" t="s">
        <v>1250</v>
      </c>
      <c r="E96" s="2" t="s">
        <v>1042</v>
      </c>
      <c r="F96" s="2" t="s">
        <v>334</v>
      </c>
      <c r="G96" s="2" t="str">
        <f aca="false">IFERROR(INDEX(Prices_Item,MATCH(F96,Prices_ID,0)),"ITEM NOT FOUND")</f>
        <v>Servibolsa garden bags, 40 pc</v>
      </c>
      <c r="H96" s="7" t="n">
        <v>0.15</v>
      </c>
      <c r="I96" s="2" t="s">
        <v>1251</v>
      </c>
      <c r="J96" s="3" t="n">
        <f aca="false">IFERROR(INDEX(Prices_Current,MATCH(F96,Prices_ID,0)),"")</f>
        <v>159</v>
      </c>
      <c r="K96" s="2" t="s">
        <v>1100</v>
      </c>
      <c r="L96" s="3" t="n">
        <f aca="false">IF(OR(H96="",NOT(ISNUMBER(J96))),"",H96*J96)</f>
        <v>23.85</v>
      </c>
      <c r="M96" s="2" t="str">
        <f aca="false">IFERROR(INDEX(Prices_Flag,MATCH(F96,Prices_ID,0)),"")</f>
        <v>none</v>
      </c>
      <c r="N96" s="2"/>
      <c r="O96" s="0" t="s">
        <v>1252</v>
      </c>
      <c r="P96" s="8" t="s">
        <v>1253</v>
      </c>
      <c r="Q96" s="0" t="s">
        <v>27</v>
      </c>
    </row>
    <row r="97" customFormat="false" ht="17.15" hidden="false" customHeight="false" outlineLevel="0" collapsed="false">
      <c r="A97" s="2" t="s">
        <v>1254</v>
      </c>
      <c r="B97" s="2" t="s">
        <v>1249</v>
      </c>
      <c r="C97" s="2" t="s">
        <v>273</v>
      </c>
      <c r="D97" s="2" t="s">
        <v>1250</v>
      </c>
      <c r="E97" s="2" t="s">
        <v>1042</v>
      </c>
      <c r="F97" s="2" t="s">
        <v>381</v>
      </c>
      <c r="G97" s="2" t="str">
        <f aca="false">IFERROR(INDEX(Prices_Item,MATCH(F97,Prices_ID,0)),"ITEM NOT FOUND")</f>
        <v>Truper cable ties, 100 pc</v>
      </c>
      <c r="H97" s="7" t="n">
        <v>0.2</v>
      </c>
      <c r="I97" s="2" t="s">
        <v>1255</v>
      </c>
      <c r="J97" s="3" t="n">
        <f aca="false">IFERROR(INDEX(Prices_Current,MATCH(F97,Prices_ID,0)),"")</f>
        <v>34</v>
      </c>
      <c r="K97" s="2" t="s">
        <v>1100</v>
      </c>
      <c r="L97" s="3" t="n">
        <f aca="false">IF(OR(H97="",NOT(ISNUMBER(J97))),"",H97*J97)</f>
        <v>6.8</v>
      </c>
      <c r="M97" s="2" t="str">
        <f aca="false">IFERROR(INDEX(Prices_Flag,MATCH(F97,Prices_ID,0)),"")</f>
        <v>none</v>
      </c>
      <c r="N97" s="2"/>
      <c r="O97" s="0" t="s">
        <v>1252</v>
      </c>
      <c r="P97" s="8" t="s">
        <v>1253</v>
      </c>
      <c r="Q97" s="0" t="s">
        <v>27</v>
      </c>
    </row>
    <row r="98" customFormat="false" ht="17.15" hidden="false" customHeight="false" outlineLevel="0" collapsed="false">
      <c r="A98" s="2" t="s">
        <v>1256</v>
      </c>
      <c r="B98" s="2" t="s">
        <v>1249</v>
      </c>
      <c r="C98" s="2" t="s">
        <v>273</v>
      </c>
      <c r="D98" s="2" t="s">
        <v>1250</v>
      </c>
      <c r="E98" s="2" t="s">
        <v>1042</v>
      </c>
      <c r="F98" s="2" t="s">
        <v>390</v>
      </c>
      <c r="G98" s="2" t="str">
        <f aca="false">IFERROR(INDEX(Prices_Item,MATCH(F98,Prices_ID,0)),"ITEM NOT FOUND")</f>
        <v>Podalid pruning sealant</v>
      </c>
      <c r="H98" s="7" t="n">
        <v>1</v>
      </c>
      <c r="I98" s="2" t="s">
        <v>1257</v>
      </c>
      <c r="J98" s="3" t="n">
        <f aca="false">IFERROR(INDEX(Prices_Current,MATCH(F98,Prices_ID,0)),"")</f>
        <v>420</v>
      </c>
      <c r="K98" s="2" t="s">
        <v>1044</v>
      </c>
      <c r="L98" s="3" t="n">
        <f aca="false">IF(OR(H98="",NOT(ISNUMBER(J98))),"",H98*J98)</f>
        <v>420</v>
      </c>
      <c r="M98" s="2" t="str">
        <f aca="false">IFERROR(INDEX(Prices_Flag,MATCH(F98,Prices_ID,0)),"")</f>
        <v>none</v>
      </c>
      <c r="N98" s="2"/>
      <c r="O98" s="0" t="s">
        <v>1252</v>
      </c>
      <c r="P98" s="8" t="s">
        <v>1253</v>
      </c>
      <c r="Q98" s="0" t="s">
        <v>27</v>
      </c>
    </row>
    <row r="99" customFormat="false" ht="17.15" hidden="false" customHeight="false" outlineLevel="0" collapsed="false">
      <c r="A99" s="2" t="s">
        <v>1258</v>
      </c>
      <c r="B99" s="2" t="s">
        <v>1249</v>
      </c>
      <c r="C99" s="2" t="s">
        <v>273</v>
      </c>
      <c r="D99" s="2" t="s">
        <v>1250</v>
      </c>
      <c r="E99" s="2" t="s">
        <v>1049</v>
      </c>
      <c r="F99" s="2" t="s">
        <v>339</v>
      </c>
      <c r="G99" s="2" t="str">
        <f aca="false">IFERROR(INDEX(Prices_Item,MATCH(F99,Prices_ID,0)),"ITEM NOT FOUND")</f>
        <v>Heavy garden bags, roll of 20</v>
      </c>
      <c r="H99" s="7" t="n">
        <v>0.3</v>
      </c>
      <c r="I99" s="2" t="s">
        <v>1259</v>
      </c>
      <c r="J99" s="3" t="n">
        <f aca="false">IFERROR(INDEX(Prices_Current,MATCH(F99,Prices_ID,0)),"")</f>
        <v>175</v>
      </c>
      <c r="K99" s="2" t="s">
        <v>1100</v>
      </c>
      <c r="L99" s="3" t="n">
        <f aca="false">IF(OR(H99="",NOT(ISNUMBER(J99))),"",H99*J99)</f>
        <v>52.5</v>
      </c>
      <c r="M99" s="2" t="str">
        <f aca="false">IFERROR(INDEX(Prices_Flag,MATCH(F99,Prices_ID,0)),"")</f>
        <v>none</v>
      </c>
      <c r="N99" s="2"/>
      <c r="O99" s="0" t="s">
        <v>1252</v>
      </c>
      <c r="P99" s="8" t="s">
        <v>1253</v>
      </c>
      <c r="Q99" s="0" t="s">
        <v>27</v>
      </c>
    </row>
    <row r="100" customFormat="false" ht="17.15" hidden="false" customHeight="false" outlineLevel="0" collapsed="false">
      <c r="A100" s="2" t="s">
        <v>1260</v>
      </c>
      <c r="B100" s="2" t="s">
        <v>1249</v>
      </c>
      <c r="C100" s="2" t="s">
        <v>273</v>
      </c>
      <c r="D100" s="2" t="s">
        <v>1250</v>
      </c>
      <c r="E100" s="2" t="s">
        <v>1049</v>
      </c>
      <c r="F100" s="2" t="s">
        <v>386</v>
      </c>
      <c r="G100" s="2" t="str">
        <f aca="false">IFERROR(INDEX(Prices_Item,MATCH(F100,Prices_ID,0)),"ITEM NOT FOUND")</f>
        <v>Diheresa cable ties</v>
      </c>
      <c r="H100" s="7" t="n">
        <v>0.2</v>
      </c>
      <c r="I100" s="2" t="s">
        <v>1261</v>
      </c>
      <c r="J100" s="3" t="n">
        <f aca="false">IFERROR(INDEX(Prices_Current,MATCH(F100,Prices_ID,0)),"")</f>
        <v>38.45</v>
      </c>
      <c r="K100" s="2" t="s">
        <v>1100</v>
      </c>
      <c r="L100" s="3" t="n">
        <f aca="false">IF(OR(H100="",NOT(ISNUMBER(J100))),"",H100*J100)</f>
        <v>7.69</v>
      </c>
      <c r="M100" s="2" t="str">
        <f aca="false">IFERROR(INDEX(Prices_Flag,MATCH(F100,Prices_ID,0)),"")</f>
        <v>none</v>
      </c>
      <c r="N100" s="2"/>
      <c r="O100" s="0" t="s">
        <v>1252</v>
      </c>
      <c r="P100" s="8" t="s">
        <v>1253</v>
      </c>
      <c r="Q100" s="0" t="s">
        <v>27</v>
      </c>
    </row>
    <row r="101" customFormat="false" ht="17.15" hidden="false" customHeight="false" outlineLevel="0" collapsed="false">
      <c r="A101" s="2" t="s">
        <v>1262</v>
      </c>
      <c r="B101" s="2" t="s">
        <v>1249</v>
      </c>
      <c r="C101" s="2" t="s">
        <v>273</v>
      </c>
      <c r="D101" s="2" t="s">
        <v>1250</v>
      </c>
      <c r="E101" s="2" t="s">
        <v>1049</v>
      </c>
      <c r="F101" s="2" t="s">
        <v>390</v>
      </c>
      <c r="G101" s="2" t="str">
        <f aca="false">IFERROR(INDEX(Prices_Item,MATCH(F101,Prices_ID,0)),"ITEM NOT FOUND")</f>
        <v>Podalid pruning sealant</v>
      </c>
      <c r="H101" s="7" t="n">
        <v>1</v>
      </c>
      <c r="I101" s="2" t="s">
        <v>1257</v>
      </c>
      <c r="J101" s="3" t="n">
        <f aca="false">IFERROR(INDEX(Prices_Current,MATCH(F101,Prices_ID,0)),"")</f>
        <v>420</v>
      </c>
      <c r="K101" s="2" t="s">
        <v>1044</v>
      </c>
      <c r="L101" s="3" t="n">
        <f aca="false">IF(OR(H101="",NOT(ISNUMBER(J101))),"",H101*J101)</f>
        <v>420</v>
      </c>
      <c r="M101" s="2" t="str">
        <f aca="false">IFERROR(INDEX(Prices_Flag,MATCH(F101,Prices_ID,0)),"")</f>
        <v>none</v>
      </c>
      <c r="N101" s="2"/>
      <c r="O101" s="0" t="s">
        <v>1252</v>
      </c>
      <c r="P101" s="8" t="s">
        <v>1253</v>
      </c>
      <c r="Q101" s="0" t="s">
        <v>27</v>
      </c>
    </row>
    <row r="102" customFormat="false" ht="17.15" hidden="false" customHeight="false" outlineLevel="0" collapsed="false">
      <c r="A102" s="2" t="s">
        <v>1263</v>
      </c>
      <c r="B102" s="2" t="s">
        <v>1249</v>
      </c>
      <c r="C102" s="2" t="s">
        <v>273</v>
      </c>
      <c r="D102" s="2" t="s">
        <v>1250</v>
      </c>
      <c r="E102" s="2" t="s">
        <v>1051</v>
      </c>
      <c r="F102" s="2" t="s">
        <v>339</v>
      </c>
      <c r="G102" s="2" t="str">
        <f aca="false">IFERROR(INDEX(Prices_Item,MATCH(F102,Prices_ID,0)),"ITEM NOT FOUND")</f>
        <v>Heavy garden bags, roll of 20</v>
      </c>
      <c r="H102" s="7" t="n">
        <v>0.3</v>
      </c>
      <c r="I102" s="2" t="s">
        <v>1259</v>
      </c>
      <c r="J102" s="3" t="n">
        <f aca="false">IFERROR(INDEX(Prices_Current,MATCH(F102,Prices_ID,0)),"")</f>
        <v>175</v>
      </c>
      <c r="K102" s="2" t="s">
        <v>1100</v>
      </c>
      <c r="L102" s="3" t="n">
        <f aca="false">IF(OR(H102="",NOT(ISNUMBER(J102))),"",H102*J102)</f>
        <v>52.5</v>
      </c>
      <c r="M102" s="2" t="str">
        <f aca="false">IFERROR(INDEX(Prices_Flag,MATCH(F102,Prices_ID,0)),"")</f>
        <v>none</v>
      </c>
      <c r="N102" s="2"/>
      <c r="O102" s="0" t="s">
        <v>1252</v>
      </c>
      <c r="P102" s="8" t="s">
        <v>1253</v>
      </c>
      <c r="Q102" s="0" t="s">
        <v>27</v>
      </c>
    </row>
    <row r="103" customFormat="false" ht="17.15" hidden="false" customHeight="false" outlineLevel="0" collapsed="false">
      <c r="A103" s="2" t="s">
        <v>1264</v>
      </c>
      <c r="B103" s="2" t="s">
        <v>1249</v>
      </c>
      <c r="C103" s="2" t="s">
        <v>273</v>
      </c>
      <c r="D103" s="2" t="s">
        <v>1250</v>
      </c>
      <c r="E103" s="2" t="s">
        <v>1051</v>
      </c>
      <c r="F103" s="2" t="s">
        <v>386</v>
      </c>
      <c r="G103" s="2" t="str">
        <f aca="false">IFERROR(INDEX(Prices_Item,MATCH(F103,Prices_ID,0)),"ITEM NOT FOUND")</f>
        <v>Diheresa cable ties</v>
      </c>
      <c r="H103" s="7" t="n">
        <v>0.2</v>
      </c>
      <c r="I103" s="2" t="s">
        <v>1261</v>
      </c>
      <c r="J103" s="3" t="n">
        <f aca="false">IFERROR(INDEX(Prices_Current,MATCH(F103,Prices_ID,0)),"")</f>
        <v>38.45</v>
      </c>
      <c r="K103" s="2" t="s">
        <v>1100</v>
      </c>
      <c r="L103" s="3" t="n">
        <f aca="false">IF(OR(H103="",NOT(ISNUMBER(J103))),"",H103*J103)</f>
        <v>7.69</v>
      </c>
      <c r="M103" s="2" t="str">
        <f aca="false">IFERROR(INDEX(Prices_Flag,MATCH(F103,Prices_ID,0)),"")</f>
        <v>none</v>
      </c>
      <c r="N103" s="2"/>
      <c r="O103" s="0" t="s">
        <v>1252</v>
      </c>
      <c r="P103" s="8" t="s">
        <v>1253</v>
      </c>
      <c r="Q103" s="0" t="s">
        <v>27</v>
      </c>
    </row>
    <row r="104" customFormat="false" ht="17.15" hidden="false" customHeight="false" outlineLevel="0" collapsed="false">
      <c r="A104" s="2" t="s">
        <v>1265</v>
      </c>
      <c r="B104" s="2" t="s">
        <v>1249</v>
      </c>
      <c r="C104" s="2" t="s">
        <v>273</v>
      </c>
      <c r="D104" s="2" t="s">
        <v>1250</v>
      </c>
      <c r="E104" s="2" t="s">
        <v>1051</v>
      </c>
      <c r="F104" s="2" t="s">
        <v>390</v>
      </c>
      <c r="G104" s="2" t="str">
        <f aca="false">IFERROR(INDEX(Prices_Item,MATCH(F104,Prices_ID,0)),"ITEM NOT FOUND")</f>
        <v>Podalid pruning sealant</v>
      </c>
      <c r="H104" s="7" t="n">
        <v>1</v>
      </c>
      <c r="I104" s="2" t="s">
        <v>1257</v>
      </c>
      <c r="J104" s="3" t="n">
        <f aca="false">IFERROR(INDEX(Prices_Current,MATCH(F104,Prices_ID,0)),"")</f>
        <v>420</v>
      </c>
      <c r="K104" s="2" t="s">
        <v>1044</v>
      </c>
      <c r="L104" s="3" t="n">
        <f aca="false">IF(OR(H104="",NOT(ISNUMBER(J104))),"",H104*J104)</f>
        <v>420</v>
      </c>
      <c r="M104" s="2" t="str">
        <f aca="false">IFERROR(INDEX(Prices_Flag,MATCH(F104,Prices_ID,0)),"")</f>
        <v>none</v>
      </c>
      <c r="N104" s="2"/>
      <c r="O104" s="0" t="s">
        <v>1252</v>
      </c>
      <c r="P104" s="8" t="s">
        <v>1253</v>
      </c>
      <c r="Q104" s="0" t="s">
        <v>27</v>
      </c>
    </row>
    <row r="105" customFormat="false" ht="17.15" hidden="false" customHeight="false" outlineLevel="0" collapsed="false">
      <c r="A105" s="2" t="s">
        <v>1266</v>
      </c>
      <c r="B105" s="2" t="s">
        <v>1267</v>
      </c>
      <c r="C105" s="2" t="s">
        <v>397</v>
      </c>
      <c r="D105" s="2" t="s">
        <v>1268</v>
      </c>
      <c r="E105" s="2" t="s">
        <v>1042</v>
      </c>
      <c r="F105" s="2" t="s">
        <v>396</v>
      </c>
      <c r="G105" s="2" t="str">
        <f aca="false">IFERROR(INDEX(Prices_Item,MATCH(F105,Prices_ID,0)),"ITEM NOT FOUND")</f>
        <v>Interceramic tile adhesive</v>
      </c>
      <c r="H105" s="7" t="n">
        <v>7</v>
      </c>
      <c r="I105" s="2" t="s">
        <v>1269</v>
      </c>
      <c r="J105" s="3" t="n">
        <f aca="false">IFERROR(INDEX(Prices_Current,MATCH(F105,Prices_ID,0)),"")</f>
        <v>199</v>
      </c>
      <c r="K105" s="2" t="s">
        <v>1100</v>
      </c>
      <c r="L105" s="3" t="n">
        <f aca="false">IF(OR(H105="",NOT(ISNUMBER(J105))),"",H105*J105)</f>
        <v>1393</v>
      </c>
      <c r="M105" s="2" t="str">
        <f aca="false">IFERROR(INDEX(Prices_Flag,MATCH(F105,Prices_ID,0)),"")</f>
        <v>none</v>
      </c>
      <c r="N105" s="2"/>
      <c r="O105" s="0" t="s">
        <v>1270</v>
      </c>
      <c r="P105" s="8" t="s">
        <v>1271</v>
      </c>
      <c r="Q105" s="0" t="s">
        <v>27</v>
      </c>
    </row>
    <row r="106" customFormat="false" ht="17.15" hidden="false" customHeight="false" outlineLevel="0" collapsed="false">
      <c r="A106" s="2" t="s">
        <v>1272</v>
      </c>
      <c r="B106" s="2" t="s">
        <v>1267</v>
      </c>
      <c r="C106" s="2" t="s">
        <v>397</v>
      </c>
      <c r="D106" s="2" t="s">
        <v>1268</v>
      </c>
      <c r="E106" s="2" t="s">
        <v>1042</v>
      </c>
      <c r="F106" s="2" t="s">
        <v>406</v>
      </c>
      <c r="G106" s="2" t="str">
        <f aca="false">IFERROR(INDEX(Prices_Item,MATCH(F106,Prices_ID,0)),"ITEM NOT FOUND")</f>
        <v>Bexel grout</v>
      </c>
      <c r="H106" s="7" t="n">
        <v>1</v>
      </c>
      <c r="I106" s="2" t="s">
        <v>1273</v>
      </c>
      <c r="J106" s="3" t="n">
        <f aca="false">IFERROR(INDEX(Prices_Current,MATCH(F106,Prices_ID,0)),"")</f>
        <v>239</v>
      </c>
      <c r="K106" s="2" t="s">
        <v>1100</v>
      </c>
      <c r="L106" s="3" t="n">
        <f aca="false">IF(OR(H106="",NOT(ISNUMBER(J106))),"",H106*J106)</f>
        <v>239</v>
      </c>
      <c r="M106" s="2" t="str">
        <f aca="false">IFERROR(INDEX(Prices_Flag,MATCH(F106,Prices_ID,0)),"")</f>
        <v>none</v>
      </c>
      <c r="N106" s="2"/>
      <c r="O106" s="0" t="s">
        <v>1270</v>
      </c>
      <c r="P106" s="8" t="s">
        <v>1271</v>
      </c>
      <c r="Q106" s="0" t="s">
        <v>27</v>
      </c>
    </row>
    <row r="107" customFormat="false" ht="17.15" hidden="false" customHeight="false" outlineLevel="0" collapsed="false">
      <c r="A107" s="2" t="s">
        <v>1274</v>
      </c>
      <c r="B107" s="2" t="s">
        <v>1267</v>
      </c>
      <c r="C107" s="2" t="s">
        <v>397</v>
      </c>
      <c r="D107" s="2" t="s">
        <v>1268</v>
      </c>
      <c r="E107" s="2" t="s">
        <v>1042</v>
      </c>
      <c r="F107" s="2" t="s">
        <v>418</v>
      </c>
      <c r="G107" s="2" t="str">
        <f aca="false">IFERROR(INDEX(Prices_Item,MATCH(F107,Prices_ID,0)),"ITEM NOT FOUND")</f>
        <v>Tile spacers (budget)</v>
      </c>
      <c r="H107" s="7" t="n">
        <v>1</v>
      </c>
      <c r="I107" s="2" t="s">
        <v>1275</v>
      </c>
      <c r="J107" s="3" t="n">
        <f aca="false">IFERROR(INDEX(Prices_Current,MATCH(F107,Prices_ID,0)),"")</f>
        <v>62</v>
      </c>
      <c r="K107" s="2" t="s">
        <v>1100</v>
      </c>
      <c r="L107" s="3" t="n">
        <f aca="false">IF(OR(H107="",NOT(ISNUMBER(J107))),"",H107*J107)</f>
        <v>62</v>
      </c>
      <c r="M107" s="2" t="str">
        <f aca="false">IFERROR(INDEX(Prices_Flag,MATCH(F107,Prices_ID,0)),"")</f>
        <v>none</v>
      </c>
      <c r="N107" s="2"/>
      <c r="O107" s="0" t="s">
        <v>1270</v>
      </c>
      <c r="P107" s="8" t="s">
        <v>1271</v>
      </c>
      <c r="Q107" s="0" t="s">
        <v>27</v>
      </c>
    </row>
    <row r="108" customFormat="false" ht="17.15" hidden="false" customHeight="false" outlineLevel="0" collapsed="false">
      <c r="A108" s="2" t="s">
        <v>1276</v>
      </c>
      <c r="B108" s="2" t="s">
        <v>1267</v>
      </c>
      <c r="C108" s="2" t="s">
        <v>397</v>
      </c>
      <c r="D108" s="2" t="s">
        <v>1268</v>
      </c>
      <c r="E108" s="2" t="s">
        <v>1049</v>
      </c>
      <c r="F108" s="2" t="s">
        <v>401</v>
      </c>
      <c r="G108" s="2" t="str">
        <f aca="false">IFERROR(INDEX(Prices_Item,MATCH(F108,Prices_ID,0)),"ITEM NOT FOUND")</f>
        <v>Crest Total tile adhesive</v>
      </c>
      <c r="H108" s="7" t="n">
        <v>7</v>
      </c>
      <c r="I108" s="2" t="s">
        <v>1269</v>
      </c>
      <c r="J108" s="3" t="n">
        <f aca="false">IFERROR(INDEX(Prices_Current,MATCH(F108,Prices_ID,0)),"")</f>
        <v>348</v>
      </c>
      <c r="K108" s="2" t="s">
        <v>1100</v>
      </c>
      <c r="L108" s="3" t="n">
        <f aca="false">IF(OR(H108="",NOT(ISNUMBER(J108))),"",H108*J108)</f>
        <v>2436</v>
      </c>
      <c r="M108" s="2" t="str">
        <f aca="false">IFERROR(INDEX(Prices_Flag,MATCH(F108,Prices_ID,0)),"")</f>
        <v>none</v>
      </c>
      <c r="N108" s="2"/>
      <c r="O108" s="0" t="s">
        <v>1270</v>
      </c>
      <c r="P108" s="8" t="s">
        <v>1271</v>
      </c>
      <c r="Q108" s="0" t="s">
        <v>27</v>
      </c>
    </row>
    <row r="109" customFormat="false" ht="17.15" hidden="false" customHeight="false" outlineLevel="0" collapsed="false">
      <c r="A109" s="2" t="s">
        <v>1277</v>
      </c>
      <c r="B109" s="2" t="s">
        <v>1267</v>
      </c>
      <c r="C109" s="2" t="s">
        <v>397</v>
      </c>
      <c r="D109" s="2" t="s">
        <v>1268</v>
      </c>
      <c r="E109" s="2" t="s">
        <v>1049</v>
      </c>
      <c r="F109" s="2" t="s">
        <v>410</v>
      </c>
      <c r="G109" s="2" t="str">
        <f aca="false">IFERROR(INDEX(Prices_Item,MATCH(F109,Prices_ID,0)),"ITEM NOT FOUND")</f>
        <v>Crest grout</v>
      </c>
      <c r="H109" s="7" t="n">
        <v>1</v>
      </c>
      <c r="I109" s="2" t="s">
        <v>1273</v>
      </c>
      <c r="J109" s="3" t="n">
        <f aca="false">IFERROR(INDEX(Prices_Current,MATCH(F109,Prices_ID,0)),"")</f>
        <v>322</v>
      </c>
      <c r="K109" s="2" t="s">
        <v>1100</v>
      </c>
      <c r="L109" s="3" t="n">
        <f aca="false">IF(OR(H109="",NOT(ISNUMBER(J109))),"",H109*J109)</f>
        <v>322</v>
      </c>
      <c r="M109" s="2" t="str">
        <f aca="false">IFERROR(INDEX(Prices_Flag,MATCH(F109,Prices_ID,0)),"")</f>
        <v>none</v>
      </c>
      <c r="N109" s="2"/>
      <c r="O109" s="0" t="s">
        <v>1270</v>
      </c>
      <c r="P109" s="8" t="s">
        <v>1271</v>
      </c>
      <c r="Q109" s="0" t="s">
        <v>27</v>
      </c>
    </row>
    <row r="110" customFormat="false" ht="17.15" hidden="false" customHeight="false" outlineLevel="0" collapsed="false">
      <c r="A110" s="2" t="s">
        <v>1278</v>
      </c>
      <c r="B110" s="2" t="s">
        <v>1267</v>
      </c>
      <c r="C110" s="2" t="s">
        <v>397</v>
      </c>
      <c r="D110" s="2" t="s">
        <v>1268</v>
      </c>
      <c r="E110" s="2" t="s">
        <v>1049</v>
      </c>
      <c r="F110" s="2" t="s">
        <v>422</v>
      </c>
      <c r="G110" s="2" t="str">
        <f aca="false">IFERROR(INDEX(Prices_Item,MATCH(F110,Prices_ID,0)),"ITEM NOT FOUND")</f>
        <v>Rubi tile spacers</v>
      </c>
      <c r="H110" s="7" t="n">
        <v>1</v>
      </c>
      <c r="I110" s="2" t="s">
        <v>1275</v>
      </c>
      <c r="J110" s="3" t="n">
        <f aca="false">IFERROR(INDEX(Prices_Current,MATCH(F110,Prices_ID,0)),"")</f>
        <v>104</v>
      </c>
      <c r="K110" s="2" t="s">
        <v>1100</v>
      </c>
      <c r="L110" s="3" t="n">
        <f aca="false">IF(OR(H110="",NOT(ISNUMBER(J110))),"",H110*J110)</f>
        <v>104</v>
      </c>
      <c r="M110" s="2" t="str">
        <f aca="false">IFERROR(INDEX(Prices_Flag,MATCH(F110,Prices_ID,0)),"")</f>
        <v>none</v>
      </c>
      <c r="N110" s="2"/>
      <c r="O110" s="0" t="s">
        <v>1270</v>
      </c>
      <c r="P110" s="8" t="s">
        <v>1271</v>
      </c>
      <c r="Q110" s="0" t="s">
        <v>27</v>
      </c>
    </row>
    <row r="111" customFormat="false" ht="17.15" hidden="false" customHeight="false" outlineLevel="0" collapsed="false">
      <c r="A111" s="2" t="s">
        <v>1279</v>
      </c>
      <c r="B111" s="2" t="s">
        <v>1267</v>
      </c>
      <c r="C111" s="2" t="s">
        <v>397</v>
      </c>
      <c r="D111" s="2" t="s">
        <v>1268</v>
      </c>
      <c r="E111" s="2" t="s">
        <v>1051</v>
      </c>
      <c r="F111" s="2" t="s">
        <v>401</v>
      </c>
      <c r="G111" s="2" t="str">
        <f aca="false">IFERROR(INDEX(Prices_Item,MATCH(F111,Prices_ID,0)),"ITEM NOT FOUND")</f>
        <v>Crest Total tile adhesive</v>
      </c>
      <c r="H111" s="7" t="n">
        <v>7</v>
      </c>
      <c r="I111" s="2" t="s">
        <v>1269</v>
      </c>
      <c r="J111" s="3" t="n">
        <f aca="false">IFERROR(INDEX(Prices_Current,MATCH(F111,Prices_ID,0)),"")</f>
        <v>348</v>
      </c>
      <c r="K111" s="2" t="s">
        <v>1100</v>
      </c>
      <c r="L111" s="3" t="n">
        <f aca="false">IF(OR(H111="",NOT(ISNUMBER(J111))),"",H111*J111)</f>
        <v>2436</v>
      </c>
      <c r="M111" s="2" t="str">
        <f aca="false">IFERROR(INDEX(Prices_Flag,MATCH(F111,Prices_ID,0)),"")</f>
        <v>none</v>
      </c>
      <c r="N111" s="2"/>
      <c r="O111" s="0" t="s">
        <v>1270</v>
      </c>
      <c r="P111" s="8" t="s">
        <v>1271</v>
      </c>
      <c r="Q111" s="0" t="s">
        <v>27</v>
      </c>
    </row>
    <row r="112" customFormat="false" ht="17.15" hidden="false" customHeight="false" outlineLevel="0" collapsed="false">
      <c r="A112" s="2" t="s">
        <v>1280</v>
      </c>
      <c r="B112" s="2" t="s">
        <v>1267</v>
      </c>
      <c r="C112" s="2" t="s">
        <v>397</v>
      </c>
      <c r="D112" s="2" t="s">
        <v>1268</v>
      </c>
      <c r="E112" s="2" t="s">
        <v>1051</v>
      </c>
      <c r="F112" s="2" t="s">
        <v>413</v>
      </c>
      <c r="G112" s="2" t="str">
        <f aca="false">IFERROR(INDEX(Prices_Item,MATCH(F112,Prices_ID,0)),"ITEM NOT FOUND")</f>
        <v>Niasa grout</v>
      </c>
      <c r="H112" s="7" t="n">
        <v>2</v>
      </c>
      <c r="I112" s="2" t="s">
        <v>1281</v>
      </c>
      <c r="J112" s="3" t="n">
        <f aca="false">IFERROR(INDEX(Prices_Current,MATCH(F112,Prices_ID,0)),"")</f>
        <v>235</v>
      </c>
      <c r="K112" s="2" t="s">
        <v>1100</v>
      </c>
      <c r="L112" s="3" t="n">
        <f aca="false">IF(OR(H112="",NOT(ISNUMBER(J112))),"",H112*J112)</f>
        <v>470</v>
      </c>
      <c r="M112" s="2" t="str">
        <f aca="false">IFERROR(INDEX(Prices_Flag,MATCH(F112,Prices_ID,0)),"")</f>
        <v>none</v>
      </c>
      <c r="N112" s="2"/>
      <c r="O112" s="0" t="s">
        <v>1270</v>
      </c>
      <c r="P112" s="8" t="s">
        <v>1271</v>
      </c>
      <c r="Q112" s="0" t="s">
        <v>27</v>
      </c>
    </row>
    <row r="113" customFormat="false" ht="17.15" hidden="false" customHeight="false" outlineLevel="0" collapsed="false">
      <c r="A113" s="2" t="s">
        <v>1282</v>
      </c>
      <c r="B113" s="2" t="s">
        <v>1267</v>
      </c>
      <c r="C113" s="2" t="s">
        <v>397</v>
      </c>
      <c r="D113" s="2" t="s">
        <v>1268</v>
      </c>
      <c r="E113" s="2" t="s">
        <v>1051</v>
      </c>
      <c r="F113" s="2" t="s">
        <v>425</v>
      </c>
      <c r="G113" s="2" t="str">
        <f aca="false">IFERROR(INDEX(Prices_Item,MATCH(F113,Prices_ID,0)),"ITEM NOT FOUND")</f>
        <v>Rubi tile leveling clips</v>
      </c>
      <c r="H113" s="7" t="n">
        <v>1</v>
      </c>
      <c r="I113" s="2" t="s">
        <v>1275</v>
      </c>
      <c r="J113" s="3" t="n">
        <f aca="false">IFERROR(INDEX(Prices_Current,MATCH(F113,Prices_ID,0)),"")</f>
        <v>296</v>
      </c>
      <c r="K113" s="2" t="s">
        <v>1100</v>
      </c>
      <c r="L113" s="3" t="n">
        <f aca="false">IF(OR(H113="",NOT(ISNUMBER(J113))),"",H113*J113)</f>
        <v>296</v>
      </c>
      <c r="M113" s="2" t="str">
        <f aca="false">IFERROR(INDEX(Prices_Flag,MATCH(F113,Prices_ID,0)),"")</f>
        <v>none</v>
      </c>
      <c r="N113" s="2"/>
      <c r="O113" s="0" t="s">
        <v>1270</v>
      </c>
      <c r="P113" s="8" t="s">
        <v>1271</v>
      </c>
      <c r="Q113" s="0" t="s">
        <v>27</v>
      </c>
    </row>
    <row r="114" customFormat="false" ht="15" hidden="false" customHeight="false" outlineLevel="0" collapsed="false">
      <c r="A114" s="2" t="s">
        <v>1283</v>
      </c>
      <c r="B114" s="2" t="s">
        <v>1284</v>
      </c>
      <c r="C114" s="2" t="s">
        <v>397</v>
      </c>
      <c r="D114" s="2" t="s">
        <v>1285</v>
      </c>
      <c r="E114" s="2" t="s">
        <v>1042</v>
      </c>
      <c r="F114" s="2" t="s">
        <v>429</v>
      </c>
      <c r="G114" s="2" t="str">
        <f aca="false">IFERROR(INDEX(Prices_Item,MATCH(F114,Prices_ID,0)),"ITEM NOT FOUND")</f>
        <v>Tile repair materials, budget</v>
      </c>
      <c r="H114" s="7" t="n">
        <v>1</v>
      </c>
      <c r="I114" s="2" t="s">
        <v>1163</v>
      </c>
      <c r="J114" s="3" t="n">
        <f aca="false">IFERROR(INDEX(Prices_Current,MATCH(F114,Prices_ID,0)),"")</f>
        <v>398</v>
      </c>
      <c r="K114" s="2" t="s">
        <v>1100</v>
      </c>
      <c r="L114" s="3" t="n">
        <f aca="false">IF(OR(H114="",NOT(ISNUMBER(J114))),"",H114*J114)</f>
        <v>398</v>
      </c>
      <c r="M114" s="2" t="str">
        <f aca="false">IFERROR(INDEX(Prices_Flag,MATCH(F114,Prices_ID,0)),"")</f>
        <v>none</v>
      </c>
      <c r="N114" s="2"/>
      <c r="O114" s="0" t="s">
        <v>1286</v>
      </c>
      <c r="P114" s="8" t="s">
        <v>1287</v>
      </c>
      <c r="Q114" s="0" t="s">
        <v>27</v>
      </c>
    </row>
    <row r="115" customFormat="false" ht="15" hidden="false" customHeight="false" outlineLevel="0" collapsed="false">
      <c r="A115" s="2" t="s">
        <v>1288</v>
      </c>
      <c r="B115" s="2" t="s">
        <v>1284</v>
      </c>
      <c r="C115" s="2" t="s">
        <v>397</v>
      </c>
      <c r="D115" s="2" t="s">
        <v>1285</v>
      </c>
      <c r="E115" s="2" t="s">
        <v>1049</v>
      </c>
      <c r="F115" s="2" t="s">
        <v>433</v>
      </c>
      <c r="G115" s="2" t="str">
        <f aca="false">IFERROR(INDEX(Prices_Item,MATCH(F115,Prices_ID,0)),"ITEM NOT FOUND")</f>
        <v>Tile repair materials, standard</v>
      </c>
      <c r="H115" s="7" t="n">
        <v>1</v>
      </c>
      <c r="I115" s="2" t="s">
        <v>1163</v>
      </c>
      <c r="J115" s="3" t="n">
        <f aca="false">IFERROR(INDEX(Prices_Current,MATCH(F115,Prices_ID,0)),"")</f>
        <v>547</v>
      </c>
      <c r="K115" s="2" t="s">
        <v>1100</v>
      </c>
      <c r="L115" s="3" t="n">
        <f aca="false">IF(OR(H115="",NOT(ISNUMBER(J115))),"",H115*J115)</f>
        <v>547</v>
      </c>
      <c r="M115" s="2" t="str">
        <f aca="false">IFERROR(INDEX(Prices_Flag,MATCH(F115,Prices_ID,0)),"")</f>
        <v>none</v>
      </c>
      <c r="N115" s="2"/>
      <c r="O115" s="0" t="s">
        <v>1286</v>
      </c>
      <c r="P115" s="8" t="s">
        <v>1287</v>
      </c>
      <c r="Q115" s="0" t="s">
        <v>27</v>
      </c>
    </row>
    <row r="116" customFormat="false" ht="15" hidden="false" customHeight="false" outlineLevel="0" collapsed="false">
      <c r="A116" s="2" t="s">
        <v>1289</v>
      </c>
      <c r="B116" s="2" t="s">
        <v>1284</v>
      </c>
      <c r="C116" s="2" t="s">
        <v>397</v>
      </c>
      <c r="D116" s="2" t="s">
        <v>1285</v>
      </c>
      <c r="E116" s="2" t="s">
        <v>1051</v>
      </c>
      <c r="F116" s="2" t="s">
        <v>435</v>
      </c>
      <c r="G116" s="2" t="str">
        <f aca="false">IFERROR(INDEX(Prices_Item,MATCH(F116,Prices_ID,0)),"ITEM NOT FOUND")</f>
        <v>Tile repair materials, premium</v>
      </c>
      <c r="H116" s="7" t="n">
        <v>1</v>
      </c>
      <c r="I116" s="2" t="s">
        <v>1163</v>
      </c>
      <c r="J116" s="3" t="n">
        <f aca="false">IFERROR(INDEX(Prices_Current,MATCH(F116,Prices_ID,0)),"")</f>
        <v>583</v>
      </c>
      <c r="K116" s="2" t="s">
        <v>1100</v>
      </c>
      <c r="L116" s="3" t="n">
        <f aca="false">IF(OR(H116="",NOT(ISNUMBER(J116))),"",H116*J116)</f>
        <v>583</v>
      </c>
      <c r="M116" s="2" t="str">
        <f aca="false">IFERROR(INDEX(Prices_Flag,MATCH(F116,Prices_ID,0)),"")</f>
        <v>none</v>
      </c>
      <c r="N116" s="2"/>
      <c r="O116" s="0" t="s">
        <v>1286</v>
      </c>
      <c r="P116" s="8" t="s">
        <v>1287</v>
      </c>
      <c r="Q116" s="0" t="s">
        <v>27</v>
      </c>
    </row>
    <row r="117" customFormat="false" ht="17.15" hidden="false" customHeight="false" outlineLevel="0" collapsed="false">
      <c r="A117" s="2" t="s">
        <v>1290</v>
      </c>
      <c r="B117" s="2" t="s">
        <v>1291</v>
      </c>
      <c r="C117" s="2" t="s">
        <v>397</v>
      </c>
      <c r="D117" s="2" t="s">
        <v>1292</v>
      </c>
      <c r="E117" s="2" t="s">
        <v>1042</v>
      </c>
      <c r="F117" s="2" t="s">
        <v>437</v>
      </c>
      <c r="G117" s="2" t="str">
        <f aca="false">IFERROR(INDEX(Prices_Item,MATCH(F117,Prices_ID,0)),"ITEM NOT FOUND")</f>
        <v>Terza floating-floor underlay, 90 m² roll</v>
      </c>
      <c r="H117" s="7" t="n">
        <v>0.233333</v>
      </c>
      <c r="I117" s="2" t="s">
        <v>1293</v>
      </c>
      <c r="J117" s="3" t="n">
        <f aca="false">IFERROR(INDEX(Prices_Current,MATCH(F117,Prices_ID,0)),"")</f>
        <v>875</v>
      </c>
      <c r="K117" s="2" t="s">
        <v>1100</v>
      </c>
      <c r="L117" s="3" t="n">
        <f aca="false">IF(OR(H117="",NOT(ISNUMBER(J117))),"",H117*J117)</f>
        <v>204.166375</v>
      </c>
      <c r="M117" s="2" t="str">
        <f aca="false">IFERROR(INDEX(Prices_Flag,MATCH(F117,Prices_ID,0)),"")</f>
        <v>none</v>
      </c>
      <c r="N117" s="2"/>
      <c r="O117" s="0" t="s">
        <v>1294</v>
      </c>
      <c r="P117" s="8" t="s">
        <v>1295</v>
      </c>
      <c r="Q117" s="0" t="s">
        <v>27</v>
      </c>
    </row>
    <row r="118" customFormat="false" ht="17.15" hidden="false" customHeight="false" outlineLevel="0" collapsed="false">
      <c r="A118" s="2" t="s">
        <v>1296</v>
      </c>
      <c r="B118" s="2" t="s">
        <v>1291</v>
      </c>
      <c r="C118" s="2" t="s">
        <v>397</v>
      </c>
      <c r="D118" s="2" t="s">
        <v>1292</v>
      </c>
      <c r="E118" s="2" t="s">
        <v>1042</v>
      </c>
      <c r="F118" s="2" t="s">
        <v>721</v>
      </c>
      <c r="G118" s="2" t="str">
        <f aca="false">IFERROR(INDEX(Prices_Item,MATCH(F118,Prices_ID,0)),"ITEM NOT FOUND")</f>
        <v>HDX black polyethylene film cal. 400, 6 × 15.2 m</v>
      </c>
      <c r="H118" s="7" t="n">
        <v>0.230263</v>
      </c>
      <c r="I118" s="2" t="s">
        <v>1297</v>
      </c>
      <c r="J118" s="3" t="n">
        <f aca="false">IFERROR(INDEX(Prices_Current,MATCH(F118,Prices_ID,0)),"")</f>
        <v>685</v>
      </c>
      <c r="K118" s="2" t="s">
        <v>1100</v>
      </c>
      <c r="L118" s="3" t="n">
        <f aca="false">IF(OR(H118="",NOT(ISNUMBER(J118))),"",H118*J118)</f>
        <v>157.730155</v>
      </c>
      <c r="M118" s="2" t="str">
        <f aca="false">IFERROR(INDEX(Prices_Flag,MATCH(F118,Prices_ID,0)),"")</f>
        <v>none</v>
      </c>
      <c r="N118" s="2"/>
      <c r="O118" s="0" t="s">
        <v>1294</v>
      </c>
      <c r="P118" s="8" t="s">
        <v>1295</v>
      </c>
      <c r="Q118" s="0" t="s">
        <v>27</v>
      </c>
    </row>
    <row r="119" customFormat="false" ht="17.15" hidden="false" customHeight="false" outlineLevel="0" collapsed="false">
      <c r="A119" s="2" t="s">
        <v>1298</v>
      </c>
      <c r="B119" s="2" t="s">
        <v>1291</v>
      </c>
      <c r="C119" s="2" t="s">
        <v>397</v>
      </c>
      <c r="D119" s="2" t="s">
        <v>1292</v>
      </c>
      <c r="E119" s="2" t="s">
        <v>1042</v>
      </c>
      <c r="F119" s="2" t="s">
        <v>452</v>
      </c>
      <c r="G119" s="2" t="str">
        <f aca="false">IFERROR(INDEX(Prices_Item,MATCH(F119,Prices_ID,0)),"ITEM NOT FOUND")</f>
        <v>Albatros baseboard, 25 m</v>
      </c>
      <c r="H119" s="7" t="n">
        <v>0.72</v>
      </c>
      <c r="I119" s="2" t="s">
        <v>1299</v>
      </c>
      <c r="J119" s="3" t="n">
        <f aca="false">IFERROR(INDEX(Prices_Current,MATCH(F119,Prices_ID,0)),"")</f>
        <v>569</v>
      </c>
      <c r="K119" s="2" t="s">
        <v>1100</v>
      </c>
      <c r="L119" s="3" t="n">
        <f aca="false">IF(OR(H119="",NOT(ISNUMBER(J119))),"",H119*J119)</f>
        <v>409.68</v>
      </c>
      <c r="M119" s="2" t="str">
        <f aca="false">IFERROR(INDEX(Prices_Flag,MATCH(F119,Prices_ID,0)),"")</f>
        <v>none</v>
      </c>
      <c r="N119" s="2"/>
      <c r="O119" s="0" t="s">
        <v>1294</v>
      </c>
      <c r="P119" s="8" t="s">
        <v>1295</v>
      </c>
      <c r="Q119" s="0" t="s">
        <v>27</v>
      </c>
    </row>
    <row r="120" customFormat="false" ht="17.15" hidden="false" customHeight="false" outlineLevel="0" collapsed="false">
      <c r="A120" s="2" t="s">
        <v>1300</v>
      </c>
      <c r="B120" s="2" t="s">
        <v>1291</v>
      </c>
      <c r="C120" s="2" t="s">
        <v>397</v>
      </c>
      <c r="D120" s="2" t="s">
        <v>1292</v>
      </c>
      <c r="E120" s="2" t="s">
        <v>1042</v>
      </c>
      <c r="F120" s="2" t="s">
        <v>466</v>
      </c>
      <c r="G120" s="2" t="str">
        <f aca="false">IFERROR(INDEX(Prices_Item,MATCH(F120,Prices_ID,0)),"ITEM NOT FOUND")</f>
        <v>T-molding</v>
      </c>
      <c r="H120" s="7" t="n">
        <v>1</v>
      </c>
      <c r="I120" s="2" t="s">
        <v>989</v>
      </c>
      <c r="J120" s="3" t="n">
        <f aca="false">IFERROR(INDEX(Prices_Current,MATCH(F120,Prices_ID,0)),"")</f>
        <v>239</v>
      </c>
      <c r="K120" s="2" t="s">
        <v>1044</v>
      </c>
      <c r="L120" s="3" t="n">
        <f aca="false">IF(OR(H120="",NOT(ISNUMBER(J120))),"",H120*J120)</f>
        <v>239</v>
      </c>
      <c r="M120" s="2" t="str">
        <f aca="false">IFERROR(INDEX(Prices_Flag,MATCH(F120,Prices_ID,0)),"")</f>
        <v>none</v>
      </c>
      <c r="N120" s="2"/>
      <c r="O120" s="0" t="s">
        <v>1294</v>
      </c>
      <c r="P120" s="8" t="s">
        <v>1295</v>
      </c>
      <c r="Q120" s="0" t="s">
        <v>27</v>
      </c>
    </row>
    <row r="121" customFormat="false" ht="17.15" hidden="false" customHeight="false" outlineLevel="0" collapsed="false">
      <c r="A121" s="2" t="s">
        <v>1301</v>
      </c>
      <c r="B121" s="2" t="s">
        <v>1291</v>
      </c>
      <c r="C121" s="2" t="s">
        <v>397</v>
      </c>
      <c r="D121" s="2" t="s">
        <v>1292</v>
      </c>
      <c r="E121" s="2" t="s">
        <v>1042</v>
      </c>
      <c r="F121" s="2" t="s">
        <v>470</v>
      </c>
      <c r="G121" s="2" t="str">
        <f aca="false">IFERROR(INDEX(Prices_Item,MATCH(F121,Prices_ID,0)),"ITEM NOT FOUND")</f>
        <v>Reducer molding</v>
      </c>
      <c r="H121" s="7" t="n">
        <v>1</v>
      </c>
      <c r="I121" s="2" t="s">
        <v>989</v>
      </c>
      <c r="J121" s="3" t="n">
        <f aca="false">IFERROR(INDEX(Prices_Current,MATCH(F121,Prices_ID,0)),"")</f>
        <v>245</v>
      </c>
      <c r="K121" s="2" t="s">
        <v>1044</v>
      </c>
      <c r="L121" s="3" t="n">
        <f aca="false">IF(OR(H121="",NOT(ISNUMBER(J121))),"",H121*J121)</f>
        <v>245</v>
      </c>
      <c r="M121" s="2" t="str">
        <f aca="false">IFERROR(INDEX(Prices_Flag,MATCH(F121,Prices_ID,0)),"")</f>
        <v>none</v>
      </c>
      <c r="N121" s="2"/>
      <c r="O121" s="0" t="s">
        <v>1294</v>
      </c>
      <c r="P121" s="8" t="s">
        <v>1295</v>
      </c>
      <c r="Q121" s="0" t="s">
        <v>27</v>
      </c>
    </row>
    <row r="122" customFormat="false" ht="17.15" hidden="false" customHeight="false" outlineLevel="0" collapsed="false">
      <c r="A122" s="2" t="s">
        <v>1302</v>
      </c>
      <c r="B122" s="2" t="s">
        <v>1291</v>
      </c>
      <c r="C122" s="2" t="s">
        <v>397</v>
      </c>
      <c r="D122" s="2" t="s">
        <v>1292</v>
      </c>
      <c r="E122" s="2" t="s">
        <v>1042</v>
      </c>
      <c r="F122" s="2" t="s">
        <v>474</v>
      </c>
      <c r="G122" s="2" t="str">
        <f aca="false">IFERROR(INDEX(Prices_Item,MATCH(F122,Prices_ID,0)),"ITEM NOT FOUND")</f>
        <v>Quarter-round molding</v>
      </c>
      <c r="H122" s="7" t="n">
        <v>1</v>
      </c>
      <c r="I122" s="2" t="s">
        <v>989</v>
      </c>
      <c r="J122" s="3" t="n">
        <f aca="false">IFERROR(INDEX(Prices_Current,MATCH(F122,Prices_ID,0)),"")</f>
        <v>89</v>
      </c>
      <c r="K122" s="2" t="s">
        <v>1044</v>
      </c>
      <c r="L122" s="3" t="n">
        <f aca="false">IF(OR(H122="",NOT(ISNUMBER(J122))),"",H122*J122)</f>
        <v>89</v>
      </c>
      <c r="M122" s="2" t="str">
        <f aca="false">IFERROR(INDEX(Prices_Flag,MATCH(F122,Prices_ID,0)),"")</f>
        <v>none</v>
      </c>
      <c r="N122" s="2"/>
      <c r="O122" s="0" t="s">
        <v>1294</v>
      </c>
      <c r="P122" s="8" t="s">
        <v>1295</v>
      </c>
      <c r="Q122" s="0" t="s">
        <v>27</v>
      </c>
    </row>
    <row r="123" customFormat="false" ht="17.15" hidden="false" customHeight="false" outlineLevel="0" collapsed="false">
      <c r="A123" s="2" t="s">
        <v>1303</v>
      </c>
      <c r="B123" s="2" t="s">
        <v>1291</v>
      </c>
      <c r="C123" s="2" t="s">
        <v>397</v>
      </c>
      <c r="D123" s="2" t="s">
        <v>1292</v>
      </c>
      <c r="E123" s="2" t="s">
        <v>1049</v>
      </c>
      <c r="F123" s="2" t="s">
        <v>437</v>
      </c>
      <c r="G123" s="2" t="str">
        <f aca="false">IFERROR(INDEX(Prices_Item,MATCH(F123,Prices_ID,0)),"ITEM NOT FOUND")</f>
        <v>Terza floating-floor underlay, 90 m² roll</v>
      </c>
      <c r="H123" s="7" t="n">
        <v>0.233333</v>
      </c>
      <c r="I123" s="2" t="s">
        <v>1293</v>
      </c>
      <c r="J123" s="3" t="n">
        <f aca="false">IFERROR(INDEX(Prices_Current,MATCH(F123,Prices_ID,0)),"")</f>
        <v>875</v>
      </c>
      <c r="K123" s="2" t="s">
        <v>1100</v>
      </c>
      <c r="L123" s="3" t="n">
        <f aca="false">IF(OR(H123="",NOT(ISNUMBER(J123))),"",H123*J123)</f>
        <v>204.166375</v>
      </c>
      <c r="M123" s="2" t="str">
        <f aca="false">IFERROR(INDEX(Prices_Flag,MATCH(F123,Prices_ID,0)),"")</f>
        <v>none</v>
      </c>
      <c r="N123" s="2"/>
      <c r="O123" s="0" t="s">
        <v>1294</v>
      </c>
      <c r="P123" s="8" t="s">
        <v>1295</v>
      </c>
      <c r="Q123" s="0" t="s">
        <v>27</v>
      </c>
    </row>
    <row r="124" customFormat="false" ht="17.15" hidden="false" customHeight="false" outlineLevel="0" collapsed="false">
      <c r="A124" s="2" t="s">
        <v>1304</v>
      </c>
      <c r="B124" s="2" t="s">
        <v>1291</v>
      </c>
      <c r="C124" s="2" t="s">
        <v>397</v>
      </c>
      <c r="D124" s="2" t="s">
        <v>1292</v>
      </c>
      <c r="E124" s="2" t="s">
        <v>1049</v>
      </c>
      <c r="F124" s="2" t="s">
        <v>728</v>
      </c>
      <c r="G124" s="2" t="str">
        <f aca="false">IFERROR(INDEX(Prices_Item,MATCH(F124,Prices_ID,0)),"ITEM NOT FOUND")</f>
        <v>Moisture-barrier film for floors, 6 mil, 120 m² (with seam tape)</v>
      </c>
      <c r="H124" s="7" t="n">
        <v>0.175</v>
      </c>
      <c r="I124" s="2" t="s">
        <v>1305</v>
      </c>
      <c r="J124" s="3" t="n">
        <f aca="false">IFERROR(INDEX(Prices_Current,MATCH(F124,Prices_ID,0)),"")</f>
        <v>1549</v>
      </c>
      <c r="K124" s="2" t="s">
        <v>1100</v>
      </c>
      <c r="L124" s="3" t="n">
        <f aca="false">IF(OR(H124="",NOT(ISNUMBER(J124))),"",H124*J124)</f>
        <v>271.075</v>
      </c>
      <c r="M124" s="2" t="str">
        <f aca="false">IFERROR(INDEX(Prices_Flag,MATCH(F124,Prices_ID,0)),"")</f>
        <v>marketplace</v>
      </c>
      <c r="N124" s="2"/>
      <c r="O124" s="0" t="s">
        <v>1294</v>
      </c>
      <c r="P124" s="8" t="s">
        <v>1295</v>
      </c>
      <c r="Q124" s="0" t="s">
        <v>27</v>
      </c>
    </row>
    <row r="125" customFormat="false" ht="17.15" hidden="false" customHeight="false" outlineLevel="0" collapsed="false">
      <c r="A125" s="2" t="s">
        <v>1306</v>
      </c>
      <c r="B125" s="2" t="s">
        <v>1291</v>
      </c>
      <c r="C125" s="2" t="s">
        <v>397</v>
      </c>
      <c r="D125" s="2" t="s">
        <v>1292</v>
      </c>
      <c r="E125" s="2" t="s">
        <v>1049</v>
      </c>
      <c r="F125" s="2" t="s">
        <v>458</v>
      </c>
      <c r="G125" s="2" t="str">
        <f aca="false">IFERROR(INDEX(Prices_Item,MATCH(F125,Prices_ID,0)),"ITEM NOT FOUND")</f>
        <v>Terza baseboard</v>
      </c>
      <c r="H125" s="7" t="n">
        <v>8</v>
      </c>
      <c r="I125" s="2" t="s">
        <v>1307</v>
      </c>
      <c r="J125" s="3" t="n">
        <f aca="false">IFERROR(INDEX(Prices_Current,MATCH(F125,Prices_ID,0)),"")</f>
        <v>119</v>
      </c>
      <c r="K125" s="2" t="s">
        <v>1100</v>
      </c>
      <c r="L125" s="3" t="n">
        <f aca="false">IF(OR(H125="",NOT(ISNUMBER(J125))),"",H125*J125)</f>
        <v>952</v>
      </c>
      <c r="M125" s="2" t="str">
        <f aca="false">IFERROR(INDEX(Prices_Flag,MATCH(F125,Prices_ID,0)),"")</f>
        <v>none</v>
      </c>
      <c r="N125" s="2"/>
      <c r="O125" s="0" t="s">
        <v>1294</v>
      </c>
      <c r="P125" s="8" t="s">
        <v>1295</v>
      </c>
      <c r="Q125" s="0" t="s">
        <v>27</v>
      </c>
    </row>
    <row r="126" customFormat="false" ht="17.15" hidden="false" customHeight="false" outlineLevel="0" collapsed="false">
      <c r="A126" s="2" t="s">
        <v>1308</v>
      </c>
      <c r="B126" s="2" t="s">
        <v>1291</v>
      </c>
      <c r="C126" s="2" t="s">
        <v>397</v>
      </c>
      <c r="D126" s="2" t="s">
        <v>1292</v>
      </c>
      <c r="E126" s="2" t="s">
        <v>1049</v>
      </c>
      <c r="F126" s="2" t="s">
        <v>466</v>
      </c>
      <c r="G126" s="2" t="str">
        <f aca="false">IFERROR(INDEX(Prices_Item,MATCH(F126,Prices_ID,0)),"ITEM NOT FOUND")</f>
        <v>T-molding</v>
      </c>
      <c r="H126" s="7" t="n">
        <v>1</v>
      </c>
      <c r="I126" s="2" t="s">
        <v>989</v>
      </c>
      <c r="J126" s="3" t="n">
        <f aca="false">IFERROR(INDEX(Prices_Current,MATCH(F126,Prices_ID,0)),"")</f>
        <v>239</v>
      </c>
      <c r="K126" s="2" t="s">
        <v>1044</v>
      </c>
      <c r="L126" s="3" t="n">
        <f aca="false">IF(OR(H126="",NOT(ISNUMBER(J126))),"",H126*J126)</f>
        <v>239</v>
      </c>
      <c r="M126" s="2" t="str">
        <f aca="false">IFERROR(INDEX(Prices_Flag,MATCH(F126,Prices_ID,0)),"")</f>
        <v>none</v>
      </c>
      <c r="N126" s="2"/>
      <c r="O126" s="0" t="s">
        <v>1294</v>
      </c>
      <c r="P126" s="8" t="s">
        <v>1295</v>
      </c>
      <c r="Q126" s="0" t="s">
        <v>27</v>
      </c>
    </row>
    <row r="127" customFormat="false" ht="17.15" hidden="false" customHeight="false" outlineLevel="0" collapsed="false">
      <c r="A127" s="2" t="s">
        <v>1309</v>
      </c>
      <c r="B127" s="2" t="s">
        <v>1291</v>
      </c>
      <c r="C127" s="2" t="s">
        <v>397</v>
      </c>
      <c r="D127" s="2" t="s">
        <v>1292</v>
      </c>
      <c r="E127" s="2" t="s">
        <v>1049</v>
      </c>
      <c r="F127" s="2" t="s">
        <v>470</v>
      </c>
      <c r="G127" s="2" t="str">
        <f aca="false">IFERROR(INDEX(Prices_Item,MATCH(F127,Prices_ID,0)),"ITEM NOT FOUND")</f>
        <v>Reducer molding</v>
      </c>
      <c r="H127" s="7" t="n">
        <v>1</v>
      </c>
      <c r="I127" s="2" t="s">
        <v>989</v>
      </c>
      <c r="J127" s="3" t="n">
        <f aca="false">IFERROR(INDEX(Prices_Current,MATCH(F127,Prices_ID,0)),"")</f>
        <v>245</v>
      </c>
      <c r="K127" s="2" t="s">
        <v>1044</v>
      </c>
      <c r="L127" s="3" t="n">
        <f aca="false">IF(OR(H127="",NOT(ISNUMBER(J127))),"",H127*J127)</f>
        <v>245</v>
      </c>
      <c r="M127" s="2" t="str">
        <f aca="false">IFERROR(INDEX(Prices_Flag,MATCH(F127,Prices_ID,0)),"")</f>
        <v>none</v>
      </c>
      <c r="N127" s="2"/>
      <c r="O127" s="0" t="s">
        <v>1294</v>
      </c>
      <c r="P127" s="8" t="s">
        <v>1295</v>
      </c>
      <c r="Q127" s="0" t="s">
        <v>27</v>
      </c>
    </row>
    <row r="128" customFormat="false" ht="17.15" hidden="false" customHeight="false" outlineLevel="0" collapsed="false">
      <c r="A128" s="2" t="s">
        <v>1310</v>
      </c>
      <c r="B128" s="2" t="s">
        <v>1291</v>
      </c>
      <c r="C128" s="2" t="s">
        <v>397</v>
      </c>
      <c r="D128" s="2" t="s">
        <v>1292</v>
      </c>
      <c r="E128" s="2" t="s">
        <v>1049</v>
      </c>
      <c r="F128" s="2" t="s">
        <v>474</v>
      </c>
      <c r="G128" s="2" t="str">
        <f aca="false">IFERROR(INDEX(Prices_Item,MATCH(F128,Prices_ID,0)),"ITEM NOT FOUND")</f>
        <v>Quarter-round molding</v>
      </c>
      <c r="H128" s="7" t="n">
        <v>1</v>
      </c>
      <c r="I128" s="2" t="s">
        <v>989</v>
      </c>
      <c r="J128" s="3" t="n">
        <f aca="false">IFERROR(INDEX(Prices_Current,MATCH(F128,Prices_ID,0)),"")</f>
        <v>89</v>
      </c>
      <c r="K128" s="2" t="s">
        <v>1044</v>
      </c>
      <c r="L128" s="3" t="n">
        <f aca="false">IF(OR(H128="",NOT(ISNUMBER(J128))),"",H128*J128)</f>
        <v>89</v>
      </c>
      <c r="M128" s="2" t="str">
        <f aca="false">IFERROR(INDEX(Prices_Flag,MATCH(F128,Prices_ID,0)),"")</f>
        <v>none</v>
      </c>
      <c r="N128" s="2"/>
      <c r="O128" s="0" t="s">
        <v>1294</v>
      </c>
      <c r="P128" s="8" t="s">
        <v>1295</v>
      </c>
      <c r="Q128" s="0" t="s">
        <v>27</v>
      </c>
    </row>
    <row r="129" customFormat="false" ht="17.15" hidden="false" customHeight="false" outlineLevel="0" collapsed="false">
      <c r="A129" s="2" t="s">
        <v>1311</v>
      </c>
      <c r="B129" s="2" t="s">
        <v>1291</v>
      </c>
      <c r="C129" s="2" t="s">
        <v>397</v>
      </c>
      <c r="D129" s="2" t="s">
        <v>1292</v>
      </c>
      <c r="E129" s="2" t="s">
        <v>1051</v>
      </c>
      <c r="F129" s="2" t="s">
        <v>437</v>
      </c>
      <c r="G129" s="2" t="str">
        <f aca="false">IFERROR(INDEX(Prices_Item,MATCH(F129,Prices_ID,0)),"ITEM NOT FOUND")</f>
        <v>Terza floating-floor underlay, 90 m² roll</v>
      </c>
      <c r="H129" s="7" t="n">
        <v>0.233333</v>
      </c>
      <c r="I129" s="2" t="s">
        <v>1293</v>
      </c>
      <c r="J129" s="3" t="n">
        <f aca="false">IFERROR(INDEX(Prices_Current,MATCH(F129,Prices_ID,0)),"")</f>
        <v>875</v>
      </c>
      <c r="K129" s="2" t="s">
        <v>1100</v>
      </c>
      <c r="L129" s="3" t="n">
        <f aca="false">IF(OR(H129="",NOT(ISNUMBER(J129))),"",H129*J129)</f>
        <v>204.166375</v>
      </c>
      <c r="M129" s="2" t="str">
        <f aca="false">IFERROR(INDEX(Prices_Flag,MATCH(F129,Prices_ID,0)),"")</f>
        <v>none</v>
      </c>
      <c r="N129" s="2"/>
      <c r="O129" s="0" t="s">
        <v>1294</v>
      </c>
      <c r="P129" s="8" t="s">
        <v>1295</v>
      </c>
      <c r="Q129" s="0" t="s">
        <v>27</v>
      </c>
    </row>
    <row r="130" customFormat="false" ht="17.15" hidden="false" customHeight="false" outlineLevel="0" collapsed="false">
      <c r="A130" s="2" t="s">
        <v>1312</v>
      </c>
      <c r="B130" s="2" t="s">
        <v>1291</v>
      </c>
      <c r="C130" s="2" t="s">
        <v>397</v>
      </c>
      <c r="D130" s="2" t="s">
        <v>1292</v>
      </c>
      <c r="E130" s="2" t="s">
        <v>1051</v>
      </c>
      <c r="F130" s="2" t="s">
        <v>450</v>
      </c>
      <c r="G130" s="2" t="str">
        <f aca="false">IFERROR(INDEX(Prices_Item,MATCH(F130,Prices_ID,0)),"ITEM NOT FOUND")</f>
        <v>Moisture barrier film, premium</v>
      </c>
      <c r="H130" s="7" t="n">
        <v>1</v>
      </c>
      <c r="I130" s="2" t="s">
        <v>1163</v>
      </c>
      <c r="J130" s="3" t="n">
        <f aca="false">IFERROR(INDEX(Prices_Current,MATCH(F130,Prices_ID,0)),"")</f>
        <v>578</v>
      </c>
      <c r="K130" s="2" t="s">
        <v>1100</v>
      </c>
      <c r="L130" s="3" t="n">
        <f aca="false">IF(OR(H130="",NOT(ISNUMBER(J130))),"",H130*J130)</f>
        <v>578</v>
      </c>
      <c r="M130" s="2" t="str">
        <f aca="false">IFERROR(INDEX(Prices_Flag,MATCH(F130,Prices_ID,0)),"")</f>
        <v>none</v>
      </c>
      <c r="N130" s="2"/>
      <c r="O130" s="0" t="s">
        <v>1294</v>
      </c>
      <c r="P130" s="8" t="s">
        <v>1295</v>
      </c>
      <c r="Q130" s="0" t="s">
        <v>27</v>
      </c>
    </row>
    <row r="131" customFormat="false" ht="17.15" hidden="false" customHeight="false" outlineLevel="0" collapsed="false">
      <c r="A131" s="2" t="s">
        <v>1313</v>
      </c>
      <c r="B131" s="2" t="s">
        <v>1291</v>
      </c>
      <c r="C131" s="2" t="s">
        <v>397</v>
      </c>
      <c r="D131" s="2" t="s">
        <v>1292</v>
      </c>
      <c r="E131" s="2" t="s">
        <v>1051</v>
      </c>
      <c r="F131" s="2" t="s">
        <v>462</v>
      </c>
      <c r="G131" s="2" t="str">
        <f aca="false">IFERROR(INDEX(Prices_Item,MATCH(F131,Prices_ID,0)),"ITEM NOT FOUND")</f>
        <v>Premium baseboard</v>
      </c>
      <c r="H131" s="7" t="n">
        <v>8</v>
      </c>
      <c r="I131" s="2" t="s">
        <v>1307</v>
      </c>
      <c r="J131" s="3" t="n">
        <f aca="false">IFERROR(INDEX(Prices_Current,MATCH(F131,Prices_ID,0)),"")</f>
        <v>135</v>
      </c>
      <c r="K131" s="2" t="s">
        <v>1100</v>
      </c>
      <c r="L131" s="3" t="n">
        <f aca="false">IF(OR(H131="",NOT(ISNUMBER(J131))),"",H131*J131)</f>
        <v>1080</v>
      </c>
      <c r="M131" s="2" t="str">
        <f aca="false">IFERROR(INDEX(Prices_Flag,MATCH(F131,Prices_ID,0)),"")</f>
        <v>none</v>
      </c>
      <c r="N131" s="2"/>
      <c r="O131" s="0" t="s">
        <v>1294</v>
      </c>
      <c r="P131" s="8" t="s">
        <v>1295</v>
      </c>
      <c r="Q131" s="0" t="s">
        <v>27</v>
      </c>
    </row>
    <row r="132" customFormat="false" ht="17.15" hidden="false" customHeight="false" outlineLevel="0" collapsed="false">
      <c r="A132" s="2" t="s">
        <v>1314</v>
      </c>
      <c r="B132" s="2" t="s">
        <v>1291</v>
      </c>
      <c r="C132" s="2" t="s">
        <v>397</v>
      </c>
      <c r="D132" s="2" t="s">
        <v>1292</v>
      </c>
      <c r="E132" s="2" t="s">
        <v>1051</v>
      </c>
      <c r="F132" s="2" t="s">
        <v>466</v>
      </c>
      <c r="G132" s="2" t="str">
        <f aca="false">IFERROR(INDEX(Prices_Item,MATCH(F132,Prices_ID,0)),"ITEM NOT FOUND")</f>
        <v>T-molding</v>
      </c>
      <c r="H132" s="7" t="n">
        <v>1</v>
      </c>
      <c r="I132" s="2" t="s">
        <v>989</v>
      </c>
      <c r="J132" s="3" t="n">
        <f aca="false">IFERROR(INDEX(Prices_Current,MATCH(F132,Prices_ID,0)),"")</f>
        <v>239</v>
      </c>
      <c r="K132" s="2" t="s">
        <v>1044</v>
      </c>
      <c r="L132" s="3" t="n">
        <f aca="false">IF(OR(H132="",NOT(ISNUMBER(J132))),"",H132*J132)</f>
        <v>239</v>
      </c>
      <c r="M132" s="2" t="str">
        <f aca="false">IFERROR(INDEX(Prices_Flag,MATCH(F132,Prices_ID,0)),"")</f>
        <v>none</v>
      </c>
      <c r="N132" s="2"/>
      <c r="O132" s="0" t="s">
        <v>1294</v>
      </c>
      <c r="P132" s="8" t="s">
        <v>1295</v>
      </c>
      <c r="Q132" s="0" t="s">
        <v>27</v>
      </c>
    </row>
    <row r="133" customFormat="false" ht="17.15" hidden="false" customHeight="false" outlineLevel="0" collapsed="false">
      <c r="A133" s="2" t="s">
        <v>1315</v>
      </c>
      <c r="B133" s="2" t="s">
        <v>1291</v>
      </c>
      <c r="C133" s="2" t="s">
        <v>397</v>
      </c>
      <c r="D133" s="2" t="s">
        <v>1292</v>
      </c>
      <c r="E133" s="2" t="s">
        <v>1051</v>
      </c>
      <c r="F133" s="2" t="s">
        <v>470</v>
      </c>
      <c r="G133" s="2" t="str">
        <f aca="false">IFERROR(INDEX(Prices_Item,MATCH(F133,Prices_ID,0)),"ITEM NOT FOUND")</f>
        <v>Reducer molding</v>
      </c>
      <c r="H133" s="7" t="n">
        <v>1</v>
      </c>
      <c r="I133" s="2" t="s">
        <v>989</v>
      </c>
      <c r="J133" s="3" t="n">
        <f aca="false">IFERROR(INDEX(Prices_Current,MATCH(F133,Prices_ID,0)),"")</f>
        <v>245</v>
      </c>
      <c r="K133" s="2" t="s">
        <v>1044</v>
      </c>
      <c r="L133" s="3" t="n">
        <f aca="false">IF(OR(H133="",NOT(ISNUMBER(J133))),"",H133*J133)</f>
        <v>245</v>
      </c>
      <c r="M133" s="2" t="str">
        <f aca="false">IFERROR(INDEX(Prices_Flag,MATCH(F133,Prices_ID,0)),"")</f>
        <v>none</v>
      </c>
      <c r="N133" s="2"/>
      <c r="O133" s="0" t="s">
        <v>1294</v>
      </c>
      <c r="P133" s="8" t="s">
        <v>1295</v>
      </c>
      <c r="Q133" s="0" t="s">
        <v>27</v>
      </c>
    </row>
    <row r="134" customFormat="false" ht="17.15" hidden="false" customHeight="false" outlineLevel="0" collapsed="false">
      <c r="A134" s="2" t="s">
        <v>1316</v>
      </c>
      <c r="B134" s="2" t="s">
        <v>1291</v>
      </c>
      <c r="C134" s="2" t="s">
        <v>397</v>
      </c>
      <c r="D134" s="2" t="s">
        <v>1292</v>
      </c>
      <c r="E134" s="2" t="s">
        <v>1051</v>
      </c>
      <c r="F134" s="2" t="s">
        <v>474</v>
      </c>
      <c r="G134" s="2" t="str">
        <f aca="false">IFERROR(INDEX(Prices_Item,MATCH(F134,Prices_ID,0)),"ITEM NOT FOUND")</f>
        <v>Quarter-round molding</v>
      </c>
      <c r="H134" s="7" t="n">
        <v>1</v>
      </c>
      <c r="I134" s="2" t="s">
        <v>989</v>
      </c>
      <c r="J134" s="3" t="n">
        <f aca="false">IFERROR(INDEX(Prices_Current,MATCH(F134,Prices_ID,0)),"")</f>
        <v>89</v>
      </c>
      <c r="K134" s="2" t="s">
        <v>1044</v>
      </c>
      <c r="L134" s="3" t="n">
        <f aca="false">IF(OR(H134="",NOT(ISNUMBER(J134))),"",H134*J134)</f>
        <v>89</v>
      </c>
      <c r="M134" s="2" t="str">
        <f aca="false">IFERROR(INDEX(Prices_Flag,MATCH(F134,Prices_ID,0)),"")</f>
        <v>none</v>
      </c>
      <c r="N134" s="2"/>
      <c r="O134" s="0" t="s">
        <v>1294</v>
      </c>
      <c r="P134" s="8" t="s">
        <v>1295</v>
      </c>
      <c r="Q134" s="0" t="s">
        <v>27</v>
      </c>
    </row>
    <row r="135" customFormat="false" ht="17.15" hidden="false" customHeight="false" outlineLevel="0" collapsed="false">
      <c r="A135" s="2" t="s">
        <v>1317</v>
      </c>
      <c r="B135" s="2" t="s">
        <v>1318</v>
      </c>
      <c r="C135" s="2" t="s">
        <v>496</v>
      </c>
      <c r="D135" s="2" t="s">
        <v>1319</v>
      </c>
      <c r="E135" s="2" t="s">
        <v>1042</v>
      </c>
      <c r="F135" s="2" t="s">
        <v>495</v>
      </c>
      <c r="G135" s="2" t="str">
        <f aca="false">IFERROR(INDEX(Prices_Item,MATCH(F135,Prices_ID,0)),"ITEM NOT FOUND")</f>
        <v>Sikaflex sealant</v>
      </c>
      <c r="H135" s="7" t="n">
        <v>1</v>
      </c>
      <c r="I135" s="2" t="s">
        <v>1320</v>
      </c>
      <c r="J135" s="3" t="n">
        <f aca="false">IFERROR(INDEX(Prices_Current,MATCH(F135,Prices_ID,0)),"")</f>
        <v>359</v>
      </c>
      <c r="K135" s="2" t="s">
        <v>1100</v>
      </c>
      <c r="L135" s="3" t="n">
        <f aca="false">IF(OR(H135="",NOT(ISNUMBER(J135))),"",H135*J135)</f>
        <v>359</v>
      </c>
      <c r="M135" s="2" t="str">
        <f aca="false">IFERROR(INDEX(Prices_Flag,MATCH(F135,Prices_ID,0)),"")</f>
        <v>none</v>
      </c>
      <c r="N135" s="2"/>
      <c r="O135" s="0" t="s">
        <v>1321</v>
      </c>
      <c r="P135" s="8" t="s">
        <v>1322</v>
      </c>
      <c r="Q135" s="0" t="s">
        <v>27</v>
      </c>
    </row>
    <row r="136" customFormat="false" ht="17.15" hidden="false" customHeight="false" outlineLevel="0" collapsed="false">
      <c r="A136" s="2" t="s">
        <v>1323</v>
      </c>
      <c r="B136" s="2" t="s">
        <v>1318</v>
      </c>
      <c r="C136" s="2" t="s">
        <v>496</v>
      </c>
      <c r="D136" s="2" t="s">
        <v>1319</v>
      </c>
      <c r="E136" s="2" t="s">
        <v>1042</v>
      </c>
      <c r="F136" s="2" t="s">
        <v>505</v>
      </c>
      <c r="G136" s="2" t="str">
        <f aca="false">IFERROR(INDEX(Prices_Item,MATCH(F136,Prices_ID,0)),"ITEM NOT FOUND")</f>
        <v>Repair mortar (Sodimac)</v>
      </c>
      <c r="H136" s="7" t="n">
        <v>2</v>
      </c>
      <c r="I136" s="2" t="s">
        <v>1324</v>
      </c>
      <c r="J136" s="3" t="n">
        <f aca="false">IFERROR(INDEX(Prices_Current,MATCH(F136,Prices_ID,0)),"")</f>
        <v>589</v>
      </c>
      <c r="K136" s="2" t="s">
        <v>1100</v>
      </c>
      <c r="L136" s="3" t="n">
        <f aca="false">IF(OR(H136="",NOT(ISNUMBER(J136))),"",H136*J136)</f>
        <v>1178</v>
      </c>
      <c r="M136" s="2" t="str">
        <f aca="false">IFERROR(INDEX(Prices_Flag,MATCH(F136,Prices_ID,0)),"")</f>
        <v>none</v>
      </c>
      <c r="N136" s="2"/>
      <c r="O136" s="0" t="s">
        <v>1321</v>
      </c>
      <c r="P136" s="8" t="s">
        <v>1322</v>
      </c>
      <c r="Q136" s="0" t="s">
        <v>27</v>
      </c>
    </row>
    <row r="137" customFormat="false" ht="17.15" hidden="false" customHeight="false" outlineLevel="0" collapsed="false">
      <c r="A137" s="2" t="s">
        <v>1325</v>
      </c>
      <c r="B137" s="2" t="s">
        <v>1318</v>
      </c>
      <c r="C137" s="2" t="s">
        <v>496</v>
      </c>
      <c r="D137" s="2" t="s">
        <v>1319</v>
      </c>
      <c r="E137" s="2" t="s">
        <v>1042</v>
      </c>
      <c r="F137" s="2" t="s">
        <v>520</v>
      </c>
      <c r="G137" s="2" t="str">
        <f aca="false">IFERROR(INDEX(Prices_Item,MATCH(F137,Prices_ID,0)),"ITEM NOT FOUND")</f>
        <v>Festerbond bonding agent</v>
      </c>
      <c r="H137" s="7" t="n">
        <v>1</v>
      </c>
      <c r="I137" s="2" t="s">
        <v>1326</v>
      </c>
      <c r="J137" s="3" t="n">
        <f aca="false">IFERROR(INDEX(Prices_Current,MATCH(F137,Prices_ID,0)),"")</f>
        <v>280</v>
      </c>
      <c r="K137" s="2" t="s">
        <v>1100</v>
      </c>
      <c r="L137" s="3" t="n">
        <f aca="false">IF(OR(H137="",NOT(ISNUMBER(J137))),"",H137*J137)</f>
        <v>280</v>
      </c>
      <c r="M137" s="2" t="str">
        <f aca="false">IFERROR(INDEX(Prices_Flag,MATCH(F137,Prices_ID,0)),"")</f>
        <v>none</v>
      </c>
      <c r="N137" s="2"/>
      <c r="O137" s="0" t="s">
        <v>1321</v>
      </c>
      <c r="P137" s="8" t="s">
        <v>1322</v>
      </c>
      <c r="Q137" s="0" t="s">
        <v>27</v>
      </c>
    </row>
    <row r="138" customFormat="false" ht="17.15" hidden="false" customHeight="false" outlineLevel="0" collapsed="false">
      <c r="A138" s="2" t="s">
        <v>1327</v>
      </c>
      <c r="B138" s="2" t="s">
        <v>1318</v>
      </c>
      <c r="C138" s="2" t="s">
        <v>496</v>
      </c>
      <c r="D138" s="2" t="s">
        <v>1319</v>
      </c>
      <c r="E138" s="2" t="s">
        <v>1049</v>
      </c>
      <c r="F138" s="2" t="s">
        <v>499</v>
      </c>
      <c r="G138" s="2" t="str">
        <f aca="false">IFERROR(INDEX(Prices_Item,MATCH(F138,Prices_ID,0)),"ITEM NOT FOUND")</f>
        <v>Sikaflex-1A sealant</v>
      </c>
      <c r="H138" s="7" t="n">
        <v>1</v>
      </c>
      <c r="I138" s="2" t="s">
        <v>1320</v>
      </c>
      <c r="J138" s="3" t="n">
        <f aca="false">IFERROR(INDEX(Prices_Current,MATCH(F138,Prices_ID,0)),"")</f>
        <v>459</v>
      </c>
      <c r="K138" s="2" t="s">
        <v>1100</v>
      </c>
      <c r="L138" s="3" t="n">
        <f aca="false">IF(OR(H138="",NOT(ISNUMBER(J138))),"",H138*J138)</f>
        <v>459</v>
      </c>
      <c r="M138" s="2" t="str">
        <f aca="false">IFERROR(INDEX(Prices_Flag,MATCH(F138,Prices_ID,0)),"")</f>
        <v>none</v>
      </c>
      <c r="N138" s="2"/>
      <c r="O138" s="0" t="s">
        <v>1321</v>
      </c>
      <c r="P138" s="8" t="s">
        <v>1322</v>
      </c>
      <c r="Q138" s="0" t="s">
        <v>27</v>
      </c>
    </row>
    <row r="139" customFormat="false" ht="17.15" hidden="false" customHeight="false" outlineLevel="0" collapsed="false">
      <c r="A139" s="2" t="s">
        <v>1328</v>
      </c>
      <c r="B139" s="2" t="s">
        <v>1318</v>
      </c>
      <c r="C139" s="2" t="s">
        <v>496</v>
      </c>
      <c r="D139" s="2" t="s">
        <v>1319</v>
      </c>
      <c r="E139" s="2" t="s">
        <v>1049</v>
      </c>
      <c r="F139" s="2" t="s">
        <v>509</v>
      </c>
      <c r="G139" s="2" t="str">
        <f aca="false">IFERROR(INDEX(Prices_Item,MATCH(F139,Prices_ID,0)),"ITEM NOT FOUND")</f>
        <v>SikaTop 122 repair mortar</v>
      </c>
      <c r="H139" s="7" t="n">
        <v>2</v>
      </c>
      <c r="I139" s="2" t="s">
        <v>1324</v>
      </c>
      <c r="J139" s="3" t="n">
        <f aca="false">IFERROR(INDEX(Prices_Current,MATCH(F139,Prices_ID,0)),"")</f>
        <v>1648</v>
      </c>
      <c r="K139" s="2" t="s">
        <v>1100</v>
      </c>
      <c r="L139" s="3" t="n">
        <f aca="false">IF(OR(H139="",NOT(ISNUMBER(J139))),"",H139*J139)</f>
        <v>3296</v>
      </c>
      <c r="M139" s="2" t="str">
        <f aca="false">IFERROR(INDEX(Prices_Flag,MATCH(F139,Prices_ID,0)),"")</f>
        <v>none</v>
      </c>
      <c r="N139" s="2"/>
      <c r="O139" s="0" t="s">
        <v>1321</v>
      </c>
      <c r="P139" s="8" t="s">
        <v>1322</v>
      </c>
      <c r="Q139" s="0" t="s">
        <v>27</v>
      </c>
    </row>
    <row r="140" customFormat="false" ht="17.15" hidden="false" customHeight="false" outlineLevel="0" collapsed="false">
      <c r="A140" s="2" t="s">
        <v>1329</v>
      </c>
      <c r="B140" s="2" t="s">
        <v>1318</v>
      </c>
      <c r="C140" s="2" t="s">
        <v>496</v>
      </c>
      <c r="D140" s="2" t="s">
        <v>1319</v>
      </c>
      <c r="E140" s="2" t="s">
        <v>1049</v>
      </c>
      <c r="F140" s="2" t="s">
        <v>520</v>
      </c>
      <c r="G140" s="2" t="str">
        <f aca="false">IFERROR(INDEX(Prices_Item,MATCH(F140,Prices_ID,0)),"ITEM NOT FOUND")</f>
        <v>Festerbond bonding agent</v>
      </c>
      <c r="H140" s="7" t="n">
        <v>1</v>
      </c>
      <c r="I140" s="2" t="s">
        <v>1326</v>
      </c>
      <c r="J140" s="3" t="n">
        <f aca="false">IFERROR(INDEX(Prices_Current,MATCH(F140,Prices_ID,0)),"")</f>
        <v>280</v>
      </c>
      <c r="K140" s="2" t="s">
        <v>1100</v>
      </c>
      <c r="L140" s="3" t="n">
        <f aca="false">IF(OR(H140="",NOT(ISNUMBER(J140))),"",H140*J140)</f>
        <v>280</v>
      </c>
      <c r="M140" s="2" t="str">
        <f aca="false">IFERROR(INDEX(Prices_Flag,MATCH(F140,Prices_ID,0)),"")</f>
        <v>none</v>
      </c>
      <c r="N140" s="2"/>
      <c r="O140" s="0" t="s">
        <v>1321</v>
      </c>
      <c r="P140" s="8" t="s">
        <v>1322</v>
      </c>
      <c r="Q140" s="0" t="s">
        <v>27</v>
      </c>
    </row>
    <row r="141" customFormat="false" ht="17.15" hidden="false" customHeight="false" outlineLevel="0" collapsed="false">
      <c r="A141" s="2" t="s">
        <v>1330</v>
      </c>
      <c r="B141" s="2" t="s">
        <v>1318</v>
      </c>
      <c r="C141" s="2" t="s">
        <v>496</v>
      </c>
      <c r="D141" s="2" t="s">
        <v>1319</v>
      </c>
      <c r="E141" s="2" t="s">
        <v>1051</v>
      </c>
      <c r="F141" s="2" t="s">
        <v>499</v>
      </c>
      <c r="G141" s="2" t="str">
        <f aca="false">IFERROR(INDEX(Prices_Item,MATCH(F141,Prices_ID,0)),"ITEM NOT FOUND")</f>
        <v>Sikaflex-1A sealant</v>
      </c>
      <c r="H141" s="7" t="n">
        <v>1</v>
      </c>
      <c r="I141" s="2" t="s">
        <v>1320</v>
      </c>
      <c r="J141" s="3" t="n">
        <f aca="false">IFERROR(INDEX(Prices_Current,MATCH(F141,Prices_ID,0)),"")</f>
        <v>459</v>
      </c>
      <c r="K141" s="2" t="s">
        <v>1100</v>
      </c>
      <c r="L141" s="3" t="n">
        <f aca="false">IF(OR(H141="",NOT(ISNUMBER(J141))),"",H141*J141)</f>
        <v>459</v>
      </c>
      <c r="M141" s="2" t="str">
        <f aca="false">IFERROR(INDEX(Prices_Flag,MATCH(F141,Prices_ID,0)),"")</f>
        <v>none</v>
      </c>
      <c r="N141" s="2"/>
      <c r="O141" s="0" t="s">
        <v>1321</v>
      </c>
      <c r="P141" s="8" t="s">
        <v>1322</v>
      </c>
      <c r="Q141" s="0" t="s">
        <v>27</v>
      </c>
    </row>
    <row r="142" customFormat="false" ht="17.15" hidden="false" customHeight="false" outlineLevel="0" collapsed="false">
      <c r="A142" s="2" t="s">
        <v>1331</v>
      </c>
      <c r="B142" s="2" t="s">
        <v>1318</v>
      </c>
      <c r="C142" s="2" t="s">
        <v>496</v>
      </c>
      <c r="D142" s="2" t="s">
        <v>1319</v>
      </c>
      <c r="E142" s="2" t="s">
        <v>1051</v>
      </c>
      <c r="F142" s="2" t="s">
        <v>515</v>
      </c>
      <c r="G142" s="2" t="str">
        <f aca="false">IFERROR(INDEX(Prices_Item,MATCH(F142,Prices_ID,0)),"ITEM NOT FOUND")</f>
        <v>Sika MonoTop repair mortar</v>
      </c>
      <c r="H142" s="7" t="n">
        <v>2</v>
      </c>
      <c r="I142" s="2" t="s">
        <v>1324</v>
      </c>
      <c r="J142" s="3" t="n">
        <f aca="false">IFERROR(INDEX(Prices_Current,MATCH(F142,Prices_ID,0)),"")</f>
        <v>1499</v>
      </c>
      <c r="K142" s="2" t="s">
        <v>1100</v>
      </c>
      <c r="L142" s="3" t="n">
        <f aca="false">IF(OR(H142="",NOT(ISNUMBER(J142))),"",H142*J142)</f>
        <v>2998</v>
      </c>
      <c r="M142" s="2" t="str">
        <f aca="false">IFERROR(INDEX(Prices_Flag,MATCH(F142,Prices_ID,0)),"")</f>
        <v>none</v>
      </c>
      <c r="N142" s="2"/>
      <c r="O142" s="0" t="s">
        <v>1321</v>
      </c>
      <c r="P142" s="8" t="s">
        <v>1322</v>
      </c>
      <c r="Q142" s="0" t="s">
        <v>27</v>
      </c>
    </row>
    <row r="143" customFormat="false" ht="17.15" hidden="false" customHeight="false" outlineLevel="0" collapsed="false">
      <c r="A143" s="2" t="s">
        <v>1332</v>
      </c>
      <c r="B143" s="2" t="s">
        <v>1318</v>
      </c>
      <c r="C143" s="2" t="s">
        <v>496</v>
      </c>
      <c r="D143" s="2" t="s">
        <v>1319</v>
      </c>
      <c r="E143" s="2" t="s">
        <v>1051</v>
      </c>
      <c r="F143" s="2" t="s">
        <v>520</v>
      </c>
      <c r="G143" s="2" t="str">
        <f aca="false">IFERROR(INDEX(Prices_Item,MATCH(F143,Prices_ID,0)),"ITEM NOT FOUND")</f>
        <v>Festerbond bonding agent</v>
      </c>
      <c r="H143" s="7" t="n">
        <v>1</v>
      </c>
      <c r="I143" s="2" t="s">
        <v>1326</v>
      </c>
      <c r="J143" s="3" t="n">
        <f aca="false">IFERROR(INDEX(Prices_Current,MATCH(F143,Prices_ID,0)),"")</f>
        <v>280</v>
      </c>
      <c r="K143" s="2" t="s">
        <v>1100</v>
      </c>
      <c r="L143" s="3" t="n">
        <f aca="false">IF(OR(H143="",NOT(ISNUMBER(J143))),"",H143*J143)</f>
        <v>280</v>
      </c>
      <c r="M143" s="2" t="str">
        <f aca="false">IFERROR(INDEX(Prices_Flag,MATCH(F143,Prices_ID,0)),"")</f>
        <v>none</v>
      </c>
      <c r="N143" s="2"/>
      <c r="O143" s="0" t="s">
        <v>1321</v>
      </c>
      <c r="P143" s="8" t="s">
        <v>1322</v>
      </c>
      <c r="Q143" s="0" t="s">
        <v>27</v>
      </c>
    </row>
    <row r="144" customFormat="false" ht="17.15" hidden="false" customHeight="false" outlineLevel="0" collapsed="false">
      <c r="A144" s="2" t="s">
        <v>1333</v>
      </c>
      <c r="B144" s="2" t="s">
        <v>1334</v>
      </c>
      <c r="C144" s="2" t="s">
        <v>496</v>
      </c>
      <c r="D144" s="2" t="s">
        <v>1335</v>
      </c>
      <c r="E144" s="2" t="s">
        <v>1042</v>
      </c>
      <c r="F144" s="2" t="s">
        <v>525</v>
      </c>
      <c r="G144" s="2" t="str">
        <f aca="false">IFERROR(INDEX(Prices_Item,MATCH(F144,Prices_ID,0)),"ITEM NOT FOUND")</f>
        <v>Holcim cement</v>
      </c>
      <c r="H144" s="7" t="n">
        <v>6</v>
      </c>
      <c r="I144" s="2" t="s">
        <v>1336</v>
      </c>
      <c r="J144" s="3" t="n">
        <f aca="false">IFERROR(INDEX(Prices_Current,MATCH(F144,Prices_ID,0)),"")</f>
        <v>270</v>
      </c>
      <c r="K144" s="2" t="s">
        <v>1100</v>
      </c>
      <c r="L144" s="3" t="n">
        <f aca="false">IF(OR(H144="",NOT(ISNUMBER(J144))),"",H144*J144)</f>
        <v>1620</v>
      </c>
      <c r="M144" s="2" t="str">
        <f aca="false">IFERROR(INDEX(Prices_Flag,MATCH(F144,Prices_ID,0)),"")</f>
        <v>none</v>
      </c>
      <c r="N144" s="2"/>
      <c r="O144" s="0" t="s">
        <v>1337</v>
      </c>
      <c r="P144" s="8" t="s">
        <v>1338</v>
      </c>
      <c r="Q144" s="0" t="s">
        <v>27</v>
      </c>
    </row>
    <row r="145" customFormat="false" ht="17.15" hidden="false" customHeight="false" outlineLevel="0" collapsed="false">
      <c r="A145" s="2" t="s">
        <v>1339</v>
      </c>
      <c r="B145" s="2" t="s">
        <v>1334</v>
      </c>
      <c r="C145" s="2" t="s">
        <v>496</v>
      </c>
      <c r="D145" s="2" t="s">
        <v>1335</v>
      </c>
      <c r="E145" s="2" t="s">
        <v>1042</v>
      </c>
      <c r="F145" s="2" t="s">
        <v>533</v>
      </c>
      <c r="G145" s="2" t="str">
        <f aca="false">IFERROR(INDEX(Prices_Item,MATCH(F145,Prices_ID,0)),"ITEM NOT FOUND")</f>
        <v>Aggregates (sand + gravel) for 10 m² × 8 cm slab</v>
      </c>
      <c r="H145" s="7" t="n">
        <v>1</v>
      </c>
      <c r="I145" s="2" t="s">
        <v>1163</v>
      </c>
      <c r="J145" s="3" t="n">
        <f aca="false">IFERROR(INDEX(Prices_Current,MATCH(F145,Prices_ID,0)),"")</f>
        <v>1212</v>
      </c>
      <c r="K145" s="2" t="s">
        <v>1100</v>
      </c>
      <c r="L145" s="3" t="n">
        <f aca="false">IF(OR(H145="",NOT(ISNUMBER(J145))),"",H145*J145)</f>
        <v>1212</v>
      </c>
      <c r="M145" s="2" t="str">
        <f aca="false">IFERROR(INDEX(Prices_Flag,MATCH(F145,Prices_ID,0)),"")</f>
        <v>none</v>
      </c>
      <c r="N145" s="2"/>
      <c r="O145" s="0" t="s">
        <v>1337</v>
      </c>
      <c r="P145" s="8" t="s">
        <v>1338</v>
      </c>
      <c r="Q145" s="0" t="s">
        <v>27</v>
      </c>
    </row>
    <row r="146" customFormat="false" ht="17.15" hidden="false" customHeight="false" outlineLevel="0" collapsed="false">
      <c r="A146" s="2" t="s">
        <v>1340</v>
      </c>
      <c r="B146" s="2" t="s">
        <v>1334</v>
      </c>
      <c r="C146" s="2" t="s">
        <v>496</v>
      </c>
      <c r="D146" s="2" t="s">
        <v>1335</v>
      </c>
      <c r="E146" s="2" t="s">
        <v>1042</v>
      </c>
      <c r="F146" s="2" t="s">
        <v>544</v>
      </c>
      <c r="G146" s="2" t="str">
        <f aca="false">IFERROR(INDEX(Prices_Item,MATCH(F146,Prices_ID,0)),"ITEM NOT FOUND")</f>
        <v>Plastic sheeting for curing</v>
      </c>
      <c r="H146" s="7" t="n">
        <v>1</v>
      </c>
      <c r="I146" s="2" t="s">
        <v>989</v>
      </c>
      <c r="J146" s="3" t="n">
        <f aca="false">IFERROR(INDEX(Prices_Current,MATCH(F146,Prices_ID,0)),"")</f>
        <v>88</v>
      </c>
      <c r="K146" s="2" t="s">
        <v>1100</v>
      </c>
      <c r="L146" s="3" t="n">
        <f aca="false">IF(OR(H146="",NOT(ISNUMBER(J146))),"",H146*J146)</f>
        <v>88</v>
      </c>
      <c r="M146" s="2" t="str">
        <f aca="false">IFERROR(INDEX(Prices_Flag,MATCH(F146,Prices_ID,0)),"")</f>
        <v>none</v>
      </c>
      <c r="N146" s="2"/>
      <c r="O146" s="0" t="s">
        <v>1337</v>
      </c>
      <c r="P146" s="8" t="s">
        <v>1338</v>
      </c>
      <c r="Q146" s="0" t="s">
        <v>27</v>
      </c>
    </row>
    <row r="147" customFormat="false" ht="17.15" hidden="false" customHeight="false" outlineLevel="0" collapsed="false">
      <c r="A147" s="2" t="s">
        <v>1341</v>
      </c>
      <c r="B147" s="2" t="s">
        <v>1334</v>
      </c>
      <c r="C147" s="2" t="s">
        <v>496</v>
      </c>
      <c r="D147" s="2" t="s">
        <v>1335</v>
      </c>
      <c r="E147" s="2" t="s">
        <v>1042</v>
      </c>
      <c r="F147" s="2" t="s">
        <v>548</v>
      </c>
      <c r="G147" s="2" t="str">
        <f aca="false">IFERROR(INDEX(Prices_Item,MATCH(F147,Prices_ID,0)),"ITEM NOT FOUND")</f>
        <v>Curafest curing compound</v>
      </c>
      <c r="H147" s="7" t="n">
        <v>1</v>
      </c>
      <c r="I147" s="2" t="s">
        <v>1326</v>
      </c>
      <c r="J147" s="3" t="n">
        <f aca="false">IFERROR(INDEX(Prices_Current,MATCH(F147,Prices_ID,0)),"")</f>
        <v>163</v>
      </c>
      <c r="K147" s="2" t="s">
        <v>1100</v>
      </c>
      <c r="L147" s="3" t="n">
        <f aca="false">IF(OR(H147="",NOT(ISNUMBER(J147))),"",H147*J147)</f>
        <v>163</v>
      </c>
      <c r="M147" s="2" t="str">
        <f aca="false">IFERROR(INDEX(Prices_Flag,MATCH(F147,Prices_ID,0)),"")</f>
        <v>none</v>
      </c>
      <c r="N147" s="2"/>
      <c r="O147" s="0" t="s">
        <v>1337</v>
      </c>
      <c r="P147" s="8" t="s">
        <v>1338</v>
      </c>
      <c r="Q147" s="0" t="s">
        <v>27</v>
      </c>
    </row>
    <row r="148" customFormat="false" ht="17.15" hidden="false" customHeight="false" outlineLevel="0" collapsed="false">
      <c r="A148" s="2" t="s">
        <v>1342</v>
      </c>
      <c r="B148" s="2" t="s">
        <v>1334</v>
      </c>
      <c r="C148" s="2" t="s">
        <v>496</v>
      </c>
      <c r="D148" s="2" t="s">
        <v>1335</v>
      </c>
      <c r="E148" s="2" t="s">
        <v>1042</v>
      </c>
      <c r="F148" s="2" t="s">
        <v>562</v>
      </c>
      <c r="G148" s="2" t="str">
        <f aca="false">IFERROR(INDEX(Prices_Item,MATCH(F148,Prices_ID,0)),"ITEM NOT FOUND")</f>
        <v>Rebar ⅜ in, 12 m</v>
      </c>
      <c r="H148" s="7"/>
      <c r="I148" s="2" t="s">
        <v>1201</v>
      </c>
      <c r="J148" s="3" t="n">
        <f aca="false">IFERROR(INDEX(Prices_Current,MATCH(F148,Prices_ID,0)),"")</f>
        <v>281.42</v>
      </c>
      <c r="K148" s="2" t="s">
        <v>1164</v>
      </c>
      <c r="L148" s="3" t="str">
        <f aca="false">IF(OR(H148="",NOT(ISNUMBER(J148))),"",H148*J148)</f>
        <v/>
      </c>
      <c r="M148" s="2" t="str">
        <f aca="false">IFERROR(INDEX(Prices_Flag,MATCH(F148,Prices_ID,0)),"")</f>
        <v>structural</v>
      </c>
      <c r="N148" s="2" t="s">
        <v>1343</v>
      </c>
      <c r="O148" s="0" t="s">
        <v>1337</v>
      </c>
      <c r="P148" s="8" t="s">
        <v>1338</v>
      </c>
      <c r="Q148" s="0" t="s">
        <v>27</v>
      </c>
    </row>
    <row r="149" customFormat="false" ht="17.15" hidden="false" customHeight="false" outlineLevel="0" collapsed="false">
      <c r="A149" s="2" t="s">
        <v>1344</v>
      </c>
      <c r="B149" s="2" t="s">
        <v>1334</v>
      </c>
      <c r="C149" s="2" t="s">
        <v>496</v>
      </c>
      <c r="D149" s="2" t="s">
        <v>1335</v>
      </c>
      <c r="E149" s="2" t="s">
        <v>1042</v>
      </c>
      <c r="F149" s="2" t="s">
        <v>569</v>
      </c>
      <c r="G149" s="2" t="str">
        <f aca="false">IFERROR(INDEX(Prices_Item,MATCH(F149,Prices_ID,0)),"ITEM NOT FOUND")</f>
        <v>Welded wire mesh 6x6-10/10, roll</v>
      </c>
      <c r="H149" s="7"/>
      <c r="I149" s="2" t="s">
        <v>1201</v>
      </c>
      <c r="J149" s="3" t="n">
        <f aca="false">IFERROR(INDEX(Prices_Current,MATCH(F149,Prices_ID,0)),"")</f>
        <v>1914</v>
      </c>
      <c r="K149" s="2" t="s">
        <v>1164</v>
      </c>
      <c r="L149" s="3" t="str">
        <f aca="false">IF(OR(H149="",NOT(ISNUMBER(J149))),"",H149*J149)</f>
        <v/>
      </c>
      <c r="M149" s="2" t="str">
        <f aca="false">IFERROR(INDEX(Prices_Flag,MATCH(F149,Prices_ID,0)),"")</f>
        <v>structural</v>
      </c>
      <c r="N149" s="2" t="s">
        <v>1343</v>
      </c>
      <c r="O149" s="0" t="s">
        <v>1337</v>
      </c>
      <c r="P149" s="8" t="s">
        <v>1338</v>
      </c>
      <c r="Q149" s="0" t="s">
        <v>27</v>
      </c>
    </row>
    <row r="150" customFormat="false" ht="17.15" hidden="false" customHeight="false" outlineLevel="0" collapsed="false">
      <c r="A150" s="2" t="s">
        <v>1345</v>
      </c>
      <c r="B150" s="2" t="s">
        <v>1334</v>
      </c>
      <c r="C150" s="2" t="s">
        <v>496</v>
      </c>
      <c r="D150" s="2" t="s">
        <v>1335</v>
      </c>
      <c r="E150" s="2" t="s">
        <v>1042</v>
      </c>
      <c r="F150" s="2" t="s">
        <v>574</v>
      </c>
      <c r="G150" s="2" t="str">
        <f aca="false">IFERROR(INDEX(Prices_Item,MATCH(F150,Prices_ID,0)),"ITEM NOT FOUND")</f>
        <v>Structural ready-mix concrete, low end</v>
      </c>
      <c r="H150" s="7"/>
      <c r="I150" s="2" t="s">
        <v>1201</v>
      </c>
      <c r="J150" s="3" t="n">
        <f aca="false">IFERROR(INDEX(Prices_Current,MATCH(F150,Prices_ID,0)),"")</f>
        <v>2100</v>
      </c>
      <c r="K150" s="2" t="s">
        <v>1164</v>
      </c>
      <c r="L150" s="3" t="str">
        <f aca="false">IF(OR(H150="",NOT(ISNUMBER(J150))),"",H150*J150)</f>
        <v/>
      </c>
      <c r="M150" s="2" t="str">
        <f aca="false">IFERROR(INDEX(Prices_Flag,MATCH(F150,Prices_ID,0)),"")</f>
        <v>structural</v>
      </c>
      <c r="N150" s="2" t="s">
        <v>1343</v>
      </c>
      <c r="O150" s="0" t="s">
        <v>1337</v>
      </c>
      <c r="P150" s="8" t="s">
        <v>1338</v>
      </c>
      <c r="Q150" s="0" t="s">
        <v>27</v>
      </c>
    </row>
    <row r="151" customFormat="false" ht="17.15" hidden="false" customHeight="false" outlineLevel="0" collapsed="false">
      <c r="A151" s="2" t="s">
        <v>1346</v>
      </c>
      <c r="B151" s="2" t="s">
        <v>1334</v>
      </c>
      <c r="C151" s="2" t="s">
        <v>496</v>
      </c>
      <c r="D151" s="2" t="s">
        <v>1335</v>
      </c>
      <c r="E151" s="2" t="s">
        <v>1042</v>
      </c>
      <c r="F151" s="2" t="s">
        <v>580</v>
      </c>
      <c r="G151" s="2" t="str">
        <f aca="false">IFERROR(INDEX(Prices_Item,MATCH(F151,Prices_ID,0)),"ITEM NOT FOUND")</f>
        <v>Structural ready-mix concrete, high end</v>
      </c>
      <c r="H151" s="7"/>
      <c r="I151" s="2" t="s">
        <v>1201</v>
      </c>
      <c r="J151" s="3" t="n">
        <f aca="false">IFERROR(INDEX(Prices_Current,MATCH(F151,Prices_ID,0)),"")</f>
        <v>2950</v>
      </c>
      <c r="K151" s="2" t="s">
        <v>1164</v>
      </c>
      <c r="L151" s="3" t="str">
        <f aca="false">IF(OR(H151="",NOT(ISNUMBER(J151))),"",H151*J151)</f>
        <v/>
      </c>
      <c r="M151" s="2" t="str">
        <f aca="false">IFERROR(INDEX(Prices_Flag,MATCH(F151,Prices_ID,0)),"")</f>
        <v>structural</v>
      </c>
      <c r="N151" s="2" t="s">
        <v>1343</v>
      </c>
      <c r="O151" s="0" t="s">
        <v>1337</v>
      </c>
      <c r="P151" s="8" t="s">
        <v>1338</v>
      </c>
      <c r="Q151" s="0" t="s">
        <v>27</v>
      </c>
    </row>
    <row r="152" customFormat="false" ht="17.15" hidden="false" customHeight="false" outlineLevel="0" collapsed="false">
      <c r="A152" s="2" t="s">
        <v>1347</v>
      </c>
      <c r="B152" s="2" t="s">
        <v>1334</v>
      </c>
      <c r="C152" s="2" t="s">
        <v>496</v>
      </c>
      <c r="D152" s="2" t="s">
        <v>1335</v>
      </c>
      <c r="E152" s="2" t="s">
        <v>1049</v>
      </c>
      <c r="F152" s="2" t="s">
        <v>528</v>
      </c>
      <c r="G152" s="2" t="str">
        <f aca="false">IFERROR(INDEX(Prices_Item,MATCH(F152,Prices_ID,0)),"ITEM NOT FOUND")</f>
        <v>Cemex cement</v>
      </c>
      <c r="H152" s="7" t="n">
        <v>6</v>
      </c>
      <c r="I152" s="2" t="s">
        <v>1336</v>
      </c>
      <c r="J152" s="3" t="n">
        <f aca="false">IFERROR(INDEX(Prices_Current,MATCH(F152,Prices_ID,0)),"")</f>
        <v>280.72</v>
      </c>
      <c r="K152" s="2" t="s">
        <v>1100</v>
      </c>
      <c r="L152" s="3" t="n">
        <f aca="false">IF(OR(H152="",NOT(ISNUMBER(J152))),"",H152*J152)</f>
        <v>1684.32</v>
      </c>
      <c r="M152" s="2" t="str">
        <f aca="false">IFERROR(INDEX(Prices_Flag,MATCH(F152,Prices_ID,0)),"")</f>
        <v>none</v>
      </c>
      <c r="N152" s="2" t="s">
        <v>1348</v>
      </c>
      <c r="O152" s="0" t="s">
        <v>1337</v>
      </c>
      <c r="P152" s="8" t="s">
        <v>1338</v>
      </c>
      <c r="Q152" s="0" t="s">
        <v>27</v>
      </c>
    </row>
    <row r="153" customFormat="false" ht="17.15" hidden="false" customHeight="false" outlineLevel="0" collapsed="false">
      <c r="A153" s="2" t="s">
        <v>1349</v>
      </c>
      <c r="B153" s="2" t="s">
        <v>1334</v>
      </c>
      <c r="C153" s="2" t="s">
        <v>496</v>
      </c>
      <c r="D153" s="2" t="s">
        <v>1335</v>
      </c>
      <c r="E153" s="2" t="s">
        <v>1049</v>
      </c>
      <c r="F153" s="2" t="s">
        <v>533</v>
      </c>
      <c r="G153" s="2" t="str">
        <f aca="false">IFERROR(INDEX(Prices_Item,MATCH(F153,Prices_ID,0)),"ITEM NOT FOUND")</f>
        <v>Aggregates (sand + gravel) for 10 m² × 8 cm slab</v>
      </c>
      <c r="H153" s="7" t="n">
        <v>1</v>
      </c>
      <c r="I153" s="2" t="s">
        <v>1163</v>
      </c>
      <c r="J153" s="3" t="n">
        <f aca="false">IFERROR(INDEX(Prices_Current,MATCH(F153,Prices_ID,0)),"")</f>
        <v>1212</v>
      </c>
      <c r="K153" s="2" t="s">
        <v>1100</v>
      </c>
      <c r="L153" s="3" t="n">
        <f aca="false">IF(OR(H153="",NOT(ISNUMBER(J153))),"",H153*J153)</f>
        <v>1212</v>
      </c>
      <c r="M153" s="2" t="str">
        <f aca="false">IFERROR(INDEX(Prices_Flag,MATCH(F153,Prices_ID,0)),"")</f>
        <v>none</v>
      </c>
      <c r="N153" s="2"/>
      <c r="O153" s="0" t="s">
        <v>1337</v>
      </c>
      <c r="P153" s="8" t="s">
        <v>1338</v>
      </c>
      <c r="Q153" s="0" t="s">
        <v>27</v>
      </c>
    </row>
    <row r="154" customFormat="false" ht="17.15" hidden="false" customHeight="false" outlineLevel="0" collapsed="false">
      <c r="A154" s="2" t="s">
        <v>1350</v>
      </c>
      <c r="B154" s="2" t="s">
        <v>1334</v>
      </c>
      <c r="C154" s="2" t="s">
        <v>496</v>
      </c>
      <c r="D154" s="2" t="s">
        <v>1335</v>
      </c>
      <c r="E154" s="2" t="s">
        <v>1049</v>
      </c>
      <c r="F154" s="2" t="s">
        <v>544</v>
      </c>
      <c r="G154" s="2" t="str">
        <f aca="false">IFERROR(INDEX(Prices_Item,MATCH(F154,Prices_ID,0)),"ITEM NOT FOUND")</f>
        <v>Plastic sheeting for curing</v>
      </c>
      <c r="H154" s="7" t="n">
        <v>1</v>
      </c>
      <c r="I154" s="2" t="s">
        <v>989</v>
      </c>
      <c r="J154" s="3" t="n">
        <f aca="false">IFERROR(INDEX(Prices_Current,MATCH(F154,Prices_ID,0)),"")</f>
        <v>88</v>
      </c>
      <c r="K154" s="2" t="s">
        <v>1100</v>
      </c>
      <c r="L154" s="3" t="n">
        <f aca="false">IF(OR(H154="",NOT(ISNUMBER(J154))),"",H154*J154)</f>
        <v>88</v>
      </c>
      <c r="M154" s="2" t="str">
        <f aca="false">IFERROR(INDEX(Prices_Flag,MATCH(F154,Prices_ID,0)),"")</f>
        <v>none</v>
      </c>
      <c r="N154" s="2"/>
      <c r="O154" s="0" t="s">
        <v>1337</v>
      </c>
      <c r="P154" s="8" t="s">
        <v>1338</v>
      </c>
      <c r="Q154" s="0" t="s">
        <v>27</v>
      </c>
    </row>
    <row r="155" customFormat="false" ht="17.15" hidden="false" customHeight="false" outlineLevel="0" collapsed="false">
      <c r="A155" s="2" t="s">
        <v>1351</v>
      </c>
      <c r="B155" s="2" t="s">
        <v>1334</v>
      </c>
      <c r="C155" s="2" t="s">
        <v>496</v>
      </c>
      <c r="D155" s="2" t="s">
        <v>1335</v>
      </c>
      <c r="E155" s="2" t="s">
        <v>1049</v>
      </c>
      <c r="F155" s="2" t="s">
        <v>548</v>
      </c>
      <c r="G155" s="2" t="str">
        <f aca="false">IFERROR(INDEX(Prices_Item,MATCH(F155,Prices_ID,0)),"ITEM NOT FOUND")</f>
        <v>Curafest curing compound</v>
      </c>
      <c r="H155" s="7" t="n">
        <v>1</v>
      </c>
      <c r="I155" s="2" t="s">
        <v>1326</v>
      </c>
      <c r="J155" s="3" t="n">
        <f aca="false">IFERROR(INDEX(Prices_Current,MATCH(F155,Prices_ID,0)),"")</f>
        <v>163</v>
      </c>
      <c r="K155" s="2" t="s">
        <v>1100</v>
      </c>
      <c r="L155" s="3" t="n">
        <f aca="false">IF(OR(H155="",NOT(ISNUMBER(J155))),"",H155*J155)</f>
        <v>163</v>
      </c>
      <c r="M155" s="2" t="str">
        <f aca="false">IFERROR(INDEX(Prices_Flag,MATCH(F155,Prices_ID,0)),"")</f>
        <v>none</v>
      </c>
      <c r="N155" s="2"/>
      <c r="O155" s="0" t="s">
        <v>1337</v>
      </c>
      <c r="P155" s="8" t="s">
        <v>1338</v>
      </c>
      <c r="Q155" s="0" t="s">
        <v>27</v>
      </c>
    </row>
    <row r="156" customFormat="false" ht="17.15" hidden="false" customHeight="false" outlineLevel="0" collapsed="false">
      <c r="A156" s="2" t="s">
        <v>1352</v>
      </c>
      <c r="B156" s="2" t="s">
        <v>1334</v>
      </c>
      <c r="C156" s="2" t="s">
        <v>496</v>
      </c>
      <c r="D156" s="2" t="s">
        <v>1335</v>
      </c>
      <c r="E156" s="2" t="s">
        <v>1049</v>
      </c>
      <c r="F156" s="2" t="s">
        <v>562</v>
      </c>
      <c r="G156" s="2" t="str">
        <f aca="false">IFERROR(INDEX(Prices_Item,MATCH(F156,Prices_ID,0)),"ITEM NOT FOUND")</f>
        <v>Rebar ⅜ in, 12 m</v>
      </c>
      <c r="H156" s="7"/>
      <c r="I156" s="2" t="s">
        <v>1201</v>
      </c>
      <c r="J156" s="3" t="n">
        <f aca="false">IFERROR(INDEX(Prices_Current,MATCH(F156,Prices_ID,0)),"")</f>
        <v>281.42</v>
      </c>
      <c r="K156" s="2" t="s">
        <v>1164</v>
      </c>
      <c r="L156" s="3" t="str">
        <f aca="false">IF(OR(H156="",NOT(ISNUMBER(J156))),"",H156*J156)</f>
        <v/>
      </c>
      <c r="M156" s="2" t="str">
        <f aca="false">IFERROR(INDEX(Prices_Flag,MATCH(F156,Prices_ID,0)),"")</f>
        <v>structural</v>
      </c>
      <c r="N156" s="2" t="s">
        <v>1343</v>
      </c>
      <c r="O156" s="0" t="s">
        <v>1337</v>
      </c>
      <c r="P156" s="8" t="s">
        <v>1338</v>
      </c>
      <c r="Q156" s="0" t="s">
        <v>27</v>
      </c>
    </row>
    <row r="157" customFormat="false" ht="17.15" hidden="false" customHeight="false" outlineLevel="0" collapsed="false">
      <c r="A157" s="2" t="s">
        <v>1353</v>
      </c>
      <c r="B157" s="2" t="s">
        <v>1334</v>
      </c>
      <c r="C157" s="2" t="s">
        <v>496</v>
      </c>
      <c r="D157" s="2" t="s">
        <v>1335</v>
      </c>
      <c r="E157" s="2" t="s">
        <v>1049</v>
      </c>
      <c r="F157" s="2" t="s">
        <v>569</v>
      </c>
      <c r="G157" s="2" t="str">
        <f aca="false">IFERROR(INDEX(Prices_Item,MATCH(F157,Prices_ID,0)),"ITEM NOT FOUND")</f>
        <v>Welded wire mesh 6x6-10/10, roll</v>
      </c>
      <c r="H157" s="7"/>
      <c r="I157" s="2" t="s">
        <v>1201</v>
      </c>
      <c r="J157" s="3" t="n">
        <f aca="false">IFERROR(INDEX(Prices_Current,MATCH(F157,Prices_ID,0)),"")</f>
        <v>1914</v>
      </c>
      <c r="K157" s="2" t="s">
        <v>1164</v>
      </c>
      <c r="L157" s="3" t="str">
        <f aca="false">IF(OR(H157="",NOT(ISNUMBER(J157))),"",H157*J157)</f>
        <v/>
      </c>
      <c r="M157" s="2" t="str">
        <f aca="false">IFERROR(INDEX(Prices_Flag,MATCH(F157,Prices_ID,0)),"")</f>
        <v>structural</v>
      </c>
      <c r="N157" s="2" t="s">
        <v>1343</v>
      </c>
      <c r="O157" s="0" t="s">
        <v>1337</v>
      </c>
      <c r="P157" s="8" t="s">
        <v>1338</v>
      </c>
      <c r="Q157" s="0" t="s">
        <v>27</v>
      </c>
    </row>
    <row r="158" customFormat="false" ht="17.15" hidden="false" customHeight="false" outlineLevel="0" collapsed="false">
      <c r="A158" s="2" t="s">
        <v>1354</v>
      </c>
      <c r="B158" s="2" t="s">
        <v>1334</v>
      </c>
      <c r="C158" s="2" t="s">
        <v>496</v>
      </c>
      <c r="D158" s="2" t="s">
        <v>1335</v>
      </c>
      <c r="E158" s="2" t="s">
        <v>1049</v>
      </c>
      <c r="F158" s="2" t="s">
        <v>574</v>
      </c>
      <c r="G158" s="2" t="str">
        <f aca="false">IFERROR(INDEX(Prices_Item,MATCH(F158,Prices_ID,0)),"ITEM NOT FOUND")</f>
        <v>Structural ready-mix concrete, low end</v>
      </c>
      <c r="H158" s="7"/>
      <c r="I158" s="2" t="s">
        <v>1201</v>
      </c>
      <c r="J158" s="3" t="n">
        <f aca="false">IFERROR(INDEX(Prices_Current,MATCH(F158,Prices_ID,0)),"")</f>
        <v>2100</v>
      </c>
      <c r="K158" s="2" t="s">
        <v>1164</v>
      </c>
      <c r="L158" s="3" t="str">
        <f aca="false">IF(OR(H158="",NOT(ISNUMBER(J158))),"",H158*J158)</f>
        <v/>
      </c>
      <c r="M158" s="2" t="str">
        <f aca="false">IFERROR(INDEX(Prices_Flag,MATCH(F158,Prices_ID,0)),"")</f>
        <v>structural</v>
      </c>
      <c r="N158" s="2" t="s">
        <v>1343</v>
      </c>
      <c r="O158" s="0" t="s">
        <v>1337</v>
      </c>
      <c r="P158" s="8" t="s">
        <v>1338</v>
      </c>
      <c r="Q158" s="0" t="s">
        <v>27</v>
      </c>
    </row>
    <row r="159" customFormat="false" ht="17.15" hidden="false" customHeight="false" outlineLevel="0" collapsed="false">
      <c r="A159" s="2" t="s">
        <v>1355</v>
      </c>
      <c r="B159" s="2" t="s">
        <v>1334</v>
      </c>
      <c r="C159" s="2" t="s">
        <v>496</v>
      </c>
      <c r="D159" s="2" t="s">
        <v>1335</v>
      </c>
      <c r="E159" s="2" t="s">
        <v>1049</v>
      </c>
      <c r="F159" s="2" t="s">
        <v>580</v>
      </c>
      <c r="G159" s="2" t="str">
        <f aca="false">IFERROR(INDEX(Prices_Item,MATCH(F159,Prices_ID,0)),"ITEM NOT FOUND")</f>
        <v>Structural ready-mix concrete, high end</v>
      </c>
      <c r="H159" s="7"/>
      <c r="I159" s="2" t="s">
        <v>1201</v>
      </c>
      <c r="J159" s="3" t="n">
        <f aca="false">IFERROR(INDEX(Prices_Current,MATCH(F159,Prices_ID,0)),"")</f>
        <v>2950</v>
      </c>
      <c r="K159" s="2" t="s">
        <v>1164</v>
      </c>
      <c r="L159" s="3" t="str">
        <f aca="false">IF(OR(H159="",NOT(ISNUMBER(J159))),"",H159*J159)</f>
        <v/>
      </c>
      <c r="M159" s="2" t="str">
        <f aca="false">IFERROR(INDEX(Prices_Flag,MATCH(F159,Prices_ID,0)),"")</f>
        <v>structural</v>
      </c>
      <c r="N159" s="2" t="s">
        <v>1343</v>
      </c>
      <c r="O159" s="0" t="s">
        <v>1337</v>
      </c>
      <c r="P159" s="8" t="s">
        <v>1338</v>
      </c>
      <c r="Q159" s="0" t="s">
        <v>27</v>
      </c>
    </row>
    <row r="160" customFormat="false" ht="17.15" hidden="false" customHeight="false" outlineLevel="0" collapsed="false">
      <c r="A160" s="2" t="s">
        <v>1356</v>
      </c>
      <c r="B160" s="2" t="s">
        <v>1334</v>
      </c>
      <c r="C160" s="2" t="s">
        <v>496</v>
      </c>
      <c r="D160" s="2" t="s">
        <v>1335</v>
      </c>
      <c r="E160" s="2" t="s">
        <v>1051</v>
      </c>
      <c r="F160" s="2" t="s">
        <v>538</v>
      </c>
      <c r="G160" s="2" t="str">
        <f aca="false">IFERROR(INDEX(Prices_Item,MATCH(F160,Prices_ID,0)),"ITEM NOT FOUND")</f>
        <v>Cemex premixed concrete 25 kg</v>
      </c>
      <c r="H160" s="7" t="n">
        <v>73</v>
      </c>
      <c r="I160" s="2" t="s">
        <v>1357</v>
      </c>
      <c r="J160" s="3" t="n">
        <f aca="false">IFERROR(INDEX(Prices_Current,MATCH(F160,Prices_ID,0)),"")</f>
        <v>144</v>
      </c>
      <c r="K160" s="2" t="s">
        <v>1100</v>
      </c>
      <c r="L160" s="3" t="n">
        <f aca="false">IF(OR(H160="",NOT(ISNUMBER(J160))),"",H160*J160)</f>
        <v>10512</v>
      </c>
      <c r="M160" s="2" t="str">
        <f aca="false">IFERROR(INDEX(Prices_Flag,MATCH(F160,Prices_ID,0)),"")</f>
        <v>none</v>
      </c>
      <c r="N160" s="2"/>
      <c r="O160" s="0" t="s">
        <v>1337</v>
      </c>
      <c r="P160" s="8" t="s">
        <v>1338</v>
      </c>
      <c r="Q160" s="0" t="s">
        <v>27</v>
      </c>
    </row>
    <row r="161" customFormat="false" ht="17.15" hidden="false" customHeight="false" outlineLevel="0" collapsed="false">
      <c r="A161" s="2" t="s">
        <v>1358</v>
      </c>
      <c r="B161" s="2" t="s">
        <v>1334</v>
      </c>
      <c r="C161" s="2" t="s">
        <v>496</v>
      </c>
      <c r="D161" s="2" t="s">
        <v>1335</v>
      </c>
      <c r="E161" s="2" t="s">
        <v>1051</v>
      </c>
      <c r="F161" s="2" t="s">
        <v>544</v>
      </c>
      <c r="G161" s="2" t="str">
        <f aca="false">IFERROR(INDEX(Prices_Item,MATCH(F161,Prices_ID,0)),"ITEM NOT FOUND")</f>
        <v>Plastic sheeting for curing</v>
      </c>
      <c r="H161" s="7" t="n">
        <v>1</v>
      </c>
      <c r="I161" s="2" t="s">
        <v>989</v>
      </c>
      <c r="J161" s="3" t="n">
        <f aca="false">IFERROR(INDEX(Prices_Current,MATCH(F161,Prices_ID,0)),"")</f>
        <v>88</v>
      </c>
      <c r="K161" s="2" t="s">
        <v>1100</v>
      </c>
      <c r="L161" s="3" t="n">
        <f aca="false">IF(OR(H161="",NOT(ISNUMBER(J161))),"",H161*J161)</f>
        <v>88</v>
      </c>
      <c r="M161" s="2" t="str">
        <f aca="false">IFERROR(INDEX(Prices_Flag,MATCH(F161,Prices_ID,0)),"")</f>
        <v>none</v>
      </c>
      <c r="N161" s="2"/>
      <c r="O161" s="0" t="s">
        <v>1337</v>
      </c>
      <c r="P161" s="8" t="s">
        <v>1338</v>
      </c>
      <c r="Q161" s="0" t="s">
        <v>27</v>
      </c>
    </row>
    <row r="162" customFormat="false" ht="17.15" hidden="false" customHeight="false" outlineLevel="0" collapsed="false">
      <c r="A162" s="2" t="s">
        <v>1359</v>
      </c>
      <c r="B162" s="2" t="s">
        <v>1334</v>
      </c>
      <c r="C162" s="2" t="s">
        <v>496</v>
      </c>
      <c r="D162" s="2" t="s">
        <v>1335</v>
      </c>
      <c r="E162" s="2" t="s">
        <v>1051</v>
      </c>
      <c r="F162" s="2" t="s">
        <v>548</v>
      </c>
      <c r="G162" s="2" t="str">
        <f aca="false">IFERROR(INDEX(Prices_Item,MATCH(F162,Prices_ID,0)),"ITEM NOT FOUND")</f>
        <v>Curafest curing compound</v>
      </c>
      <c r="H162" s="7" t="n">
        <v>1</v>
      </c>
      <c r="I162" s="2" t="s">
        <v>1326</v>
      </c>
      <c r="J162" s="3" t="n">
        <f aca="false">IFERROR(INDEX(Prices_Current,MATCH(F162,Prices_ID,0)),"")</f>
        <v>163</v>
      </c>
      <c r="K162" s="2" t="s">
        <v>1100</v>
      </c>
      <c r="L162" s="3" t="n">
        <f aca="false">IF(OR(H162="",NOT(ISNUMBER(J162))),"",H162*J162)</f>
        <v>163</v>
      </c>
      <c r="M162" s="2" t="str">
        <f aca="false">IFERROR(INDEX(Prices_Flag,MATCH(F162,Prices_ID,0)),"")</f>
        <v>none</v>
      </c>
      <c r="N162" s="2"/>
      <c r="O162" s="0" t="s">
        <v>1337</v>
      </c>
      <c r="P162" s="8" t="s">
        <v>1338</v>
      </c>
      <c r="Q162" s="0" t="s">
        <v>27</v>
      </c>
    </row>
    <row r="163" customFormat="false" ht="17.15" hidden="false" customHeight="false" outlineLevel="0" collapsed="false">
      <c r="A163" s="2" t="s">
        <v>1360</v>
      </c>
      <c r="B163" s="2" t="s">
        <v>1334</v>
      </c>
      <c r="C163" s="2" t="s">
        <v>496</v>
      </c>
      <c r="D163" s="2" t="s">
        <v>1335</v>
      </c>
      <c r="E163" s="2" t="s">
        <v>1051</v>
      </c>
      <c r="F163" s="2" t="s">
        <v>562</v>
      </c>
      <c r="G163" s="2" t="str">
        <f aca="false">IFERROR(INDEX(Prices_Item,MATCH(F163,Prices_ID,0)),"ITEM NOT FOUND")</f>
        <v>Rebar ⅜ in, 12 m</v>
      </c>
      <c r="H163" s="7"/>
      <c r="I163" s="2" t="s">
        <v>1201</v>
      </c>
      <c r="J163" s="3" t="n">
        <f aca="false">IFERROR(INDEX(Prices_Current,MATCH(F163,Prices_ID,0)),"")</f>
        <v>281.42</v>
      </c>
      <c r="K163" s="2" t="s">
        <v>1164</v>
      </c>
      <c r="L163" s="3" t="str">
        <f aca="false">IF(OR(H163="",NOT(ISNUMBER(J163))),"",H163*J163)</f>
        <v/>
      </c>
      <c r="M163" s="2" t="str">
        <f aca="false">IFERROR(INDEX(Prices_Flag,MATCH(F163,Prices_ID,0)),"")</f>
        <v>structural</v>
      </c>
      <c r="N163" s="2" t="s">
        <v>1343</v>
      </c>
      <c r="O163" s="0" t="s">
        <v>1337</v>
      </c>
      <c r="P163" s="8" t="s">
        <v>1338</v>
      </c>
      <c r="Q163" s="0" t="s">
        <v>27</v>
      </c>
    </row>
    <row r="164" customFormat="false" ht="17.15" hidden="false" customHeight="false" outlineLevel="0" collapsed="false">
      <c r="A164" s="2" t="s">
        <v>1361</v>
      </c>
      <c r="B164" s="2" t="s">
        <v>1334</v>
      </c>
      <c r="C164" s="2" t="s">
        <v>496</v>
      </c>
      <c r="D164" s="2" t="s">
        <v>1335</v>
      </c>
      <c r="E164" s="2" t="s">
        <v>1051</v>
      </c>
      <c r="F164" s="2" t="s">
        <v>569</v>
      </c>
      <c r="G164" s="2" t="str">
        <f aca="false">IFERROR(INDEX(Prices_Item,MATCH(F164,Prices_ID,0)),"ITEM NOT FOUND")</f>
        <v>Welded wire mesh 6x6-10/10, roll</v>
      </c>
      <c r="H164" s="7"/>
      <c r="I164" s="2" t="s">
        <v>1201</v>
      </c>
      <c r="J164" s="3" t="n">
        <f aca="false">IFERROR(INDEX(Prices_Current,MATCH(F164,Prices_ID,0)),"")</f>
        <v>1914</v>
      </c>
      <c r="K164" s="2" t="s">
        <v>1164</v>
      </c>
      <c r="L164" s="3" t="str">
        <f aca="false">IF(OR(H164="",NOT(ISNUMBER(J164))),"",H164*J164)</f>
        <v/>
      </c>
      <c r="M164" s="2" t="str">
        <f aca="false">IFERROR(INDEX(Prices_Flag,MATCH(F164,Prices_ID,0)),"")</f>
        <v>structural</v>
      </c>
      <c r="N164" s="2" t="s">
        <v>1343</v>
      </c>
      <c r="O164" s="0" t="s">
        <v>1337</v>
      </c>
      <c r="P164" s="8" t="s">
        <v>1338</v>
      </c>
      <c r="Q164" s="0" t="s">
        <v>27</v>
      </c>
    </row>
    <row r="165" customFormat="false" ht="17.15" hidden="false" customHeight="false" outlineLevel="0" collapsed="false">
      <c r="A165" s="2" t="s">
        <v>1362</v>
      </c>
      <c r="B165" s="2" t="s">
        <v>1334</v>
      </c>
      <c r="C165" s="2" t="s">
        <v>496</v>
      </c>
      <c r="D165" s="2" t="s">
        <v>1335</v>
      </c>
      <c r="E165" s="2" t="s">
        <v>1051</v>
      </c>
      <c r="F165" s="2" t="s">
        <v>574</v>
      </c>
      <c r="G165" s="2" t="str">
        <f aca="false">IFERROR(INDEX(Prices_Item,MATCH(F165,Prices_ID,0)),"ITEM NOT FOUND")</f>
        <v>Structural ready-mix concrete, low end</v>
      </c>
      <c r="H165" s="7"/>
      <c r="I165" s="2" t="s">
        <v>1201</v>
      </c>
      <c r="J165" s="3" t="n">
        <f aca="false">IFERROR(INDEX(Prices_Current,MATCH(F165,Prices_ID,0)),"")</f>
        <v>2100</v>
      </c>
      <c r="K165" s="2" t="s">
        <v>1164</v>
      </c>
      <c r="L165" s="3" t="str">
        <f aca="false">IF(OR(H165="",NOT(ISNUMBER(J165))),"",H165*J165)</f>
        <v/>
      </c>
      <c r="M165" s="2" t="str">
        <f aca="false">IFERROR(INDEX(Prices_Flag,MATCH(F165,Prices_ID,0)),"")</f>
        <v>structural</v>
      </c>
      <c r="N165" s="2" t="s">
        <v>1343</v>
      </c>
      <c r="O165" s="0" t="s">
        <v>1337</v>
      </c>
      <c r="P165" s="8" t="s">
        <v>1338</v>
      </c>
      <c r="Q165" s="0" t="s">
        <v>27</v>
      </c>
    </row>
    <row r="166" customFormat="false" ht="17.15" hidden="false" customHeight="false" outlineLevel="0" collapsed="false">
      <c r="A166" s="2" t="s">
        <v>1363</v>
      </c>
      <c r="B166" s="2" t="s">
        <v>1334</v>
      </c>
      <c r="C166" s="2" t="s">
        <v>496</v>
      </c>
      <c r="D166" s="2" t="s">
        <v>1335</v>
      </c>
      <c r="E166" s="2" t="s">
        <v>1051</v>
      </c>
      <c r="F166" s="2" t="s">
        <v>580</v>
      </c>
      <c r="G166" s="2" t="str">
        <f aca="false">IFERROR(INDEX(Prices_Item,MATCH(F166,Prices_ID,0)),"ITEM NOT FOUND")</f>
        <v>Structural ready-mix concrete, high end</v>
      </c>
      <c r="H166" s="7"/>
      <c r="I166" s="2" t="s">
        <v>1201</v>
      </c>
      <c r="J166" s="3" t="n">
        <f aca="false">IFERROR(INDEX(Prices_Current,MATCH(F166,Prices_ID,0)),"")</f>
        <v>2950</v>
      </c>
      <c r="K166" s="2" t="s">
        <v>1164</v>
      </c>
      <c r="L166" s="3" t="str">
        <f aca="false">IF(OR(H166="",NOT(ISNUMBER(J166))),"",H166*J166)</f>
        <v/>
      </c>
      <c r="M166" s="2" t="str">
        <f aca="false">IFERROR(INDEX(Prices_Flag,MATCH(F166,Prices_ID,0)),"")</f>
        <v>structural</v>
      </c>
      <c r="N166" s="2" t="s">
        <v>1343</v>
      </c>
      <c r="O166" s="0" t="s">
        <v>1337</v>
      </c>
      <c r="P166" s="8" t="s">
        <v>1338</v>
      </c>
      <c r="Q166" s="0" t="s">
        <v>27</v>
      </c>
    </row>
    <row r="167" customFormat="false" ht="17.15" hidden="false" customHeight="false" outlineLevel="0" collapsed="false">
      <c r="A167" s="2" t="s">
        <v>1364</v>
      </c>
      <c r="B167" s="2" t="s">
        <v>1365</v>
      </c>
      <c r="C167" s="2" t="s">
        <v>496</v>
      </c>
      <c r="D167" s="2" t="s">
        <v>1366</v>
      </c>
      <c r="E167" s="2" t="s">
        <v>1042</v>
      </c>
      <c r="F167" s="2" t="s">
        <v>551</v>
      </c>
      <c r="G167" s="2" t="str">
        <f aca="false">IFERROR(INDEX(Prices_Item,MATCH(F167,Prices_ID,0)),"ITEM NOT FOUND")</f>
        <v>IMPAC concrete sealer</v>
      </c>
      <c r="H167" s="7" t="n">
        <v>1</v>
      </c>
      <c r="I167" s="2" t="s">
        <v>1326</v>
      </c>
      <c r="J167" s="3" t="n">
        <f aca="false">IFERROR(INDEX(Prices_Current,MATCH(F167,Prices_ID,0)),"")</f>
        <v>320</v>
      </c>
      <c r="K167" s="2" t="s">
        <v>1100</v>
      </c>
      <c r="L167" s="3" t="n">
        <f aca="false">IF(OR(H167="",NOT(ISNUMBER(J167))),"",H167*J167)</f>
        <v>320</v>
      </c>
      <c r="M167" s="2" t="str">
        <f aca="false">IFERROR(INDEX(Prices_Flag,MATCH(F167,Prices_ID,0)),"")</f>
        <v>none</v>
      </c>
      <c r="N167" s="2"/>
      <c r="O167" s="0" t="s">
        <v>1367</v>
      </c>
      <c r="P167" s="8" t="s">
        <v>1368</v>
      </c>
      <c r="Q167" s="0" t="s">
        <v>27</v>
      </c>
    </row>
    <row r="168" customFormat="false" ht="17.15" hidden="false" customHeight="false" outlineLevel="0" collapsed="false">
      <c r="A168" s="2" t="s">
        <v>1369</v>
      </c>
      <c r="B168" s="2" t="s">
        <v>1365</v>
      </c>
      <c r="C168" s="2" t="s">
        <v>496</v>
      </c>
      <c r="D168" s="2" t="s">
        <v>1366</v>
      </c>
      <c r="E168" s="2" t="s">
        <v>1049</v>
      </c>
      <c r="F168" s="2" t="s">
        <v>555</v>
      </c>
      <c r="G168" s="2" t="str">
        <f aca="false">IFERROR(INDEX(Prices_Item,MATCH(F168,Prices_ID,0)),"ITEM NOT FOUND")</f>
        <v>Fester concrete sealer</v>
      </c>
      <c r="H168" s="7" t="n">
        <v>1</v>
      </c>
      <c r="I168" s="2" t="s">
        <v>1326</v>
      </c>
      <c r="J168" s="3" t="n">
        <f aca="false">IFERROR(INDEX(Prices_Current,MATCH(F168,Prices_ID,0)),"")</f>
        <v>358</v>
      </c>
      <c r="K168" s="2" t="s">
        <v>1100</v>
      </c>
      <c r="L168" s="3" t="n">
        <f aca="false">IF(OR(H168="",NOT(ISNUMBER(J168))),"",H168*J168)</f>
        <v>358</v>
      </c>
      <c r="M168" s="2" t="str">
        <f aca="false">IFERROR(INDEX(Prices_Flag,MATCH(F168,Prices_ID,0)),"")</f>
        <v>none</v>
      </c>
      <c r="N168" s="2"/>
      <c r="O168" s="0" t="s">
        <v>1367</v>
      </c>
      <c r="P168" s="8" t="s">
        <v>1368</v>
      </c>
      <c r="Q168" s="0" t="s">
        <v>27</v>
      </c>
    </row>
    <row r="169" customFormat="false" ht="17.15" hidden="false" customHeight="false" outlineLevel="0" collapsed="false">
      <c r="A169" s="2" t="s">
        <v>1370</v>
      </c>
      <c r="B169" s="2" t="s">
        <v>1365</v>
      </c>
      <c r="C169" s="2" t="s">
        <v>496</v>
      </c>
      <c r="D169" s="2" t="s">
        <v>1366</v>
      </c>
      <c r="E169" s="2" t="s">
        <v>1051</v>
      </c>
      <c r="F169" s="2" t="s">
        <v>558</v>
      </c>
      <c r="G169" s="2" t="str">
        <f aca="false">IFERROR(INDEX(Prices_Item,MATCH(F169,Prices_ID,0)),"ITEM NOT FOUND")</f>
        <v>Berel 580 concrete sealer</v>
      </c>
      <c r="H169" s="7" t="n">
        <v>1</v>
      </c>
      <c r="I169" s="2" t="s">
        <v>1326</v>
      </c>
      <c r="J169" s="3" t="n">
        <f aca="false">IFERROR(INDEX(Prices_Current,MATCH(F169,Prices_ID,0)),"")</f>
        <v>1105</v>
      </c>
      <c r="K169" s="2" t="s">
        <v>1100</v>
      </c>
      <c r="L169" s="3" t="n">
        <f aca="false">IF(OR(H169="",NOT(ISNUMBER(J169))),"",H169*J169)</f>
        <v>1105</v>
      </c>
      <c r="M169" s="2" t="str">
        <f aca="false">IFERROR(INDEX(Prices_Flag,MATCH(F169,Prices_ID,0)),"")</f>
        <v>none</v>
      </c>
      <c r="N169" s="2"/>
      <c r="O169" s="0" t="s">
        <v>1367</v>
      </c>
      <c r="P169" s="8" t="s">
        <v>1368</v>
      </c>
      <c r="Q169" s="0" t="s">
        <v>27</v>
      </c>
    </row>
    <row r="170" customFormat="false" ht="17.15" hidden="false" customHeight="false" outlineLevel="0" collapsed="false">
      <c r="A170" s="2" t="s">
        <v>1371</v>
      </c>
      <c r="B170" s="2" t="s">
        <v>1372</v>
      </c>
      <c r="C170" s="2" t="s">
        <v>590</v>
      </c>
      <c r="D170" s="2" t="s">
        <v>1373</v>
      </c>
      <c r="E170" s="2" t="s">
        <v>1042</v>
      </c>
      <c r="F170" s="2" t="s">
        <v>589</v>
      </c>
      <c r="G170" s="2" t="str">
        <f aca="false">IFERROR(INDEX(Prices_Item,MATCH(F170,Prices_ID,0)),"ITEM NOT FOUND")</f>
        <v>Veker half-ball hinge 3×3 in, 2-pack (lower-priced listing)</v>
      </c>
      <c r="H170" s="7" t="n">
        <v>2</v>
      </c>
      <c r="I170" s="2" t="s">
        <v>1374</v>
      </c>
      <c r="J170" s="3" t="n">
        <f aca="false">IFERROR(INDEX(Prices_Current,MATCH(F170,Prices_ID,0)),"")</f>
        <v>51</v>
      </c>
      <c r="K170" s="2" t="s">
        <v>1100</v>
      </c>
      <c r="L170" s="3" t="n">
        <f aca="false">IF(OR(H170="",NOT(ISNUMBER(J170))),"",H170*J170)</f>
        <v>102</v>
      </c>
      <c r="M170" s="2" t="str">
        <f aca="false">IFERROR(INDEX(Prices_Flag,MATCH(F170,Prices_ID,0)),"")</f>
        <v>none</v>
      </c>
      <c r="N170" s="2" t="s">
        <v>1375</v>
      </c>
      <c r="O170" s="0" t="s">
        <v>1376</v>
      </c>
      <c r="P170" s="8" t="s">
        <v>1377</v>
      </c>
      <c r="Q170" s="0" t="s">
        <v>27</v>
      </c>
    </row>
    <row r="171" customFormat="false" ht="17.15" hidden="false" customHeight="false" outlineLevel="0" collapsed="false">
      <c r="A171" s="2" t="s">
        <v>1378</v>
      </c>
      <c r="B171" s="2" t="s">
        <v>1372</v>
      </c>
      <c r="C171" s="2" t="s">
        <v>590</v>
      </c>
      <c r="D171" s="2" t="s">
        <v>1373</v>
      </c>
      <c r="E171" s="2" t="s">
        <v>1042</v>
      </c>
      <c r="F171" s="2" t="s">
        <v>610</v>
      </c>
      <c r="G171" s="2" t="str">
        <f aca="false">IFERROR(INDEX(Prices_Item,MATCH(F171,Prices_ID,0)),"ITEM NOT FOUND")</f>
        <v>Fiero assorted wall plugs + screws, 26 pc</v>
      </c>
      <c r="H171" s="7" t="n">
        <v>1</v>
      </c>
      <c r="I171" s="2" t="s">
        <v>1379</v>
      </c>
      <c r="J171" s="3" t="n">
        <f aca="false">IFERROR(INDEX(Prices_Current,MATCH(F171,Prices_ID,0)),"")</f>
        <v>37</v>
      </c>
      <c r="K171" s="2" t="s">
        <v>1044</v>
      </c>
      <c r="L171" s="3" t="n">
        <f aca="false">IF(OR(H171="",NOT(ISNUMBER(J171))),"",H171*J171)</f>
        <v>37</v>
      </c>
      <c r="M171" s="2" t="str">
        <f aca="false">IFERROR(INDEX(Prices_Flag,MATCH(F171,Prices_ID,0)),"")</f>
        <v>none</v>
      </c>
      <c r="N171" s="2"/>
      <c r="O171" s="0" t="s">
        <v>1376</v>
      </c>
      <c r="P171" s="8" t="s">
        <v>1377</v>
      </c>
      <c r="Q171" s="0" t="s">
        <v>27</v>
      </c>
    </row>
    <row r="172" customFormat="false" ht="17.15" hidden="false" customHeight="false" outlineLevel="0" collapsed="false">
      <c r="A172" s="2" t="s">
        <v>1380</v>
      </c>
      <c r="B172" s="2" t="s">
        <v>1372</v>
      </c>
      <c r="C172" s="2" t="s">
        <v>590</v>
      </c>
      <c r="D172" s="2" t="s">
        <v>1373</v>
      </c>
      <c r="E172" s="2" t="s">
        <v>1049</v>
      </c>
      <c r="F172" s="2" t="s">
        <v>598</v>
      </c>
      <c r="G172" s="2" t="str">
        <f aca="false">IFERROR(INDEX(Prices_Item,MATCH(F172,Prices_ID,0)),"ITEM NOT FOUND")</f>
        <v>Hinge 3½ in matte black, 3 pc with screws</v>
      </c>
      <c r="H172" s="7" t="n">
        <v>1</v>
      </c>
      <c r="I172" s="2" t="s">
        <v>1381</v>
      </c>
      <c r="J172" s="3" t="n">
        <f aca="false">IFERROR(INDEX(Prices_Current,MATCH(F172,Prices_ID,0)),"")</f>
        <v>107</v>
      </c>
      <c r="K172" s="2" t="s">
        <v>1100</v>
      </c>
      <c r="L172" s="3" t="n">
        <f aca="false">IF(OR(H172="",NOT(ISNUMBER(J172))),"",H172*J172)</f>
        <v>107</v>
      </c>
      <c r="M172" s="2" t="str">
        <f aca="false">IFERROR(INDEX(Prices_Flag,MATCH(F172,Prices_ID,0)),"")</f>
        <v>none</v>
      </c>
      <c r="N172" s="2" t="s">
        <v>1375</v>
      </c>
      <c r="O172" s="0" t="s">
        <v>1376</v>
      </c>
      <c r="P172" s="8" t="s">
        <v>1377</v>
      </c>
      <c r="Q172" s="0" t="s">
        <v>27</v>
      </c>
    </row>
    <row r="173" customFormat="false" ht="17.15" hidden="false" customHeight="false" outlineLevel="0" collapsed="false">
      <c r="A173" s="2" t="s">
        <v>1382</v>
      </c>
      <c r="B173" s="2" t="s">
        <v>1372</v>
      </c>
      <c r="C173" s="2" t="s">
        <v>590</v>
      </c>
      <c r="D173" s="2" t="s">
        <v>1373</v>
      </c>
      <c r="E173" s="2" t="s">
        <v>1049</v>
      </c>
      <c r="F173" s="2" t="s">
        <v>610</v>
      </c>
      <c r="G173" s="2" t="str">
        <f aca="false">IFERROR(INDEX(Prices_Item,MATCH(F173,Prices_ID,0)),"ITEM NOT FOUND")</f>
        <v>Fiero assorted wall plugs + screws, 26 pc</v>
      </c>
      <c r="H173" s="7" t="n">
        <v>1</v>
      </c>
      <c r="I173" s="2" t="s">
        <v>1379</v>
      </c>
      <c r="J173" s="3" t="n">
        <f aca="false">IFERROR(INDEX(Prices_Current,MATCH(F173,Prices_ID,0)),"")</f>
        <v>37</v>
      </c>
      <c r="K173" s="2" t="s">
        <v>1044</v>
      </c>
      <c r="L173" s="3" t="n">
        <f aca="false">IF(OR(H173="",NOT(ISNUMBER(J173))),"",H173*J173)</f>
        <v>37</v>
      </c>
      <c r="M173" s="2" t="str">
        <f aca="false">IFERROR(INDEX(Prices_Flag,MATCH(F173,Prices_ID,0)),"")</f>
        <v>none</v>
      </c>
      <c r="N173" s="2"/>
      <c r="O173" s="0" t="s">
        <v>1376</v>
      </c>
      <c r="P173" s="8" t="s">
        <v>1377</v>
      </c>
      <c r="Q173" s="0" t="s">
        <v>27</v>
      </c>
    </row>
    <row r="174" customFormat="false" ht="17.15" hidden="false" customHeight="false" outlineLevel="0" collapsed="false">
      <c r="A174" s="2" t="s">
        <v>1383</v>
      </c>
      <c r="B174" s="2" t="s">
        <v>1372</v>
      </c>
      <c r="C174" s="2" t="s">
        <v>590</v>
      </c>
      <c r="D174" s="2" t="s">
        <v>1373</v>
      </c>
      <c r="E174" s="2" t="s">
        <v>1051</v>
      </c>
      <c r="F174" s="2" t="s">
        <v>605</v>
      </c>
      <c r="G174" s="2" t="str">
        <f aca="false">IFERROR(INDEX(Prices_Item,MATCH(F174,Prices_ID,0)),"ITEM NOT FOUND")</f>
        <v>Veker half-ball hinge 3×3 in, 2-pack (higher-priced finish)</v>
      </c>
      <c r="H174" s="7" t="n">
        <v>2</v>
      </c>
      <c r="I174" s="2" t="s">
        <v>1374</v>
      </c>
      <c r="J174" s="3" t="n">
        <f aca="false">IFERROR(INDEX(Prices_Current,MATCH(F174,Prices_ID,0)),"")</f>
        <v>78</v>
      </c>
      <c r="K174" s="2" t="s">
        <v>1100</v>
      </c>
      <c r="L174" s="3" t="n">
        <f aca="false">IF(OR(H174="",NOT(ISNUMBER(J174))),"",H174*J174)</f>
        <v>156</v>
      </c>
      <c r="M174" s="2" t="str">
        <f aca="false">IFERROR(INDEX(Prices_Flag,MATCH(F174,Prices_ID,0)),"")</f>
        <v>none</v>
      </c>
      <c r="N174" s="2" t="s">
        <v>1375</v>
      </c>
      <c r="O174" s="0" t="s">
        <v>1376</v>
      </c>
      <c r="P174" s="8" t="s">
        <v>1377</v>
      </c>
      <c r="Q174" s="0" t="s">
        <v>27</v>
      </c>
    </row>
    <row r="175" customFormat="false" ht="17.15" hidden="false" customHeight="false" outlineLevel="0" collapsed="false">
      <c r="A175" s="2" t="s">
        <v>1384</v>
      </c>
      <c r="B175" s="2" t="s">
        <v>1372</v>
      </c>
      <c r="C175" s="2" t="s">
        <v>590</v>
      </c>
      <c r="D175" s="2" t="s">
        <v>1373</v>
      </c>
      <c r="E175" s="2" t="s">
        <v>1051</v>
      </c>
      <c r="F175" s="2" t="s">
        <v>610</v>
      </c>
      <c r="G175" s="2" t="str">
        <f aca="false">IFERROR(INDEX(Prices_Item,MATCH(F175,Prices_ID,0)),"ITEM NOT FOUND")</f>
        <v>Fiero assorted wall plugs + screws, 26 pc</v>
      </c>
      <c r="H175" s="7" t="n">
        <v>1</v>
      </c>
      <c r="I175" s="2" t="s">
        <v>1379</v>
      </c>
      <c r="J175" s="3" t="n">
        <f aca="false">IFERROR(INDEX(Prices_Current,MATCH(F175,Prices_ID,0)),"")</f>
        <v>37</v>
      </c>
      <c r="K175" s="2" t="s">
        <v>1044</v>
      </c>
      <c r="L175" s="3" t="n">
        <f aca="false">IF(OR(H175="",NOT(ISNUMBER(J175))),"",H175*J175)</f>
        <v>37</v>
      </c>
      <c r="M175" s="2" t="str">
        <f aca="false">IFERROR(INDEX(Prices_Flag,MATCH(F175,Prices_ID,0)),"")</f>
        <v>none</v>
      </c>
      <c r="N175" s="2"/>
      <c r="O175" s="0" t="s">
        <v>1376</v>
      </c>
      <c r="P175" s="8" t="s">
        <v>1377</v>
      </c>
      <c r="Q175" s="0" t="s">
        <v>27</v>
      </c>
    </row>
    <row r="176" customFormat="false" ht="17.15" hidden="false" customHeight="false" outlineLevel="0" collapsed="false">
      <c r="A176" s="2" t="s">
        <v>1385</v>
      </c>
      <c r="B176" s="2" t="s">
        <v>1386</v>
      </c>
      <c r="C176" s="2" t="s">
        <v>618</v>
      </c>
      <c r="D176" s="2" t="s">
        <v>1387</v>
      </c>
      <c r="E176" s="2" t="s">
        <v>1042</v>
      </c>
      <c r="F176" s="2" t="s">
        <v>617</v>
      </c>
      <c r="G176" s="2" t="str">
        <f aca="false">IFERROR(INDEX(Prices_Item,MATCH(F176,Prices_ID,0)),"ITEM NOT FOUND")</f>
        <v>WD-40 Specialist contact cleaner 8 oz (budget store)</v>
      </c>
      <c r="H176" s="7" t="n">
        <v>0.25</v>
      </c>
      <c r="I176" s="2" t="s">
        <v>1388</v>
      </c>
      <c r="J176" s="3" t="n">
        <f aca="false">IFERROR(INDEX(Prices_Current,MATCH(F176,Prices_ID,0)),"")</f>
        <v>137</v>
      </c>
      <c r="K176" s="2" t="s">
        <v>1100</v>
      </c>
      <c r="L176" s="3" t="n">
        <f aca="false">IF(OR(H176="",NOT(ISNUMBER(J176))),"",H176*J176)</f>
        <v>34.25</v>
      </c>
      <c r="M176" s="2" t="str">
        <f aca="false">IFERROR(INDEX(Prices_Flag,MATCH(F176,Prices_ID,0)),"")</f>
        <v>none</v>
      </c>
      <c r="N176" s="2" t="s">
        <v>1389</v>
      </c>
      <c r="O176" s="0" t="s">
        <v>1390</v>
      </c>
      <c r="P176" s="8" t="s">
        <v>1391</v>
      </c>
      <c r="Q176" s="0" t="s">
        <v>27</v>
      </c>
    </row>
    <row r="177" customFormat="false" ht="17.15" hidden="false" customHeight="false" outlineLevel="0" collapsed="false">
      <c r="A177" s="2" t="s">
        <v>1392</v>
      </c>
      <c r="B177" s="2" t="s">
        <v>1386</v>
      </c>
      <c r="C177" s="2" t="s">
        <v>618</v>
      </c>
      <c r="D177" s="2" t="s">
        <v>1387</v>
      </c>
      <c r="E177" s="2" t="s">
        <v>1042</v>
      </c>
      <c r="F177" s="2" t="s">
        <v>634</v>
      </c>
      <c r="G177" s="2" t="str">
        <f aca="false">IFERROR(INDEX(Prices_Item,MATCH(F177,Prices_ID,0)),"ITEM NOT FOUND")</f>
        <v>Replacement parts (model-specific, as-needed)</v>
      </c>
      <c r="H177" s="7"/>
      <c r="I177" s="2" t="s">
        <v>1393</v>
      </c>
      <c r="J177" s="3" t="str">
        <f aca="false">IFERROR(INDEX(Prices_Current,MATCH(F177,Prices_ID,0)),"")</f>
        <v/>
      </c>
      <c r="K177" s="2" t="s">
        <v>1044</v>
      </c>
      <c r="L177" s="3" t="str">
        <f aca="false">IF(OR(H177="",NOT(ISNUMBER(J177))),"",H177*J177)</f>
        <v/>
      </c>
      <c r="M177" s="2" t="str">
        <f aca="false">IFERROR(INDEX(Prices_Flag,MATCH(F177,Prices_ID,0)),"")</f>
        <v>none</v>
      </c>
      <c r="N177" s="2" t="s">
        <v>1394</v>
      </c>
      <c r="O177" s="0" t="s">
        <v>1390</v>
      </c>
      <c r="P177" s="8" t="s">
        <v>1391</v>
      </c>
      <c r="Q177" s="0" t="s">
        <v>27</v>
      </c>
    </row>
    <row r="178" customFormat="false" ht="17.15" hidden="false" customHeight="false" outlineLevel="0" collapsed="false">
      <c r="A178" s="2" t="s">
        <v>1395</v>
      </c>
      <c r="B178" s="2" t="s">
        <v>1396</v>
      </c>
      <c r="C178" s="2" t="s">
        <v>618</v>
      </c>
      <c r="D178" s="2" t="s">
        <v>1397</v>
      </c>
      <c r="E178" s="2" t="s">
        <v>1042</v>
      </c>
      <c r="F178" s="2" t="s">
        <v>617</v>
      </c>
      <c r="G178" s="2" t="str">
        <f aca="false">IFERROR(INDEX(Prices_Item,MATCH(F178,Prices_ID,0)),"ITEM NOT FOUND")</f>
        <v>WD-40 Specialist contact cleaner 8 oz (budget store)</v>
      </c>
      <c r="H178" s="7" t="n">
        <v>0.25</v>
      </c>
      <c r="I178" s="2" t="s">
        <v>1388</v>
      </c>
      <c r="J178" s="3" t="n">
        <f aca="false">IFERROR(INDEX(Prices_Current,MATCH(F178,Prices_ID,0)),"")</f>
        <v>137</v>
      </c>
      <c r="K178" s="2" t="s">
        <v>1100</v>
      </c>
      <c r="L178" s="3" t="n">
        <f aca="false">IF(OR(H178="",NOT(ISNUMBER(J178))),"",H178*J178)</f>
        <v>34.25</v>
      </c>
      <c r="M178" s="2" t="str">
        <f aca="false">IFERROR(INDEX(Prices_Flag,MATCH(F178,Prices_ID,0)),"")</f>
        <v>none</v>
      </c>
      <c r="N178" s="2" t="s">
        <v>1389</v>
      </c>
      <c r="O178" s="0" t="s">
        <v>1398</v>
      </c>
      <c r="P178" s="8" t="s">
        <v>1399</v>
      </c>
      <c r="Q178" s="0" t="s">
        <v>27</v>
      </c>
    </row>
    <row r="179" customFormat="false" ht="17.15" hidden="false" customHeight="false" outlineLevel="0" collapsed="false">
      <c r="A179" s="2" t="s">
        <v>1400</v>
      </c>
      <c r="B179" s="2" t="s">
        <v>1396</v>
      </c>
      <c r="C179" s="2" t="s">
        <v>618</v>
      </c>
      <c r="D179" s="2" t="s">
        <v>1397</v>
      </c>
      <c r="E179" s="2" t="s">
        <v>1042</v>
      </c>
      <c r="F179" s="2" t="s">
        <v>634</v>
      </c>
      <c r="G179" s="2" t="str">
        <f aca="false">IFERROR(INDEX(Prices_Item,MATCH(F179,Prices_ID,0)),"ITEM NOT FOUND")</f>
        <v>Replacement parts (model-specific, as-needed)</v>
      </c>
      <c r="H179" s="7"/>
      <c r="I179" s="2" t="s">
        <v>1393</v>
      </c>
      <c r="J179" s="3" t="str">
        <f aca="false">IFERROR(INDEX(Prices_Current,MATCH(F179,Prices_ID,0)),"")</f>
        <v/>
      </c>
      <c r="K179" s="2" t="s">
        <v>1044</v>
      </c>
      <c r="L179" s="3" t="str">
        <f aca="false">IF(OR(H179="",NOT(ISNUMBER(J179))),"",H179*J179)</f>
        <v/>
      </c>
      <c r="M179" s="2" t="str">
        <f aca="false">IFERROR(INDEX(Prices_Flag,MATCH(F179,Prices_ID,0)),"")</f>
        <v>none</v>
      </c>
      <c r="N179" s="2" t="s">
        <v>1394</v>
      </c>
      <c r="O179" s="0" t="s">
        <v>1398</v>
      </c>
      <c r="P179" s="8" t="s">
        <v>1399</v>
      </c>
      <c r="Q179" s="0" t="s">
        <v>27</v>
      </c>
    </row>
    <row r="180" customFormat="false" ht="17.15" hidden="false" customHeight="false" outlineLevel="0" collapsed="false">
      <c r="A180" s="2" t="s">
        <v>1401</v>
      </c>
      <c r="B180" s="2" t="s">
        <v>1396</v>
      </c>
      <c r="C180" s="2" t="s">
        <v>618</v>
      </c>
      <c r="D180" s="2" t="s">
        <v>1397</v>
      </c>
      <c r="E180" s="2" t="s">
        <v>1042</v>
      </c>
      <c r="F180" s="2" t="s">
        <v>640</v>
      </c>
      <c r="G180" s="2" t="str">
        <f aca="false">IFERROR(INDEX(Prices_Item,MATCH(F180,Prices_ID,0)),"ITEM NOT FOUND")</f>
        <v>Refrigerant for refrigerator sealed system (as-needed)</v>
      </c>
      <c r="H180" s="7"/>
      <c r="I180" s="2" t="s">
        <v>1402</v>
      </c>
      <c r="J180" s="3" t="str">
        <f aca="false">IFERROR(INDEX(Prices_Current,MATCH(F180,Prices_ID,0)),"")</f>
        <v/>
      </c>
      <c r="K180" s="2" t="s">
        <v>1061</v>
      </c>
      <c r="L180" s="3" t="str">
        <f aca="false">IF(OR(H180="",NOT(ISNUMBER(J180))),"",H180*J180)</f>
        <v/>
      </c>
      <c r="M180" s="2" t="str">
        <f aca="false">IFERROR(INDEX(Prices_Flag,MATCH(F180,Prices_ID,0)),"")</f>
        <v>FLAGGED-human review</v>
      </c>
      <c r="N180" s="2" t="s">
        <v>1403</v>
      </c>
      <c r="O180" s="0" t="s">
        <v>1398</v>
      </c>
      <c r="P180" s="8" t="s">
        <v>1399</v>
      </c>
      <c r="Q180" s="0" t="s">
        <v>1044</v>
      </c>
    </row>
    <row r="181" customFormat="false" ht="17.15" hidden="false" customHeight="false" outlineLevel="0" collapsed="false">
      <c r="A181" s="2" t="s">
        <v>1404</v>
      </c>
      <c r="B181" s="2" t="s">
        <v>1386</v>
      </c>
      <c r="C181" s="2" t="s">
        <v>618</v>
      </c>
      <c r="D181" s="2" t="s">
        <v>1387</v>
      </c>
      <c r="E181" s="2" t="s">
        <v>1049</v>
      </c>
      <c r="F181" s="2" t="s">
        <v>625</v>
      </c>
      <c r="G181" s="2" t="str">
        <f aca="false">IFERROR(INDEX(Prices_Item,MATCH(F181,Prices_ID,0)),"ITEM NOT FOUND")</f>
        <v>WD-40 Specialist contact cleaner 8 oz</v>
      </c>
      <c r="H181" s="7" t="n">
        <v>0.25</v>
      </c>
      <c r="I181" s="2" t="s">
        <v>1388</v>
      </c>
      <c r="J181" s="3" t="n">
        <f aca="false">IFERROR(INDEX(Prices_Current,MATCH(F181,Prices_ID,0)),"")</f>
        <v>160</v>
      </c>
      <c r="K181" s="2" t="s">
        <v>1100</v>
      </c>
      <c r="L181" s="3" t="n">
        <f aca="false">IF(OR(H181="",NOT(ISNUMBER(J181))),"",H181*J181)</f>
        <v>40</v>
      </c>
      <c r="M181" s="2" t="str">
        <f aca="false">IFERROR(INDEX(Prices_Flag,MATCH(F181,Prices_ID,0)),"")</f>
        <v>none</v>
      </c>
      <c r="N181" s="2" t="s">
        <v>1389</v>
      </c>
      <c r="O181" s="0" t="s">
        <v>1390</v>
      </c>
      <c r="P181" s="8" t="s">
        <v>1391</v>
      </c>
      <c r="Q181" s="0" t="s">
        <v>27</v>
      </c>
    </row>
    <row r="182" customFormat="false" ht="17.15" hidden="false" customHeight="false" outlineLevel="0" collapsed="false">
      <c r="A182" s="2" t="s">
        <v>1405</v>
      </c>
      <c r="B182" s="2" t="s">
        <v>1386</v>
      </c>
      <c r="C182" s="2" t="s">
        <v>618</v>
      </c>
      <c r="D182" s="2" t="s">
        <v>1387</v>
      </c>
      <c r="E182" s="2" t="s">
        <v>1049</v>
      </c>
      <c r="F182" s="2" t="s">
        <v>634</v>
      </c>
      <c r="G182" s="2" t="str">
        <f aca="false">IFERROR(INDEX(Prices_Item,MATCH(F182,Prices_ID,0)),"ITEM NOT FOUND")</f>
        <v>Replacement parts (model-specific, as-needed)</v>
      </c>
      <c r="H182" s="7"/>
      <c r="I182" s="2" t="s">
        <v>1393</v>
      </c>
      <c r="J182" s="3" t="str">
        <f aca="false">IFERROR(INDEX(Prices_Current,MATCH(F182,Prices_ID,0)),"")</f>
        <v/>
      </c>
      <c r="K182" s="2" t="s">
        <v>1044</v>
      </c>
      <c r="L182" s="3" t="str">
        <f aca="false">IF(OR(H182="",NOT(ISNUMBER(J182))),"",H182*J182)</f>
        <v/>
      </c>
      <c r="M182" s="2" t="str">
        <f aca="false">IFERROR(INDEX(Prices_Flag,MATCH(F182,Prices_ID,0)),"")</f>
        <v>none</v>
      </c>
      <c r="N182" s="2" t="s">
        <v>1394</v>
      </c>
      <c r="O182" s="0" t="s">
        <v>1390</v>
      </c>
      <c r="P182" s="8" t="s">
        <v>1391</v>
      </c>
      <c r="Q182" s="0" t="s">
        <v>27</v>
      </c>
    </row>
    <row r="183" customFormat="false" ht="17.15" hidden="false" customHeight="false" outlineLevel="0" collapsed="false">
      <c r="A183" s="2" t="s">
        <v>1406</v>
      </c>
      <c r="B183" s="2" t="s">
        <v>1396</v>
      </c>
      <c r="C183" s="2" t="s">
        <v>618</v>
      </c>
      <c r="D183" s="2" t="s">
        <v>1397</v>
      </c>
      <c r="E183" s="2" t="s">
        <v>1049</v>
      </c>
      <c r="F183" s="2" t="s">
        <v>625</v>
      </c>
      <c r="G183" s="2" t="str">
        <f aca="false">IFERROR(INDEX(Prices_Item,MATCH(F183,Prices_ID,0)),"ITEM NOT FOUND")</f>
        <v>WD-40 Specialist contact cleaner 8 oz</v>
      </c>
      <c r="H183" s="7" t="n">
        <v>0.25</v>
      </c>
      <c r="I183" s="2" t="s">
        <v>1388</v>
      </c>
      <c r="J183" s="3" t="n">
        <f aca="false">IFERROR(INDEX(Prices_Current,MATCH(F183,Prices_ID,0)),"")</f>
        <v>160</v>
      </c>
      <c r="K183" s="2" t="s">
        <v>1100</v>
      </c>
      <c r="L183" s="3" t="n">
        <f aca="false">IF(OR(H183="",NOT(ISNUMBER(J183))),"",H183*J183)</f>
        <v>40</v>
      </c>
      <c r="M183" s="2" t="str">
        <f aca="false">IFERROR(INDEX(Prices_Flag,MATCH(F183,Prices_ID,0)),"")</f>
        <v>none</v>
      </c>
      <c r="N183" s="2" t="s">
        <v>1389</v>
      </c>
      <c r="O183" s="0" t="s">
        <v>1398</v>
      </c>
      <c r="P183" s="8" t="s">
        <v>1399</v>
      </c>
      <c r="Q183" s="0" t="s">
        <v>27</v>
      </c>
    </row>
    <row r="184" customFormat="false" ht="17.15" hidden="false" customHeight="false" outlineLevel="0" collapsed="false">
      <c r="A184" s="2" t="s">
        <v>1407</v>
      </c>
      <c r="B184" s="2" t="s">
        <v>1396</v>
      </c>
      <c r="C184" s="2" t="s">
        <v>618</v>
      </c>
      <c r="D184" s="2" t="s">
        <v>1397</v>
      </c>
      <c r="E184" s="2" t="s">
        <v>1049</v>
      </c>
      <c r="F184" s="2" t="s">
        <v>634</v>
      </c>
      <c r="G184" s="2" t="str">
        <f aca="false">IFERROR(INDEX(Prices_Item,MATCH(F184,Prices_ID,0)),"ITEM NOT FOUND")</f>
        <v>Replacement parts (model-specific, as-needed)</v>
      </c>
      <c r="H184" s="7"/>
      <c r="I184" s="2" t="s">
        <v>1393</v>
      </c>
      <c r="J184" s="3" t="str">
        <f aca="false">IFERROR(INDEX(Prices_Current,MATCH(F184,Prices_ID,0)),"")</f>
        <v/>
      </c>
      <c r="K184" s="2" t="s">
        <v>1044</v>
      </c>
      <c r="L184" s="3" t="str">
        <f aca="false">IF(OR(H184="",NOT(ISNUMBER(J184))),"",H184*J184)</f>
        <v/>
      </c>
      <c r="M184" s="2" t="str">
        <f aca="false">IFERROR(INDEX(Prices_Flag,MATCH(F184,Prices_ID,0)),"")</f>
        <v>none</v>
      </c>
      <c r="N184" s="2" t="s">
        <v>1394</v>
      </c>
      <c r="O184" s="0" t="s">
        <v>1398</v>
      </c>
      <c r="P184" s="8" t="s">
        <v>1399</v>
      </c>
      <c r="Q184" s="0" t="s">
        <v>27</v>
      </c>
    </row>
    <row r="185" customFormat="false" ht="17.15" hidden="false" customHeight="false" outlineLevel="0" collapsed="false">
      <c r="A185" s="2" t="s">
        <v>1408</v>
      </c>
      <c r="B185" s="2" t="s">
        <v>1396</v>
      </c>
      <c r="C185" s="2" t="s">
        <v>618</v>
      </c>
      <c r="D185" s="2" t="s">
        <v>1397</v>
      </c>
      <c r="E185" s="2" t="s">
        <v>1049</v>
      </c>
      <c r="F185" s="2" t="s">
        <v>640</v>
      </c>
      <c r="G185" s="2" t="str">
        <f aca="false">IFERROR(INDEX(Prices_Item,MATCH(F185,Prices_ID,0)),"ITEM NOT FOUND")</f>
        <v>Refrigerant for refrigerator sealed system (as-needed)</v>
      </c>
      <c r="H185" s="7"/>
      <c r="I185" s="2" t="s">
        <v>1402</v>
      </c>
      <c r="J185" s="3" t="str">
        <f aca="false">IFERROR(INDEX(Prices_Current,MATCH(F185,Prices_ID,0)),"")</f>
        <v/>
      </c>
      <c r="K185" s="2" t="s">
        <v>1061</v>
      </c>
      <c r="L185" s="3" t="str">
        <f aca="false">IF(OR(H185="",NOT(ISNUMBER(J185))),"",H185*J185)</f>
        <v/>
      </c>
      <c r="M185" s="2" t="str">
        <f aca="false">IFERROR(INDEX(Prices_Flag,MATCH(F185,Prices_ID,0)),"")</f>
        <v>FLAGGED-human review</v>
      </c>
      <c r="N185" s="2" t="s">
        <v>1403</v>
      </c>
      <c r="O185" s="0" t="s">
        <v>1398</v>
      </c>
      <c r="P185" s="8" t="s">
        <v>1399</v>
      </c>
      <c r="Q185" s="0" t="s">
        <v>1044</v>
      </c>
    </row>
    <row r="186" customFormat="false" ht="17.15" hidden="false" customHeight="false" outlineLevel="0" collapsed="false">
      <c r="A186" s="2" t="s">
        <v>1409</v>
      </c>
      <c r="B186" s="2" t="s">
        <v>1386</v>
      </c>
      <c r="C186" s="2" t="s">
        <v>618</v>
      </c>
      <c r="D186" s="2" t="s">
        <v>1387</v>
      </c>
      <c r="E186" s="2" t="s">
        <v>1051</v>
      </c>
      <c r="F186" s="2" t="s">
        <v>629</v>
      </c>
      <c r="G186" s="2" t="str">
        <f aca="false">IFERROR(INDEX(Prices_Item,MATCH(F186,Prices_ID,0)),"ITEM NOT FOUND")</f>
        <v>WD-40 Specialist contact cleaner 8 oz (Ferretera Dial)</v>
      </c>
      <c r="H186" s="7" t="n">
        <v>0.25</v>
      </c>
      <c r="I186" s="2" t="s">
        <v>1388</v>
      </c>
      <c r="J186" s="3" t="n">
        <f aca="false">IFERROR(INDEX(Prices_Current,MATCH(F186,Prices_ID,0)),"")</f>
        <v>225.27</v>
      </c>
      <c r="K186" s="2" t="s">
        <v>1100</v>
      </c>
      <c r="L186" s="3" t="n">
        <f aca="false">IF(OR(H186="",NOT(ISNUMBER(J186))),"",H186*J186)</f>
        <v>56.3175</v>
      </c>
      <c r="M186" s="2" t="str">
        <f aca="false">IFERROR(INDEX(Prices_Flag,MATCH(F186,Prices_ID,0)),"")</f>
        <v>none</v>
      </c>
      <c r="N186" s="2" t="s">
        <v>1389</v>
      </c>
      <c r="O186" s="0" t="s">
        <v>1390</v>
      </c>
      <c r="P186" s="8" t="s">
        <v>1391</v>
      </c>
      <c r="Q186" s="0" t="s">
        <v>27</v>
      </c>
    </row>
    <row r="187" customFormat="false" ht="17.15" hidden="false" customHeight="false" outlineLevel="0" collapsed="false">
      <c r="A187" s="2" t="s">
        <v>1410</v>
      </c>
      <c r="B187" s="2" t="s">
        <v>1386</v>
      </c>
      <c r="C187" s="2" t="s">
        <v>618</v>
      </c>
      <c r="D187" s="2" t="s">
        <v>1387</v>
      </c>
      <c r="E187" s="2" t="s">
        <v>1051</v>
      </c>
      <c r="F187" s="2" t="s">
        <v>634</v>
      </c>
      <c r="G187" s="2" t="str">
        <f aca="false">IFERROR(INDEX(Prices_Item,MATCH(F187,Prices_ID,0)),"ITEM NOT FOUND")</f>
        <v>Replacement parts (model-specific, as-needed)</v>
      </c>
      <c r="H187" s="7"/>
      <c r="I187" s="2" t="s">
        <v>1393</v>
      </c>
      <c r="J187" s="3" t="str">
        <f aca="false">IFERROR(INDEX(Prices_Current,MATCH(F187,Prices_ID,0)),"")</f>
        <v/>
      </c>
      <c r="K187" s="2" t="s">
        <v>1044</v>
      </c>
      <c r="L187" s="3" t="str">
        <f aca="false">IF(OR(H187="",NOT(ISNUMBER(J187))),"",H187*J187)</f>
        <v/>
      </c>
      <c r="M187" s="2" t="str">
        <f aca="false">IFERROR(INDEX(Prices_Flag,MATCH(F187,Prices_ID,0)),"")</f>
        <v>none</v>
      </c>
      <c r="N187" s="2" t="s">
        <v>1394</v>
      </c>
      <c r="O187" s="0" t="s">
        <v>1390</v>
      </c>
      <c r="P187" s="8" t="s">
        <v>1391</v>
      </c>
      <c r="Q187" s="0" t="s">
        <v>27</v>
      </c>
    </row>
    <row r="188" customFormat="false" ht="17.15" hidden="false" customHeight="false" outlineLevel="0" collapsed="false">
      <c r="A188" s="2" t="s">
        <v>1411</v>
      </c>
      <c r="B188" s="2" t="s">
        <v>1396</v>
      </c>
      <c r="C188" s="2" t="s">
        <v>618</v>
      </c>
      <c r="D188" s="2" t="s">
        <v>1397</v>
      </c>
      <c r="E188" s="2" t="s">
        <v>1051</v>
      </c>
      <c r="F188" s="2" t="s">
        <v>629</v>
      </c>
      <c r="G188" s="2" t="str">
        <f aca="false">IFERROR(INDEX(Prices_Item,MATCH(F188,Prices_ID,0)),"ITEM NOT FOUND")</f>
        <v>WD-40 Specialist contact cleaner 8 oz (Ferretera Dial)</v>
      </c>
      <c r="H188" s="7" t="n">
        <v>0.25</v>
      </c>
      <c r="I188" s="2" t="s">
        <v>1388</v>
      </c>
      <c r="J188" s="3" t="n">
        <f aca="false">IFERROR(INDEX(Prices_Current,MATCH(F188,Prices_ID,0)),"")</f>
        <v>225.27</v>
      </c>
      <c r="K188" s="2" t="s">
        <v>1100</v>
      </c>
      <c r="L188" s="3" t="n">
        <f aca="false">IF(OR(H188="",NOT(ISNUMBER(J188))),"",H188*J188)</f>
        <v>56.3175</v>
      </c>
      <c r="M188" s="2" t="str">
        <f aca="false">IFERROR(INDEX(Prices_Flag,MATCH(F188,Prices_ID,0)),"")</f>
        <v>none</v>
      </c>
      <c r="N188" s="2" t="s">
        <v>1389</v>
      </c>
      <c r="O188" s="0" t="s">
        <v>1398</v>
      </c>
      <c r="P188" s="8" t="s">
        <v>1399</v>
      </c>
      <c r="Q188" s="0" t="s">
        <v>27</v>
      </c>
    </row>
    <row r="189" customFormat="false" ht="17.15" hidden="false" customHeight="false" outlineLevel="0" collapsed="false">
      <c r="A189" s="2" t="s">
        <v>1412</v>
      </c>
      <c r="B189" s="2" t="s">
        <v>1396</v>
      </c>
      <c r="C189" s="2" t="s">
        <v>618</v>
      </c>
      <c r="D189" s="2" t="s">
        <v>1397</v>
      </c>
      <c r="E189" s="2" t="s">
        <v>1051</v>
      </c>
      <c r="F189" s="2" t="s">
        <v>634</v>
      </c>
      <c r="G189" s="2" t="str">
        <f aca="false">IFERROR(INDEX(Prices_Item,MATCH(F189,Prices_ID,0)),"ITEM NOT FOUND")</f>
        <v>Replacement parts (model-specific, as-needed)</v>
      </c>
      <c r="H189" s="7"/>
      <c r="I189" s="2" t="s">
        <v>1393</v>
      </c>
      <c r="J189" s="3" t="str">
        <f aca="false">IFERROR(INDEX(Prices_Current,MATCH(F189,Prices_ID,0)),"")</f>
        <v/>
      </c>
      <c r="K189" s="2" t="s">
        <v>1044</v>
      </c>
      <c r="L189" s="3" t="str">
        <f aca="false">IF(OR(H189="",NOT(ISNUMBER(J189))),"",H189*J189)</f>
        <v/>
      </c>
      <c r="M189" s="2" t="str">
        <f aca="false">IFERROR(INDEX(Prices_Flag,MATCH(F189,Prices_ID,0)),"")</f>
        <v>none</v>
      </c>
      <c r="N189" s="2" t="s">
        <v>1394</v>
      </c>
      <c r="O189" s="0" t="s">
        <v>1398</v>
      </c>
      <c r="P189" s="8" t="s">
        <v>1399</v>
      </c>
      <c r="Q189" s="0" t="s">
        <v>27</v>
      </c>
    </row>
    <row r="190" customFormat="false" ht="17.15" hidden="false" customHeight="false" outlineLevel="0" collapsed="false">
      <c r="A190" s="2" t="s">
        <v>1413</v>
      </c>
      <c r="B190" s="2" t="s">
        <v>1396</v>
      </c>
      <c r="C190" s="2" t="s">
        <v>618</v>
      </c>
      <c r="D190" s="2" t="s">
        <v>1397</v>
      </c>
      <c r="E190" s="2" t="s">
        <v>1051</v>
      </c>
      <c r="F190" s="2" t="s">
        <v>640</v>
      </c>
      <c r="G190" s="2" t="str">
        <f aca="false">IFERROR(INDEX(Prices_Item,MATCH(F190,Prices_ID,0)),"ITEM NOT FOUND")</f>
        <v>Refrigerant for refrigerator sealed system (as-needed)</v>
      </c>
      <c r="H190" s="7"/>
      <c r="I190" s="2" t="s">
        <v>1402</v>
      </c>
      <c r="J190" s="3" t="str">
        <f aca="false">IFERROR(INDEX(Prices_Current,MATCH(F190,Prices_ID,0)),"")</f>
        <v/>
      </c>
      <c r="K190" s="2" t="s">
        <v>1061</v>
      </c>
      <c r="L190" s="3" t="str">
        <f aca="false">IF(OR(H190="",NOT(ISNUMBER(J190))),"",H190*J190)</f>
        <v/>
      </c>
      <c r="M190" s="2" t="str">
        <f aca="false">IFERROR(INDEX(Prices_Flag,MATCH(F190,Prices_ID,0)),"")</f>
        <v>FLAGGED-human review</v>
      </c>
      <c r="N190" s="2" t="s">
        <v>1403</v>
      </c>
      <c r="O190" s="0" t="s">
        <v>1398</v>
      </c>
      <c r="P190" s="8" t="s">
        <v>1399</v>
      </c>
      <c r="Q190" s="0" t="s">
        <v>1044</v>
      </c>
    </row>
    <row r="191" customFormat="false" ht="17.15" hidden="false" customHeight="false" outlineLevel="0" collapsed="false">
      <c r="A191" s="2" t="s">
        <v>1414</v>
      </c>
      <c r="B191" s="2" t="s">
        <v>1415</v>
      </c>
      <c r="C191" s="2" t="s">
        <v>646</v>
      </c>
      <c r="D191" s="2" t="s">
        <v>1416</v>
      </c>
      <c r="E191" s="2" t="s">
        <v>1042</v>
      </c>
      <c r="F191" s="2" t="s">
        <v>645</v>
      </c>
      <c r="G191" s="2" t="str">
        <f aca="false">IFERROR(INDEX(Prices_Item,MATCH(F191,Prices_ID,0)),"ITEM NOT FOUND")</f>
        <v>Fester Imperfácil Clásico 5-yr acrylic waterproofing, red 19 L</v>
      </c>
      <c r="H191" s="7" t="n">
        <v>3</v>
      </c>
      <c r="I191" s="2" t="s">
        <v>1417</v>
      </c>
      <c r="J191" s="3" t="n">
        <f aca="false">IFERROR(INDEX(Prices_Current,MATCH(F191,Prices_ID,0)),"")</f>
        <v>1175</v>
      </c>
      <c r="K191" s="2" t="s">
        <v>1100</v>
      </c>
      <c r="L191" s="3" t="n">
        <f aca="false">IF(OR(H191="",NOT(ISNUMBER(J191))),"",H191*J191)</f>
        <v>3525</v>
      </c>
      <c r="M191" s="2" t="str">
        <f aca="false">IFERROR(INDEX(Prices_Flag,MATCH(F191,Prices_ID,0)),"")</f>
        <v>none</v>
      </c>
      <c r="N191" s="2"/>
      <c r="O191" s="0" t="s">
        <v>1418</v>
      </c>
      <c r="P191" s="8" t="s">
        <v>1419</v>
      </c>
      <c r="Q191" s="0" t="s">
        <v>27</v>
      </c>
    </row>
    <row r="192" customFormat="false" ht="17.15" hidden="false" customHeight="false" outlineLevel="0" collapsed="false">
      <c r="A192" s="2" t="s">
        <v>1420</v>
      </c>
      <c r="B192" s="2" t="s">
        <v>1415</v>
      </c>
      <c r="C192" s="2" t="s">
        <v>646</v>
      </c>
      <c r="D192" s="2" t="s">
        <v>1416</v>
      </c>
      <c r="E192" s="2" t="s">
        <v>1042</v>
      </c>
      <c r="F192" s="2" t="s">
        <v>665</v>
      </c>
      <c r="G192" s="2" t="str">
        <f aca="false">IFERROR(INDEX(Prices_Item,MATCH(F192,Prices_ID,0)),"ITEM NOT FOUND")</f>
        <v>IMPAC Sello primer/sealer</v>
      </c>
      <c r="H192" s="7" t="n">
        <v>0.714286</v>
      </c>
      <c r="I192" s="2" t="s">
        <v>1421</v>
      </c>
      <c r="J192" s="3" t="n">
        <f aca="false">IFERROR(INDEX(Prices_Current,MATCH(F192,Prices_ID,0)),"")</f>
        <v>959</v>
      </c>
      <c r="K192" s="2" t="s">
        <v>1100</v>
      </c>
      <c r="L192" s="3" t="n">
        <f aca="false">IF(OR(H192="",NOT(ISNUMBER(J192))),"",H192*J192)</f>
        <v>685.000274</v>
      </c>
      <c r="M192" s="2" t="str">
        <f aca="false">IFERROR(INDEX(Prices_Flag,MATCH(F192,Prices_ID,0)),"")</f>
        <v>none</v>
      </c>
      <c r="N192" s="2"/>
      <c r="O192" s="0" t="s">
        <v>1418</v>
      </c>
      <c r="P192" s="8" t="s">
        <v>1419</v>
      </c>
      <c r="Q192" s="0" t="s">
        <v>27</v>
      </c>
    </row>
    <row r="193" customFormat="false" ht="17.15" hidden="false" customHeight="false" outlineLevel="0" collapsed="false">
      <c r="A193" s="2" t="s">
        <v>1422</v>
      </c>
      <c r="B193" s="2" t="s">
        <v>1415</v>
      </c>
      <c r="C193" s="2" t="s">
        <v>646</v>
      </c>
      <c r="D193" s="2" t="s">
        <v>1416</v>
      </c>
      <c r="E193" s="2" t="s">
        <v>1049</v>
      </c>
      <c r="F193" s="2" t="s">
        <v>652</v>
      </c>
      <c r="G193" s="2" t="str">
        <f aca="false">IFERROR(INDEX(Prices_Item,MATCH(F193,Prices_ID,0)),"ITEM NOT FOUND")</f>
        <v>IMPAC 5000 fibered acrylic 5-yr waterproofing, white 19 L</v>
      </c>
      <c r="H193" s="7" t="n">
        <v>3</v>
      </c>
      <c r="I193" s="2" t="s">
        <v>1423</v>
      </c>
      <c r="J193" s="3" t="n">
        <f aca="false">IFERROR(INDEX(Prices_Current,MATCH(F193,Prices_ID,0)),"")</f>
        <v>1515</v>
      </c>
      <c r="K193" s="2" t="s">
        <v>1100</v>
      </c>
      <c r="L193" s="3" t="n">
        <f aca="false">IF(OR(H193="",NOT(ISNUMBER(J193))),"",H193*J193)</f>
        <v>4545</v>
      </c>
      <c r="M193" s="2" t="str">
        <f aca="false">IFERROR(INDEX(Prices_Flag,MATCH(F193,Prices_ID,0)),"")</f>
        <v>none</v>
      </c>
      <c r="N193" s="2"/>
      <c r="O193" s="0" t="s">
        <v>1418</v>
      </c>
      <c r="P193" s="8" t="s">
        <v>1419</v>
      </c>
      <c r="Q193" s="0" t="s">
        <v>27</v>
      </c>
    </row>
    <row r="194" customFormat="false" ht="17.15" hidden="false" customHeight="false" outlineLevel="0" collapsed="false">
      <c r="A194" s="2" t="s">
        <v>1424</v>
      </c>
      <c r="B194" s="2" t="s">
        <v>1415</v>
      </c>
      <c r="C194" s="2" t="s">
        <v>646</v>
      </c>
      <c r="D194" s="2" t="s">
        <v>1416</v>
      </c>
      <c r="E194" s="2" t="s">
        <v>1049</v>
      </c>
      <c r="F194" s="2" t="s">
        <v>665</v>
      </c>
      <c r="G194" s="2" t="str">
        <f aca="false">IFERROR(INDEX(Prices_Item,MATCH(F194,Prices_ID,0)),"ITEM NOT FOUND")</f>
        <v>IMPAC Sello primer/sealer</v>
      </c>
      <c r="H194" s="7" t="n">
        <v>0.714286</v>
      </c>
      <c r="I194" s="2" t="s">
        <v>1421</v>
      </c>
      <c r="J194" s="3" t="n">
        <f aca="false">IFERROR(INDEX(Prices_Current,MATCH(F194,Prices_ID,0)),"")</f>
        <v>959</v>
      </c>
      <c r="K194" s="2" t="s">
        <v>1100</v>
      </c>
      <c r="L194" s="3" t="n">
        <f aca="false">IF(OR(H194="",NOT(ISNUMBER(J194))),"",H194*J194)</f>
        <v>685.000274</v>
      </c>
      <c r="M194" s="2" t="str">
        <f aca="false">IFERROR(INDEX(Prices_Flag,MATCH(F194,Prices_ID,0)),"")</f>
        <v>none</v>
      </c>
      <c r="N194" s="2"/>
      <c r="O194" s="0" t="s">
        <v>1418</v>
      </c>
      <c r="P194" s="8" t="s">
        <v>1419</v>
      </c>
      <c r="Q194" s="0" t="s">
        <v>27</v>
      </c>
    </row>
    <row r="195" customFormat="false" ht="17.15" hidden="false" customHeight="false" outlineLevel="0" collapsed="false">
      <c r="A195" s="2" t="s">
        <v>1425</v>
      </c>
      <c r="B195" s="2" t="s">
        <v>1415</v>
      </c>
      <c r="C195" s="2" t="s">
        <v>646</v>
      </c>
      <c r="D195" s="2" t="s">
        <v>1416</v>
      </c>
      <c r="E195" s="2" t="s">
        <v>1051</v>
      </c>
      <c r="F195" s="2" t="s">
        <v>658</v>
      </c>
      <c r="G195" s="2" t="str">
        <f aca="false">IFERROR(INDEX(Prices_Item,MATCH(F195,Prices_ID,0)),"ITEM NOT FOUND")</f>
        <v>Protexa SBS 4 mm prefabricated membrane, polyester, 10 m² roll</v>
      </c>
      <c r="H195" s="7" t="n">
        <v>6</v>
      </c>
      <c r="I195" s="2" t="s">
        <v>1426</v>
      </c>
      <c r="J195" s="3" t="n">
        <f aca="false">IFERROR(INDEX(Prices_Current,MATCH(F195,Prices_ID,0)),"")</f>
        <v>1779</v>
      </c>
      <c r="K195" s="2" t="s">
        <v>1100</v>
      </c>
      <c r="L195" s="3" t="n">
        <f aca="false">IF(OR(H195="",NOT(ISNUMBER(J195))),"",H195*J195)</f>
        <v>10674</v>
      </c>
      <c r="M195" s="2" t="str">
        <f aca="false">IFERROR(INDEX(Prices_Flag,MATCH(F195,Prices_ID,0)),"")</f>
        <v>none</v>
      </c>
      <c r="N195" s="2"/>
      <c r="O195" s="0" t="s">
        <v>1418</v>
      </c>
      <c r="P195" s="8" t="s">
        <v>1419</v>
      </c>
      <c r="Q195" s="0" t="s">
        <v>27</v>
      </c>
    </row>
    <row r="196" customFormat="false" ht="17.15" hidden="false" customHeight="false" outlineLevel="0" collapsed="false">
      <c r="A196" s="2" t="s">
        <v>1427</v>
      </c>
      <c r="B196" s="2" t="s">
        <v>1415</v>
      </c>
      <c r="C196" s="2" t="s">
        <v>646</v>
      </c>
      <c r="D196" s="2" t="s">
        <v>1416</v>
      </c>
      <c r="E196" s="2" t="s">
        <v>1051</v>
      </c>
      <c r="F196" s="2" t="s">
        <v>671</v>
      </c>
      <c r="G196" s="2" t="str">
        <f aca="false">IFERROR(INDEX(Prices_Item,MATCH(F196,Prices_ID,0)),"ITEM NOT FOUND")</f>
        <v>Fester Acritón primer/sealer 19 L</v>
      </c>
      <c r="H196" s="7" t="n">
        <v>0.526316</v>
      </c>
      <c r="I196" s="2" t="s">
        <v>1428</v>
      </c>
      <c r="J196" s="3" t="n">
        <f aca="false">IFERROR(INDEX(Prices_Current,MATCH(F196,Prices_ID,0)),"")</f>
        <v>1699</v>
      </c>
      <c r="K196" s="2" t="s">
        <v>1100</v>
      </c>
      <c r="L196" s="3" t="n">
        <f aca="false">IF(OR(H196="",NOT(ISNUMBER(J196))),"",H196*J196)</f>
        <v>894.210884</v>
      </c>
      <c r="M196" s="2" t="str">
        <f aca="false">IFERROR(INDEX(Prices_Flag,MATCH(F196,Prices_ID,0)),"")</f>
        <v>none</v>
      </c>
      <c r="N196" s="2"/>
      <c r="O196" s="0" t="s">
        <v>1418</v>
      </c>
      <c r="P196" s="8" t="s">
        <v>1419</v>
      </c>
      <c r="Q196" s="0" t="s">
        <v>27</v>
      </c>
    </row>
    <row r="197" customFormat="false" ht="17.15" hidden="false" customHeight="false" outlineLevel="0" collapsed="false">
      <c r="A197" s="2" t="s">
        <v>1429</v>
      </c>
      <c r="B197" s="2" t="s">
        <v>1430</v>
      </c>
      <c r="C197" s="2" t="s">
        <v>677</v>
      </c>
      <c r="D197" s="2" t="s">
        <v>1431</v>
      </c>
      <c r="E197" s="2" t="s">
        <v>1042</v>
      </c>
      <c r="F197" s="2" t="s">
        <v>676</v>
      </c>
      <c r="G197" s="2" t="str">
        <f aca="false">IFERROR(INDEX(Prices_Item,MATCH(F197,Prices_ID,0)),"ITEM NOT FOUND")</f>
        <v>Wallvista TV wall mount (fixed/tilt, small–mid screens)</v>
      </c>
      <c r="H197" s="7" t="n">
        <v>1</v>
      </c>
      <c r="I197" s="2" t="s">
        <v>1432</v>
      </c>
      <c r="J197" s="3" t="n">
        <f aca="false">IFERROR(INDEX(Prices_Current,MATCH(F197,Prices_ID,0)),"")</f>
        <v>197</v>
      </c>
      <c r="K197" s="2" t="s">
        <v>1100</v>
      </c>
      <c r="L197" s="3" t="n">
        <f aca="false">IF(OR(H197="",NOT(ISNUMBER(J197))),"",H197*J197)</f>
        <v>197</v>
      </c>
      <c r="M197" s="2" t="str">
        <f aca="false">IFERROR(INDEX(Prices_Flag,MATCH(F197,Prices_ID,0)),"")</f>
        <v>none</v>
      </c>
      <c r="N197" s="2"/>
      <c r="O197" s="0" t="s">
        <v>1433</v>
      </c>
      <c r="P197" s="0" t="s">
        <v>1434</v>
      </c>
      <c r="Q197" s="0" t="s">
        <v>27</v>
      </c>
    </row>
    <row r="198" customFormat="false" ht="17.15" hidden="false" customHeight="false" outlineLevel="0" collapsed="false">
      <c r="A198" s="2" t="s">
        <v>1435</v>
      </c>
      <c r="B198" s="2" t="s">
        <v>1430</v>
      </c>
      <c r="C198" s="2" t="s">
        <v>677</v>
      </c>
      <c r="D198" s="2" t="s">
        <v>1431</v>
      </c>
      <c r="E198" s="2" t="s">
        <v>1042</v>
      </c>
      <c r="F198" s="2" t="s">
        <v>610</v>
      </c>
      <c r="G198" s="2" t="str">
        <f aca="false">IFERROR(INDEX(Prices_Item,MATCH(F198,Prices_ID,0)),"ITEM NOT FOUND")</f>
        <v>Fiero assorted wall plugs + screws, 26 pc</v>
      </c>
      <c r="H198" s="7" t="n">
        <v>1</v>
      </c>
      <c r="I198" s="2" t="s">
        <v>1436</v>
      </c>
      <c r="J198" s="3" t="n">
        <f aca="false">IFERROR(INDEX(Prices_Current,MATCH(F198,Prices_ID,0)),"")</f>
        <v>37</v>
      </c>
      <c r="K198" s="2" t="s">
        <v>1100</v>
      </c>
      <c r="L198" s="3" t="n">
        <f aca="false">IF(OR(H198="",NOT(ISNUMBER(J198))),"",H198*J198)</f>
        <v>37</v>
      </c>
      <c r="M198" s="2" t="str">
        <f aca="false">IFERROR(INDEX(Prices_Flag,MATCH(F198,Prices_ID,0)),"")</f>
        <v>none</v>
      </c>
      <c r="N198" s="2" t="s">
        <v>1437</v>
      </c>
      <c r="O198" s="0" t="s">
        <v>1433</v>
      </c>
      <c r="P198" s="0" t="s">
        <v>1434</v>
      </c>
      <c r="Q198" s="0" t="s">
        <v>27</v>
      </c>
    </row>
    <row r="199" customFormat="false" ht="17.15" hidden="false" customHeight="false" outlineLevel="0" collapsed="false">
      <c r="A199" s="2" t="s">
        <v>1438</v>
      </c>
      <c r="B199" s="2" t="s">
        <v>1439</v>
      </c>
      <c r="C199" s="2" t="s">
        <v>677</v>
      </c>
      <c r="D199" s="2" t="s">
        <v>1440</v>
      </c>
      <c r="E199" s="2" t="s">
        <v>1042</v>
      </c>
      <c r="F199" s="2" t="s">
        <v>610</v>
      </c>
      <c r="G199" s="2" t="str">
        <f aca="false">IFERROR(INDEX(Prices_Item,MATCH(F199,Prices_ID,0)),"ITEM NOT FOUND")</f>
        <v>Fiero assorted wall plugs + screws, 26 pc</v>
      </c>
      <c r="H199" s="7" t="n">
        <v>1</v>
      </c>
      <c r="I199" s="2" t="s">
        <v>1436</v>
      </c>
      <c r="J199" s="3" t="n">
        <f aca="false">IFERROR(INDEX(Prices_Current,MATCH(F199,Prices_ID,0)),"")</f>
        <v>37</v>
      </c>
      <c r="K199" s="2" t="s">
        <v>1100</v>
      </c>
      <c r="L199" s="3" t="n">
        <f aca="false">IF(OR(H199="",NOT(ISNUMBER(J199))),"",H199*J199)</f>
        <v>37</v>
      </c>
      <c r="M199" s="2" t="str">
        <f aca="false">IFERROR(INDEX(Prices_Flag,MATCH(F199,Prices_ID,0)),"")</f>
        <v>none</v>
      </c>
      <c r="N199" s="2" t="s">
        <v>1441</v>
      </c>
      <c r="O199" s="0" t="s">
        <v>1442</v>
      </c>
      <c r="P199" s="8" t="s">
        <v>1443</v>
      </c>
      <c r="Q199" s="0" t="s">
        <v>27</v>
      </c>
    </row>
    <row r="200" customFormat="false" ht="17.15" hidden="false" customHeight="false" outlineLevel="0" collapsed="false">
      <c r="A200" s="2" t="s">
        <v>1444</v>
      </c>
      <c r="B200" s="2" t="s">
        <v>1439</v>
      </c>
      <c r="C200" s="2" t="s">
        <v>677</v>
      </c>
      <c r="D200" s="2" t="s">
        <v>1440</v>
      </c>
      <c r="E200" s="2" t="s">
        <v>1042</v>
      </c>
      <c r="F200" s="2" t="s">
        <v>693</v>
      </c>
      <c r="G200" s="2" t="str">
        <f aca="false">IFERROR(INDEX(Prices_Item,MATCH(F200,Prices_ID,0)),"ITEM NOT FOUND")</f>
        <v>Comex acrylic sealant 300 ml (as-needed)</v>
      </c>
      <c r="H200" s="7" t="n">
        <v>1</v>
      </c>
      <c r="I200" s="2" t="s">
        <v>1043</v>
      </c>
      <c r="J200" s="3" t="n">
        <f aca="false">IFERROR(INDEX(Prices_Current,MATCH(F200,Prices_ID,0)),"")</f>
        <v>136</v>
      </c>
      <c r="K200" s="2" t="s">
        <v>1044</v>
      </c>
      <c r="L200" s="3" t="n">
        <f aca="false">IF(OR(H200="",NOT(ISNUMBER(J200))),"",H200*J200)</f>
        <v>136</v>
      </c>
      <c r="M200" s="2" t="str">
        <f aca="false">IFERROR(INDEX(Prices_Flag,MATCH(F200,Prices_ID,0)),"")</f>
        <v>none</v>
      </c>
      <c r="N200" s="2"/>
      <c r="O200" s="0" t="s">
        <v>1442</v>
      </c>
      <c r="P200" s="8" t="s">
        <v>1443</v>
      </c>
      <c r="Q200" s="0" t="s">
        <v>27</v>
      </c>
    </row>
    <row r="201" customFormat="false" ht="17.15" hidden="false" customHeight="false" outlineLevel="0" collapsed="false">
      <c r="A201" s="2" t="s">
        <v>1445</v>
      </c>
      <c r="B201" s="2" t="s">
        <v>1430</v>
      </c>
      <c r="C201" s="2" t="s">
        <v>677</v>
      </c>
      <c r="D201" s="2" t="s">
        <v>1431</v>
      </c>
      <c r="E201" s="2" t="s">
        <v>1049</v>
      </c>
      <c r="F201" s="2" t="s">
        <v>683</v>
      </c>
      <c r="G201" s="2" t="str">
        <f aca="false">IFERROR(INDEX(Prices_Item,MATCH(F201,Prices_ID,0)),"ITEM NOT FOUND")</f>
        <v>Truper TVSA-70 tilting TV mount</v>
      </c>
      <c r="H201" s="7" t="n">
        <v>1</v>
      </c>
      <c r="I201" s="2" t="s">
        <v>1432</v>
      </c>
      <c r="J201" s="3" t="n">
        <f aca="false">IFERROR(INDEX(Prices_Current,MATCH(F201,Prices_ID,0)),"")</f>
        <v>295</v>
      </c>
      <c r="K201" s="2" t="s">
        <v>1100</v>
      </c>
      <c r="L201" s="3" t="n">
        <f aca="false">IF(OR(H201="",NOT(ISNUMBER(J201))),"",H201*J201)</f>
        <v>295</v>
      </c>
      <c r="M201" s="2" t="str">
        <f aca="false">IFERROR(INDEX(Prices_Flag,MATCH(F201,Prices_ID,0)),"")</f>
        <v>none</v>
      </c>
      <c r="N201" s="2"/>
      <c r="O201" s="0" t="s">
        <v>1433</v>
      </c>
      <c r="P201" s="0" t="s">
        <v>1434</v>
      </c>
      <c r="Q201" s="0" t="s">
        <v>27</v>
      </c>
    </row>
    <row r="202" customFormat="false" ht="17.15" hidden="false" customHeight="false" outlineLevel="0" collapsed="false">
      <c r="A202" s="2" t="s">
        <v>1446</v>
      </c>
      <c r="B202" s="2" t="s">
        <v>1430</v>
      </c>
      <c r="C202" s="2" t="s">
        <v>677</v>
      </c>
      <c r="D202" s="2" t="s">
        <v>1431</v>
      </c>
      <c r="E202" s="2" t="s">
        <v>1049</v>
      </c>
      <c r="F202" s="2" t="s">
        <v>610</v>
      </c>
      <c r="G202" s="2" t="str">
        <f aca="false">IFERROR(INDEX(Prices_Item,MATCH(F202,Prices_ID,0)),"ITEM NOT FOUND")</f>
        <v>Fiero assorted wall plugs + screws, 26 pc</v>
      </c>
      <c r="H202" s="7" t="n">
        <v>1</v>
      </c>
      <c r="I202" s="2" t="s">
        <v>1436</v>
      </c>
      <c r="J202" s="3" t="n">
        <f aca="false">IFERROR(INDEX(Prices_Current,MATCH(F202,Prices_ID,0)),"")</f>
        <v>37</v>
      </c>
      <c r="K202" s="2" t="s">
        <v>1100</v>
      </c>
      <c r="L202" s="3" t="n">
        <f aca="false">IF(OR(H202="",NOT(ISNUMBER(J202))),"",H202*J202)</f>
        <v>37</v>
      </c>
      <c r="M202" s="2" t="str">
        <f aca="false">IFERROR(INDEX(Prices_Flag,MATCH(F202,Prices_ID,0)),"")</f>
        <v>none</v>
      </c>
      <c r="N202" s="2" t="s">
        <v>1437</v>
      </c>
      <c r="O202" s="0" t="s">
        <v>1433</v>
      </c>
      <c r="P202" s="0" t="s">
        <v>1434</v>
      </c>
      <c r="Q202" s="0" t="s">
        <v>27</v>
      </c>
    </row>
    <row r="203" customFormat="false" ht="17.15" hidden="false" customHeight="false" outlineLevel="0" collapsed="false">
      <c r="A203" s="2" t="s">
        <v>1447</v>
      </c>
      <c r="B203" s="2" t="s">
        <v>1439</v>
      </c>
      <c r="C203" s="2" t="s">
        <v>677</v>
      </c>
      <c r="D203" s="2" t="s">
        <v>1440</v>
      </c>
      <c r="E203" s="2" t="s">
        <v>1049</v>
      </c>
      <c r="F203" s="2" t="s">
        <v>610</v>
      </c>
      <c r="G203" s="2" t="str">
        <f aca="false">IFERROR(INDEX(Prices_Item,MATCH(F203,Prices_ID,0)),"ITEM NOT FOUND")</f>
        <v>Fiero assorted wall plugs + screws, 26 pc</v>
      </c>
      <c r="H203" s="7" t="n">
        <v>1</v>
      </c>
      <c r="I203" s="2" t="s">
        <v>1436</v>
      </c>
      <c r="J203" s="3" t="n">
        <f aca="false">IFERROR(INDEX(Prices_Current,MATCH(F203,Prices_ID,0)),"")</f>
        <v>37</v>
      </c>
      <c r="K203" s="2" t="s">
        <v>1100</v>
      </c>
      <c r="L203" s="3" t="n">
        <f aca="false">IF(OR(H203="",NOT(ISNUMBER(J203))),"",H203*J203)</f>
        <v>37</v>
      </c>
      <c r="M203" s="2" t="str">
        <f aca="false">IFERROR(INDEX(Prices_Flag,MATCH(F203,Prices_ID,0)),"")</f>
        <v>none</v>
      </c>
      <c r="N203" s="2" t="s">
        <v>1441</v>
      </c>
      <c r="O203" s="0" t="s">
        <v>1442</v>
      </c>
      <c r="P203" s="8" t="s">
        <v>1443</v>
      </c>
      <c r="Q203" s="0" t="s">
        <v>27</v>
      </c>
    </row>
    <row r="204" customFormat="false" ht="17.15" hidden="false" customHeight="false" outlineLevel="0" collapsed="false">
      <c r="A204" s="2" t="s">
        <v>1448</v>
      </c>
      <c r="B204" s="2" t="s">
        <v>1439</v>
      </c>
      <c r="C204" s="2" t="s">
        <v>677</v>
      </c>
      <c r="D204" s="2" t="s">
        <v>1440</v>
      </c>
      <c r="E204" s="2" t="s">
        <v>1049</v>
      </c>
      <c r="F204" s="2" t="s">
        <v>693</v>
      </c>
      <c r="G204" s="2" t="str">
        <f aca="false">IFERROR(INDEX(Prices_Item,MATCH(F204,Prices_ID,0)),"ITEM NOT FOUND")</f>
        <v>Comex acrylic sealant 300 ml (as-needed)</v>
      </c>
      <c r="H204" s="7" t="n">
        <v>1</v>
      </c>
      <c r="I204" s="2" t="s">
        <v>1043</v>
      </c>
      <c r="J204" s="3" t="n">
        <f aca="false">IFERROR(INDEX(Prices_Current,MATCH(F204,Prices_ID,0)),"")</f>
        <v>136</v>
      </c>
      <c r="K204" s="2" t="s">
        <v>1044</v>
      </c>
      <c r="L204" s="3" t="n">
        <f aca="false">IF(OR(H204="",NOT(ISNUMBER(J204))),"",H204*J204)</f>
        <v>136</v>
      </c>
      <c r="M204" s="2" t="str">
        <f aca="false">IFERROR(INDEX(Prices_Flag,MATCH(F204,Prices_ID,0)),"")</f>
        <v>none</v>
      </c>
      <c r="N204" s="2"/>
      <c r="O204" s="0" t="s">
        <v>1442</v>
      </c>
      <c r="P204" s="8" t="s">
        <v>1443</v>
      </c>
      <c r="Q204" s="0" t="s">
        <v>27</v>
      </c>
    </row>
    <row r="205" customFormat="false" ht="17.15" hidden="false" customHeight="false" outlineLevel="0" collapsed="false">
      <c r="A205" s="2" t="s">
        <v>1449</v>
      </c>
      <c r="B205" s="2" t="s">
        <v>1430</v>
      </c>
      <c r="C205" s="2" t="s">
        <v>677</v>
      </c>
      <c r="D205" s="2" t="s">
        <v>1431</v>
      </c>
      <c r="E205" s="2" t="s">
        <v>1051</v>
      </c>
      <c r="F205" s="2" t="s">
        <v>689</v>
      </c>
      <c r="G205" s="2" t="str">
        <f aca="false">IFERROR(INDEX(Prices_Item,MATCH(F205,Prices_ID,0)),"ITEM NOT FOUND")</f>
        <v>Truper TVSM-65 articulated TV mount</v>
      </c>
      <c r="H205" s="7" t="n">
        <v>1</v>
      </c>
      <c r="I205" s="2" t="s">
        <v>1432</v>
      </c>
      <c r="J205" s="3" t="n">
        <f aca="false">IFERROR(INDEX(Prices_Current,MATCH(F205,Prices_ID,0)),"")</f>
        <v>1150</v>
      </c>
      <c r="K205" s="2" t="s">
        <v>1100</v>
      </c>
      <c r="L205" s="3" t="n">
        <f aca="false">IF(OR(H205="",NOT(ISNUMBER(J205))),"",H205*J205)</f>
        <v>1150</v>
      </c>
      <c r="M205" s="2" t="str">
        <f aca="false">IFERROR(INDEX(Prices_Flag,MATCH(F205,Prices_ID,0)),"")</f>
        <v>none</v>
      </c>
      <c r="N205" s="2"/>
      <c r="O205" s="0" t="s">
        <v>1433</v>
      </c>
      <c r="P205" s="0" t="s">
        <v>1434</v>
      </c>
      <c r="Q205" s="0" t="s">
        <v>27</v>
      </c>
    </row>
    <row r="206" customFormat="false" ht="17.15" hidden="false" customHeight="false" outlineLevel="0" collapsed="false">
      <c r="A206" s="2" t="s">
        <v>1450</v>
      </c>
      <c r="B206" s="2" t="s">
        <v>1430</v>
      </c>
      <c r="C206" s="2" t="s">
        <v>677</v>
      </c>
      <c r="D206" s="2" t="s">
        <v>1431</v>
      </c>
      <c r="E206" s="2" t="s">
        <v>1051</v>
      </c>
      <c r="F206" s="2" t="s">
        <v>610</v>
      </c>
      <c r="G206" s="2" t="str">
        <f aca="false">IFERROR(INDEX(Prices_Item,MATCH(F206,Prices_ID,0)),"ITEM NOT FOUND")</f>
        <v>Fiero assorted wall plugs + screws, 26 pc</v>
      </c>
      <c r="H206" s="7" t="n">
        <v>1</v>
      </c>
      <c r="I206" s="2" t="s">
        <v>1436</v>
      </c>
      <c r="J206" s="3" t="n">
        <f aca="false">IFERROR(INDEX(Prices_Current,MATCH(F206,Prices_ID,0)),"")</f>
        <v>37</v>
      </c>
      <c r="K206" s="2" t="s">
        <v>1100</v>
      </c>
      <c r="L206" s="3" t="n">
        <f aca="false">IF(OR(H206="",NOT(ISNUMBER(J206))),"",H206*J206)</f>
        <v>37</v>
      </c>
      <c r="M206" s="2" t="str">
        <f aca="false">IFERROR(INDEX(Prices_Flag,MATCH(F206,Prices_ID,0)),"")</f>
        <v>none</v>
      </c>
      <c r="N206" s="2" t="s">
        <v>1437</v>
      </c>
      <c r="O206" s="0" t="s">
        <v>1433</v>
      </c>
      <c r="P206" s="0" t="s">
        <v>1434</v>
      </c>
      <c r="Q206" s="0" t="s">
        <v>27</v>
      </c>
    </row>
    <row r="207" customFormat="false" ht="17.15" hidden="false" customHeight="false" outlineLevel="0" collapsed="false">
      <c r="A207" s="2" t="s">
        <v>1451</v>
      </c>
      <c r="B207" s="2" t="s">
        <v>1439</v>
      </c>
      <c r="C207" s="2" t="s">
        <v>677</v>
      </c>
      <c r="D207" s="2" t="s">
        <v>1440</v>
      </c>
      <c r="E207" s="2" t="s">
        <v>1051</v>
      </c>
      <c r="F207" s="2" t="s">
        <v>610</v>
      </c>
      <c r="G207" s="2" t="str">
        <f aca="false">IFERROR(INDEX(Prices_Item,MATCH(F207,Prices_ID,0)),"ITEM NOT FOUND")</f>
        <v>Fiero assorted wall plugs + screws, 26 pc</v>
      </c>
      <c r="H207" s="7" t="n">
        <v>1</v>
      </c>
      <c r="I207" s="2" t="s">
        <v>1436</v>
      </c>
      <c r="J207" s="3" t="n">
        <f aca="false">IFERROR(INDEX(Prices_Current,MATCH(F207,Prices_ID,0)),"")</f>
        <v>37</v>
      </c>
      <c r="K207" s="2" t="s">
        <v>1100</v>
      </c>
      <c r="L207" s="3" t="n">
        <f aca="false">IF(OR(H207="",NOT(ISNUMBER(J207))),"",H207*J207)</f>
        <v>37</v>
      </c>
      <c r="M207" s="2" t="str">
        <f aca="false">IFERROR(INDEX(Prices_Flag,MATCH(F207,Prices_ID,0)),"")</f>
        <v>none</v>
      </c>
      <c r="N207" s="2" t="s">
        <v>1441</v>
      </c>
      <c r="O207" s="0" t="s">
        <v>1442</v>
      </c>
      <c r="P207" s="8" t="s">
        <v>1443</v>
      </c>
      <c r="Q207" s="0" t="s">
        <v>27</v>
      </c>
    </row>
    <row r="208" customFormat="false" ht="17.15" hidden="false" customHeight="false" outlineLevel="0" collapsed="false">
      <c r="A208" s="2" t="s">
        <v>1452</v>
      </c>
      <c r="B208" s="2" t="s">
        <v>1439</v>
      </c>
      <c r="C208" s="2" t="s">
        <v>677</v>
      </c>
      <c r="D208" s="2" t="s">
        <v>1440</v>
      </c>
      <c r="E208" s="2" t="s">
        <v>1051</v>
      </c>
      <c r="F208" s="2" t="s">
        <v>693</v>
      </c>
      <c r="G208" s="2" t="str">
        <f aca="false">IFERROR(INDEX(Prices_Item,MATCH(F208,Prices_ID,0)),"ITEM NOT FOUND")</f>
        <v>Comex acrylic sealant 300 ml (as-needed)</v>
      </c>
      <c r="H208" s="7" t="n">
        <v>1</v>
      </c>
      <c r="I208" s="2" t="s">
        <v>1043</v>
      </c>
      <c r="J208" s="3" t="n">
        <f aca="false">IFERROR(INDEX(Prices_Current,MATCH(F208,Prices_ID,0)),"")</f>
        <v>136</v>
      </c>
      <c r="K208" s="2" t="s">
        <v>1044</v>
      </c>
      <c r="L208" s="3" t="n">
        <f aca="false">IF(OR(H208="",NOT(ISNUMBER(J208))),"",H208*J208)</f>
        <v>136</v>
      </c>
      <c r="M208" s="2" t="str">
        <f aca="false">IFERROR(INDEX(Prices_Flag,MATCH(F208,Prices_ID,0)),"")</f>
        <v>none</v>
      </c>
      <c r="N208" s="2"/>
      <c r="O208" s="0" t="s">
        <v>1442</v>
      </c>
      <c r="P208" s="8" t="s">
        <v>1443</v>
      </c>
      <c r="Q208" s="0" t="s">
        <v>27</v>
      </c>
    </row>
    <row r="209" customFormat="false" ht="17.15" hidden="false" customHeight="false" outlineLevel="0" collapsed="false">
      <c r="A209" s="2" t="s">
        <v>1453</v>
      </c>
      <c r="B209" s="2" t="s">
        <v>1454</v>
      </c>
      <c r="C209" s="2" t="s">
        <v>699</v>
      </c>
      <c r="D209" s="2" t="s">
        <v>1455</v>
      </c>
      <c r="E209" s="2" t="s">
        <v>1042</v>
      </c>
      <c r="F209" s="2" t="s">
        <v>698</v>
      </c>
      <c r="G209" s="2" t="str">
        <f aca="false">IFERROR(INDEX(Prices_Item,MATCH(F209,Prices_ID,0)),"ITEM NOT FOUND")</f>
        <v>Phillips Gamma privacy knob lock</v>
      </c>
      <c r="H209" s="7" t="n">
        <v>1</v>
      </c>
      <c r="I209" s="2" t="s">
        <v>1456</v>
      </c>
      <c r="J209" s="3" t="n">
        <f aca="false">IFERROR(INDEX(Prices_Current,MATCH(F209,Prices_ID,0)),"")</f>
        <v>179</v>
      </c>
      <c r="K209" s="2" t="s">
        <v>1100</v>
      </c>
      <c r="L209" s="3" t="n">
        <f aca="false">IF(OR(H209="",NOT(ISNUMBER(J209))),"",H209*J209)</f>
        <v>179</v>
      </c>
      <c r="M209" s="2" t="str">
        <f aca="false">IFERROR(INDEX(Prices_Flag,MATCH(F209,Prices_ID,0)),"")</f>
        <v>none</v>
      </c>
      <c r="N209" s="2"/>
      <c r="O209" s="0" t="s">
        <v>1457</v>
      </c>
      <c r="P209" s="8" t="s">
        <v>1458</v>
      </c>
      <c r="Q209" s="0" t="s">
        <v>27</v>
      </c>
    </row>
    <row r="210" customFormat="false" ht="17.15" hidden="false" customHeight="false" outlineLevel="0" collapsed="false">
      <c r="A210" s="2" t="s">
        <v>1459</v>
      </c>
      <c r="B210" s="2" t="s">
        <v>1460</v>
      </c>
      <c r="C210" s="2" t="s">
        <v>699</v>
      </c>
      <c r="D210" s="2" t="s">
        <v>1461</v>
      </c>
      <c r="E210" s="2" t="s">
        <v>1042</v>
      </c>
      <c r="F210" s="2" t="s">
        <v>715</v>
      </c>
      <c r="G210" s="2" t="str">
        <f aca="false">IFERROR(INDEX(Prices_Item,MATCH(F210,Prices_ID,0)),"ITEM NOT FOUND")</f>
        <v>No materials (labor-only service)</v>
      </c>
      <c r="H210" s="7" t="n">
        <v>1</v>
      </c>
      <c r="I210" s="2" t="s">
        <v>27</v>
      </c>
      <c r="J210" s="3" t="n">
        <f aca="false">IFERROR(INDEX(Prices_Current,MATCH(F210,Prices_ID,0)),"")</f>
        <v>0</v>
      </c>
      <c r="K210" s="2" t="s">
        <v>1100</v>
      </c>
      <c r="L210" s="3" t="n">
        <f aca="false">IF(OR(H210="",NOT(ISNUMBER(J210))),"",H210*J210)</f>
        <v>0</v>
      </c>
      <c r="M210" s="2" t="str">
        <f aca="false">IFERROR(INDEX(Prices_Flag,MATCH(F210,Prices_ID,0)),"")</f>
        <v>none</v>
      </c>
      <c r="N210" s="2" t="s">
        <v>1462</v>
      </c>
      <c r="O210" s="0" t="s">
        <v>1463</v>
      </c>
      <c r="P210" s="8" t="s">
        <v>1464</v>
      </c>
      <c r="Q210" s="0" t="s">
        <v>27</v>
      </c>
    </row>
    <row r="211" customFormat="false" ht="17.15" hidden="false" customHeight="false" outlineLevel="0" collapsed="false">
      <c r="A211" s="2" t="s">
        <v>1465</v>
      </c>
      <c r="B211" s="2" t="s">
        <v>1454</v>
      </c>
      <c r="C211" s="2" t="s">
        <v>699</v>
      </c>
      <c r="D211" s="2" t="s">
        <v>1455</v>
      </c>
      <c r="E211" s="2" t="s">
        <v>1049</v>
      </c>
      <c r="F211" s="2" t="s">
        <v>704</v>
      </c>
      <c r="G211" s="2" t="str">
        <f aca="false">IFERROR(INDEX(Prices_Item,MATCH(F211,Prices_ID,0)),"ITEM NOT FOUND")</f>
        <v>Phillips Ikal privacy knob lock</v>
      </c>
      <c r="H211" s="7" t="n">
        <v>1</v>
      </c>
      <c r="I211" s="2" t="s">
        <v>1456</v>
      </c>
      <c r="J211" s="3" t="n">
        <f aca="false">IFERROR(INDEX(Prices_Current,MATCH(F211,Prices_ID,0)),"")</f>
        <v>197</v>
      </c>
      <c r="K211" s="2" t="s">
        <v>1100</v>
      </c>
      <c r="L211" s="3" t="n">
        <f aca="false">IF(OR(H211="",NOT(ISNUMBER(J211))),"",H211*J211)</f>
        <v>197</v>
      </c>
      <c r="M211" s="2" t="str">
        <f aca="false">IFERROR(INDEX(Prices_Flag,MATCH(F211,Prices_ID,0)),"")</f>
        <v>none</v>
      </c>
      <c r="N211" s="2"/>
      <c r="O211" s="0" t="s">
        <v>1457</v>
      </c>
      <c r="P211" s="8" t="s">
        <v>1458</v>
      </c>
      <c r="Q211" s="0" t="s">
        <v>27</v>
      </c>
    </row>
    <row r="212" customFormat="false" ht="17.15" hidden="false" customHeight="false" outlineLevel="0" collapsed="false">
      <c r="A212" s="2" t="s">
        <v>1466</v>
      </c>
      <c r="B212" s="2" t="s">
        <v>1460</v>
      </c>
      <c r="C212" s="2" t="s">
        <v>699</v>
      </c>
      <c r="D212" s="2" t="s">
        <v>1461</v>
      </c>
      <c r="E212" s="2" t="s">
        <v>1049</v>
      </c>
      <c r="F212" s="2" t="s">
        <v>715</v>
      </c>
      <c r="G212" s="2" t="str">
        <f aca="false">IFERROR(INDEX(Prices_Item,MATCH(F212,Prices_ID,0)),"ITEM NOT FOUND")</f>
        <v>No materials (labor-only service)</v>
      </c>
      <c r="H212" s="7" t="n">
        <v>1</v>
      </c>
      <c r="I212" s="2" t="s">
        <v>27</v>
      </c>
      <c r="J212" s="3" t="n">
        <f aca="false">IFERROR(INDEX(Prices_Current,MATCH(F212,Prices_ID,0)),"")</f>
        <v>0</v>
      </c>
      <c r="K212" s="2" t="s">
        <v>1100</v>
      </c>
      <c r="L212" s="3" t="n">
        <f aca="false">IF(OR(H212="",NOT(ISNUMBER(J212))),"",H212*J212)</f>
        <v>0</v>
      </c>
      <c r="M212" s="2" t="str">
        <f aca="false">IFERROR(INDEX(Prices_Flag,MATCH(F212,Prices_ID,0)),"")</f>
        <v>none</v>
      </c>
      <c r="N212" s="2" t="s">
        <v>1462</v>
      </c>
      <c r="O212" s="0" t="s">
        <v>1463</v>
      </c>
      <c r="P212" s="8" t="s">
        <v>1464</v>
      </c>
      <c r="Q212" s="0" t="s">
        <v>27</v>
      </c>
    </row>
    <row r="213" customFormat="false" ht="17.15" hidden="false" customHeight="false" outlineLevel="0" collapsed="false">
      <c r="A213" s="2" t="s">
        <v>1467</v>
      </c>
      <c r="B213" s="2" t="s">
        <v>1454</v>
      </c>
      <c r="C213" s="2" t="s">
        <v>699</v>
      </c>
      <c r="D213" s="2" t="s">
        <v>1455</v>
      </c>
      <c r="E213" s="2" t="s">
        <v>1051</v>
      </c>
      <c r="F213" s="2" t="s">
        <v>710</v>
      </c>
      <c r="G213" s="2" t="str">
        <f aca="false">IFERROR(INDEX(Prices_Item,MATCH(F213,Prices_ID,0)),"ITEM NOT FOUND")</f>
        <v>Phillips Arcadia reversible lever, satin nickel</v>
      </c>
      <c r="H213" s="7" t="n">
        <v>1</v>
      </c>
      <c r="I213" s="2" t="s">
        <v>1456</v>
      </c>
      <c r="J213" s="3" t="n">
        <f aca="false">IFERROR(INDEX(Prices_Current,MATCH(F213,Prices_ID,0)),"")</f>
        <v>305</v>
      </c>
      <c r="K213" s="2" t="s">
        <v>1100</v>
      </c>
      <c r="L213" s="3" t="n">
        <f aca="false">IF(OR(H213="",NOT(ISNUMBER(J213))),"",H213*J213)</f>
        <v>305</v>
      </c>
      <c r="M213" s="2" t="str">
        <f aca="false">IFERROR(INDEX(Prices_Flag,MATCH(F213,Prices_ID,0)),"")</f>
        <v>none</v>
      </c>
      <c r="N213" s="2"/>
      <c r="O213" s="0" t="s">
        <v>1457</v>
      </c>
      <c r="P213" s="8" t="s">
        <v>1458</v>
      </c>
      <c r="Q213" s="0" t="s">
        <v>27</v>
      </c>
    </row>
    <row r="214" customFormat="false" ht="17.15" hidden="false" customHeight="false" outlineLevel="0" collapsed="false">
      <c r="A214" s="2" t="s">
        <v>1468</v>
      </c>
      <c r="B214" s="2" t="s">
        <v>1460</v>
      </c>
      <c r="C214" s="2" t="s">
        <v>699</v>
      </c>
      <c r="D214" s="2" t="s">
        <v>1461</v>
      </c>
      <c r="E214" s="2" t="s">
        <v>1051</v>
      </c>
      <c r="F214" s="2" t="s">
        <v>715</v>
      </c>
      <c r="G214" s="2" t="str">
        <f aca="false">IFERROR(INDEX(Prices_Item,MATCH(F214,Prices_ID,0)),"ITEM NOT FOUND")</f>
        <v>No materials (labor-only service)</v>
      </c>
      <c r="H214" s="7" t="n">
        <v>1</v>
      </c>
      <c r="I214" s="2" t="s">
        <v>27</v>
      </c>
      <c r="J214" s="3" t="n">
        <f aca="false">IFERROR(INDEX(Prices_Current,MATCH(F214,Prices_ID,0)),"")</f>
        <v>0</v>
      </c>
      <c r="K214" s="2" t="s">
        <v>1100</v>
      </c>
      <c r="L214" s="3" t="n">
        <f aca="false">IF(OR(H214="",NOT(ISNUMBER(J214))),"",H214*J214)</f>
        <v>0</v>
      </c>
      <c r="M214" s="2" t="str">
        <f aca="false">IFERROR(INDEX(Prices_Flag,MATCH(F214,Prices_ID,0)),"")</f>
        <v>none</v>
      </c>
      <c r="N214" s="2" t="s">
        <v>1462</v>
      </c>
      <c r="O214" s="0" t="s">
        <v>1463</v>
      </c>
      <c r="P214" s="8" t="s">
        <v>1464</v>
      </c>
      <c r="Q214" s="0" t="s">
        <v>27</v>
      </c>
    </row>
    <row r="215" customFormat="false" ht="17.15" hidden="false" customHeight="false" outlineLevel="0" collapsed="false">
      <c r="A215" s="2" t="s">
        <v>1469</v>
      </c>
      <c r="B215" s="2" t="s">
        <v>1040</v>
      </c>
      <c r="C215" s="2" t="s">
        <v>20</v>
      </c>
      <c r="D215" s="2" t="s">
        <v>1041</v>
      </c>
      <c r="E215" s="2" t="s">
        <v>1042</v>
      </c>
      <c r="F215" s="2" t="s">
        <v>760</v>
      </c>
      <c r="G215" s="2" t="str">
        <f aca="false">IFERROR(INDEX(Prices_Item,MATCH(F215,Prices_ID,0)),"ITEM NOT FOUND")</f>
        <v>Comex Durex Master vinyl-acrylic paint 19 L</v>
      </c>
      <c r="H215" s="7" t="n">
        <v>1</v>
      </c>
      <c r="I215" s="2" t="s">
        <v>1470</v>
      </c>
      <c r="J215" s="3" t="n">
        <f aca="false">IFERROR(INDEX(Prices_Current,MATCH(F215,Prices_ID,0)),"")</f>
        <v>1699</v>
      </c>
      <c r="K215" s="2" t="s">
        <v>1100</v>
      </c>
      <c r="L215" s="3" t="n">
        <f aca="false">IF(OR(H215="",NOT(ISNUMBER(J215))),"",H215*J215)</f>
        <v>1699</v>
      </c>
      <c r="M215" s="2" t="str">
        <f aca="false">IFERROR(INDEX(Prices_Flag,MATCH(F215,Prices_ID,0)),"")</f>
        <v>none</v>
      </c>
      <c r="N215" s="2" t="s">
        <v>1471</v>
      </c>
      <c r="O215" s="0" t="s">
        <v>1046</v>
      </c>
      <c r="P215" s="8" t="s">
        <v>1047</v>
      </c>
      <c r="Q215" s="0" t="s">
        <v>27</v>
      </c>
    </row>
    <row r="216" customFormat="false" ht="17.15" hidden="false" customHeight="false" outlineLevel="0" collapsed="false">
      <c r="A216" s="2" t="s">
        <v>1472</v>
      </c>
      <c r="B216" s="2" t="s">
        <v>1040</v>
      </c>
      <c r="C216" s="2" t="s">
        <v>20</v>
      </c>
      <c r="D216" s="2" t="s">
        <v>1041</v>
      </c>
      <c r="E216" s="2" t="s">
        <v>1042</v>
      </c>
      <c r="F216" s="2" t="s">
        <v>767</v>
      </c>
      <c r="G216" s="2" t="str">
        <f aca="false">IFERROR(INDEX(Prices_Item,MATCH(F216,Prices_ID,0)),"ITEM NOT FOUND")</f>
        <v>Comex Durex Master vinyl-acrylic paint 4 L</v>
      </c>
      <c r="H216" s="7" t="n">
        <v>2</v>
      </c>
      <c r="I216" s="2" t="s">
        <v>1473</v>
      </c>
      <c r="J216" s="3" t="n">
        <f aca="false">IFERROR(INDEX(Prices_Current,MATCH(F216,Prices_ID,0)),"")</f>
        <v>402</v>
      </c>
      <c r="K216" s="2" t="s">
        <v>1100</v>
      </c>
      <c r="L216" s="3" t="n">
        <f aca="false">IF(OR(H216="",NOT(ISNUMBER(J216))),"",H216*J216)</f>
        <v>804</v>
      </c>
      <c r="M216" s="2" t="str">
        <f aca="false">IFERROR(INDEX(Prices_Flag,MATCH(F216,Prices_ID,0)),"")</f>
        <v>none</v>
      </c>
      <c r="N216" s="2" t="s">
        <v>1471</v>
      </c>
      <c r="O216" s="0" t="s">
        <v>1046</v>
      </c>
      <c r="P216" s="8" t="s">
        <v>1047</v>
      </c>
      <c r="Q216" s="0" t="s">
        <v>27</v>
      </c>
    </row>
    <row r="217" customFormat="false" ht="17.15" hidden="false" customHeight="false" outlineLevel="0" collapsed="false">
      <c r="A217" s="2" t="s">
        <v>1474</v>
      </c>
      <c r="B217" s="2" t="s">
        <v>1040</v>
      </c>
      <c r="C217" s="2" t="s">
        <v>20</v>
      </c>
      <c r="D217" s="2" t="s">
        <v>1041</v>
      </c>
      <c r="E217" s="2" t="s">
        <v>1042</v>
      </c>
      <c r="F217" s="2" t="s">
        <v>786</v>
      </c>
      <c r="G217" s="2" t="str">
        <f aca="false">IFERROR(INDEX(Prices_Item,MATCH(F217,Prices_ID,0)),"ITEM NOT FOUND")</f>
        <v>Comex 5x1 Clásico vinyl sealer 4 L</v>
      </c>
      <c r="H217" s="7" t="n">
        <v>1</v>
      </c>
      <c r="I217" s="2" t="s">
        <v>1475</v>
      </c>
      <c r="J217" s="3" t="n">
        <f aca="false">IFERROR(INDEX(Prices_Current,MATCH(F217,Prices_ID,0)),"")</f>
        <v>562</v>
      </c>
      <c r="K217" s="2" t="s">
        <v>1100</v>
      </c>
      <c r="L217" s="3" t="n">
        <f aca="false">IF(OR(H217="",NOT(ISNUMBER(J217))),"",H217*J217)</f>
        <v>562</v>
      </c>
      <c r="M217" s="2" t="str">
        <f aca="false">IFERROR(INDEX(Prices_Flag,MATCH(F217,Prices_ID,0)),"")</f>
        <v>none</v>
      </c>
      <c r="N217" s="2" t="s">
        <v>1471</v>
      </c>
      <c r="O217" s="0" t="s">
        <v>1046</v>
      </c>
      <c r="P217" s="8" t="s">
        <v>1047</v>
      </c>
      <c r="Q217" s="0" t="s">
        <v>27</v>
      </c>
    </row>
    <row r="218" customFormat="false" ht="17.15" hidden="false" customHeight="false" outlineLevel="0" collapsed="false">
      <c r="A218" s="2" t="s">
        <v>1476</v>
      </c>
      <c r="B218" s="2" t="s">
        <v>1040</v>
      </c>
      <c r="C218" s="2" t="s">
        <v>20</v>
      </c>
      <c r="D218" s="2" t="s">
        <v>1041</v>
      </c>
      <c r="E218" s="2" t="s">
        <v>1042</v>
      </c>
      <c r="F218" s="2" t="s">
        <v>794</v>
      </c>
      <c r="G218" s="2" t="str">
        <f aca="false">IFERROR(INDEX(Prices_Item,MATCH(F218,Prices_ID,0)),"ITEM NOT FOUND")</f>
        <v>Roller cover 9 in, 3/4 nap (economy)</v>
      </c>
      <c r="H218" s="7" t="n">
        <v>2</v>
      </c>
      <c r="I218" s="2" t="s">
        <v>1477</v>
      </c>
      <c r="J218" s="3" t="n">
        <f aca="false">IFERROR(INDEX(Prices_Current,MATCH(F218,Prices_ID,0)),"")</f>
        <v>36</v>
      </c>
      <c r="K218" s="2" t="s">
        <v>1100</v>
      </c>
      <c r="L218" s="3" t="n">
        <f aca="false">IF(OR(H218="",NOT(ISNUMBER(J218))),"",H218*J218)</f>
        <v>72</v>
      </c>
      <c r="M218" s="2" t="str">
        <f aca="false">IFERROR(INDEX(Prices_Flag,MATCH(F218,Prices_ID,0)),"")</f>
        <v>none</v>
      </c>
      <c r="N218" s="2" t="s">
        <v>1471</v>
      </c>
      <c r="O218" s="0" t="s">
        <v>1046</v>
      </c>
      <c r="P218" s="8" t="s">
        <v>1047</v>
      </c>
      <c r="Q218" s="0" t="s">
        <v>27</v>
      </c>
    </row>
    <row r="219" customFormat="false" ht="17.15" hidden="false" customHeight="false" outlineLevel="0" collapsed="false">
      <c r="A219" s="2" t="s">
        <v>1478</v>
      </c>
      <c r="B219" s="2" t="s">
        <v>1040</v>
      </c>
      <c r="C219" s="2" t="s">
        <v>20</v>
      </c>
      <c r="D219" s="2" t="s">
        <v>1041</v>
      </c>
      <c r="E219" s="2" t="s">
        <v>1042</v>
      </c>
      <c r="F219" s="2" t="s">
        <v>803</v>
      </c>
      <c r="G219" s="2" t="str">
        <f aca="false">IFERROR(INDEX(Prices_Item,MATCH(F219,Prices_ID,0)),"ITEM NOT FOUND")</f>
        <v>Truper masking tape 1 in × 50 m</v>
      </c>
      <c r="H219" s="7" t="n">
        <v>2</v>
      </c>
      <c r="I219" s="2" t="s">
        <v>1479</v>
      </c>
      <c r="J219" s="3" t="n">
        <f aca="false">IFERROR(INDEX(Prices_Current,MATCH(F219,Prices_ID,0)),"")</f>
        <v>38</v>
      </c>
      <c r="K219" s="2" t="s">
        <v>1100</v>
      </c>
      <c r="L219" s="3" t="n">
        <f aca="false">IF(OR(H219="",NOT(ISNUMBER(J219))),"",H219*J219)</f>
        <v>76</v>
      </c>
      <c r="M219" s="2" t="str">
        <f aca="false">IFERROR(INDEX(Prices_Flag,MATCH(F219,Prices_ID,0)),"")</f>
        <v>none</v>
      </c>
      <c r="N219" s="2" t="s">
        <v>1471</v>
      </c>
      <c r="O219" s="0" t="s">
        <v>1046</v>
      </c>
      <c r="P219" s="8" t="s">
        <v>1047</v>
      </c>
      <c r="Q219" s="0" t="s">
        <v>27</v>
      </c>
    </row>
    <row r="220" customFormat="false" ht="17.15" hidden="false" customHeight="false" outlineLevel="0" collapsed="false">
      <c r="A220" s="2" t="s">
        <v>1480</v>
      </c>
      <c r="B220" s="2" t="s">
        <v>1040</v>
      </c>
      <c r="C220" s="2" t="s">
        <v>20</v>
      </c>
      <c r="D220" s="2" t="s">
        <v>1041</v>
      </c>
      <c r="E220" s="2" t="s">
        <v>1042</v>
      </c>
      <c r="F220" s="2" t="s">
        <v>721</v>
      </c>
      <c r="G220" s="2" t="str">
        <f aca="false">IFERROR(INDEX(Prices_Item,MATCH(F220,Prices_ID,0)),"ITEM NOT FOUND")</f>
        <v>HDX black polyethylene film cal. 400, 6 × 15.2 m</v>
      </c>
      <c r="H220" s="7" t="n">
        <v>0.219298</v>
      </c>
      <c r="I220" s="2" t="s">
        <v>1481</v>
      </c>
      <c r="J220" s="3" t="n">
        <f aca="false">IFERROR(INDEX(Prices_Current,MATCH(F220,Prices_ID,0)),"")</f>
        <v>685</v>
      </c>
      <c r="K220" s="2" t="s">
        <v>1100</v>
      </c>
      <c r="L220" s="3" t="n">
        <f aca="false">IF(OR(H220="",NOT(ISNUMBER(J220))),"",H220*J220)</f>
        <v>150.21913</v>
      </c>
      <c r="M220" s="2" t="str">
        <f aca="false">IFERROR(INDEX(Prices_Flag,MATCH(F220,Prices_ID,0)),"")</f>
        <v>none</v>
      </c>
      <c r="N220" s="2" t="s">
        <v>1471</v>
      </c>
      <c r="O220" s="0" t="s">
        <v>1046</v>
      </c>
      <c r="P220" s="8" t="s">
        <v>1047</v>
      </c>
      <c r="Q220" s="0" t="s">
        <v>27</v>
      </c>
    </row>
    <row r="221" customFormat="false" ht="17.15" hidden="false" customHeight="false" outlineLevel="0" collapsed="false">
      <c r="A221" s="2" t="s">
        <v>1482</v>
      </c>
      <c r="B221" s="2" t="s">
        <v>1040</v>
      </c>
      <c r="C221" s="2" t="s">
        <v>20</v>
      </c>
      <c r="D221" s="2" t="s">
        <v>1041</v>
      </c>
      <c r="E221" s="2" t="s">
        <v>1049</v>
      </c>
      <c r="F221" s="2" t="s">
        <v>770</v>
      </c>
      <c r="G221" s="2" t="str">
        <f aca="false">IFERROR(INDEX(Prices_Item,MATCH(F221,Prices_ID,0)),"ITEM NOT FOUND")</f>
        <v>Berel Berelinte vinyl-acrylic paint 19 L</v>
      </c>
      <c r="H221" s="7" t="n">
        <v>1</v>
      </c>
      <c r="I221" s="2" t="s">
        <v>1470</v>
      </c>
      <c r="J221" s="3" t="n">
        <f aca="false">IFERROR(INDEX(Prices_Current,MATCH(F221,Prices_ID,0)),"")</f>
        <v>2595</v>
      </c>
      <c r="K221" s="2" t="s">
        <v>1100</v>
      </c>
      <c r="L221" s="3" t="n">
        <f aca="false">IF(OR(H221="",NOT(ISNUMBER(J221))),"",H221*J221)</f>
        <v>2595</v>
      </c>
      <c r="M221" s="2" t="str">
        <f aca="false">IFERROR(INDEX(Prices_Flag,MATCH(F221,Prices_ID,0)),"")</f>
        <v>none</v>
      </c>
      <c r="N221" s="2" t="s">
        <v>1471</v>
      </c>
      <c r="O221" s="0" t="s">
        <v>1046</v>
      </c>
      <c r="P221" s="8" t="s">
        <v>1047</v>
      </c>
      <c r="Q221" s="0" t="s">
        <v>27</v>
      </c>
    </row>
    <row r="222" customFormat="false" ht="17.15" hidden="false" customHeight="false" outlineLevel="0" collapsed="false">
      <c r="A222" s="2" t="s">
        <v>1483</v>
      </c>
      <c r="B222" s="2" t="s">
        <v>1040</v>
      </c>
      <c r="C222" s="2" t="s">
        <v>20</v>
      </c>
      <c r="D222" s="2" t="s">
        <v>1041</v>
      </c>
      <c r="E222" s="2" t="s">
        <v>1049</v>
      </c>
      <c r="F222" s="2" t="s">
        <v>775</v>
      </c>
      <c r="G222" s="2" t="str">
        <f aca="false">IFERROR(INDEX(Prices_Item,MATCH(F222,Prices_ID,0)),"ITEM NOT FOUND")</f>
        <v>Berel Berelinte vinyl-acrylic paint 4 L</v>
      </c>
      <c r="H222" s="7" t="n">
        <v>1</v>
      </c>
      <c r="I222" s="2" t="s">
        <v>1484</v>
      </c>
      <c r="J222" s="3" t="n">
        <f aca="false">IFERROR(INDEX(Prices_Current,MATCH(F222,Prices_ID,0)),"")</f>
        <v>609</v>
      </c>
      <c r="K222" s="2" t="s">
        <v>1100</v>
      </c>
      <c r="L222" s="3" t="n">
        <f aca="false">IF(OR(H222="",NOT(ISNUMBER(J222))),"",H222*J222)</f>
        <v>609</v>
      </c>
      <c r="M222" s="2" t="str">
        <f aca="false">IFERROR(INDEX(Prices_Flag,MATCH(F222,Prices_ID,0)),"")</f>
        <v>none</v>
      </c>
      <c r="N222" s="2" t="s">
        <v>1471</v>
      </c>
      <c r="O222" s="0" t="s">
        <v>1046</v>
      </c>
      <c r="P222" s="8" t="s">
        <v>1047</v>
      </c>
      <c r="Q222" s="0" t="s">
        <v>27</v>
      </c>
    </row>
    <row r="223" customFormat="false" ht="17.15" hidden="false" customHeight="false" outlineLevel="0" collapsed="false">
      <c r="A223" s="2" t="s">
        <v>1485</v>
      </c>
      <c r="B223" s="2" t="s">
        <v>1040</v>
      </c>
      <c r="C223" s="2" t="s">
        <v>20</v>
      </c>
      <c r="D223" s="2" t="s">
        <v>1041</v>
      </c>
      <c r="E223" s="2" t="s">
        <v>1049</v>
      </c>
      <c r="F223" s="2" t="s">
        <v>786</v>
      </c>
      <c r="G223" s="2" t="str">
        <f aca="false">IFERROR(INDEX(Prices_Item,MATCH(F223,Prices_ID,0)),"ITEM NOT FOUND")</f>
        <v>Comex 5x1 Clásico vinyl sealer 4 L</v>
      </c>
      <c r="H223" s="7" t="n">
        <v>1</v>
      </c>
      <c r="I223" s="2" t="s">
        <v>1475</v>
      </c>
      <c r="J223" s="3" t="n">
        <f aca="false">IFERROR(INDEX(Prices_Current,MATCH(F223,Prices_ID,0)),"")</f>
        <v>562</v>
      </c>
      <c r="K223" s="2" t="s">
        <v>1100</v>
      </c>
      <c r="L223" s="3" t="n">
        <f aca="false">IF(OR(H223="",NOT(ISNUMBER(J223))),"",H223*J223)</f>
        <v>562</v>
      </c>
      <c r="M223" s="2" t="str">
        <f aca="false">IFERROR(INDEX(Prices_Flag,MATCH(F223,Prices_ID,0)),"")</f>
        <v>none</v>
      </c>
      <c r="N223" s="2" t="s">
        <v>1471</v>
      </c>
      <c r="O223" s="0" t="s">
        <v>1046</v>
      </c>
      <c r="P223" s="8" t="s">
        <v>1047</v>
      </c>
      <c r="Q223" s="0" t="s">
        <v>27</v>
      </c>
    </row>
    <row r="224" customFormat="false" ht="17.15" hidden="false" customHeight="false" outlineLevel="0" collapsed="false">
      <c r="A224" s="2" t="s">
        <v>1486</v>
      </c>
      <c r="B224" s="2" t="s">
        <v>1040</v>
      </c>
      <c r="C224" s="2" t="s">
        <v>20</v>
      </c>
      <c r="D224" s="2" t="s">
        <v>1041</v>
      </c>
      <c r="E224" s="2" t="s">
        <v>1049</v>
      </c>
      <c r="F224" s="2" t="s">
        <v>799</v>
      </c>
      <c r="G224" s="2" t="str">
        <f aca="false">IFERROR(INDEX(Prices_Item,MATCH(F224,Prices_ID,0)),"ITEM NOT FOUND")</f>
        <v>HDX roller cover 9 in, high coverage</v>
      </c>
      <c r="H224" s="7" t="n">
        <v>2</v>
      </c>
      <c r="I224" s="2" t="s">
        <v>1477</v>
      </c>
      <c r="J224" s="3" t="n">
        <f aca="false">IFERROR(INDEX(Prices_Current,MATCH(F224,Prices_ID,0)),"")</f>
        <v>95</v>
      </c>
      <c r="K224" s="2" t="s">
        <v>1100</v>
      </c>
      <c r="L224" s="3" t="n">
        <f aca="false">IF(OR(H224="",NOT(ISNUMBER(J224))),"",H224*J224)</f>
        <v>190</v>
      </c>
      <c r="M224" s="2" t="str">
        <f aca="false">IFERROR(INDEX(Prices_Flag,MATCH(F224,Prices_ID,0)),"")</f>
        <v>none</v>
      </c>
      <c r="N224" s="2" t="s">
        <v>1471</v>
      </c>
      <c r="O224" s="0" t="s">
        <v>1046</v>
      </c>
      <c r="P224" s="8" t="s">
        <v>1047</v>
      </c>
      <c r="Q224" s="0" t="s">
        <v>27</v>
      </c>
    </row>
    <row r="225" customFormat="false" ht="17.15" hidden="false" customHeight="false" outlineLevel="0" collapsed="false">
      <c r="A225" s="2" t="s">
        <v>1487</v>
      </c>
      <c r="B225" s="2" t="s">
        <v>1040</v>
      </c>
      <c r="C225" s="2" t="s">
        <v>20</v>
      </c>
      <c r="D225" s="2" t="s">
        <v>1041</v>
      </c>
      <c r="E225" s="2" t="s">
        <v>1049</v>
      </c>
      <c r="F225" s="2" t="s">
        <v>803</v>
      </c>
      <c r="G225" s="2" t="str">
        <f aca="false">IFERROR(INDEX(Prices_Item,MATCH(F225,Prices_ID,0)),"ITEM NOT FOUND")</f>
        <v>Truper masking tape 1 in × 50 m</v>
      </c>
      <c r="H225" s="7" t="n">
        <v>2</v>
      </c>
      <c r="I225" s="2" t="s">
        <v>1479</v>
      </c>
      <c r="J225" s="3" t="n">
        <f aca="false">IFERROR(INDEX(Prices_Current,MATCH(F225,Prices_ID,0)),"")</f>
        <v>38</v>
      </c>
      <c r="K225" s="2" t="s">
        <v>1100</v>
      </c>
      <c r="L225" s="3" t="n">
        <f aca="false">IF(OR(H225="",NOT(ISNUMBER(J225))),"",H225*J225)</f>
        <v>76</v>
      </c>
      <c r="M225" s="2" t="str">
        <f aca="false">IFERROR(INDEX(Prices_Flag,MATCH(F225,Prices_ID,0)),"")</f>
        <v>none</v>
      </c>
      <c r="N225" s="2" t="s">
        <v>1471</v>
      </c>
      <c r="O225" s="0" t="s">
        <v>1046</v>
      </c>
      <c r="P225" s="8" t="s">
        <v>1047</v>
      </c>
      <c r="Q225" s="0" t="s">
        <v>27</v>
      </c>
    </row>
    <row r="226" customFormat="false" ht="17.15" hidden="false" customHeight="false" outlineLevel="0" collapsed="false">
      <c r="A226" s="2" t="s">
        <v>1488</v>
      </c>
      <c r="B226" s="2" t="s">
        <v>1040</v>
      </c>
      <c r="C226" s="2" t="s">
        <v>20</v>
      </c>
      <c r="D226" s="2" t="s">
        <v>1041</v>
      </c>
      <c r="E226" s="2" t="s">
        <v>1049</v>
      </c>
      <c r="F226" s="2" t="s">
        <v>721</v>
      </c>
      <c r="G226" s="2" t="str">
        <f aca="false">IFERROR(INDEX(Prices_Item,MATCH(F226,Prices_ID,0)),"ITEM NOT FOUND")</f>
        <v>HDX black polyethylene film cal. 400, 6 × 15.2 m</v>
      </c>
      <c r="H226" s="7" t="n">
        <v>0.219298</v>
      </c>
      <c r="I226" s="2" t="s">
        <v>1481</v>
      </c>
      <c r="J226" s="3" t="n">
        <f aca="false">IFERROR(INDEX(Prices_Current,MATCH(F226,Prices_ID,0)),"")</f>
        <v>685</v>
      </c>
      <c r="K226" s="2" t="s">
        <v>1100</v>
      </c>
      <c r="L226" s="3" t="n">
        <f aca="false">IF(OR(H226="",NOT(ISNUMBER(J226))),"",H226*J226)</f>
        <v>150.21913</v>
      </c>
      <c r="M226" s="2" t="str">
        <f aca="false">IFERROR(INDEX(Prices_Flag,MATCH(F226,Prices_ID,0)),"")</f>
        <v>none</v>
      </c>
      <c r="N226" s="2" t="s">
        <v>1471</v>
      </c>
      <c r="O226" s="0" t="s">
        <v>1046</v>
      </c>
      <c r="P226" s="8" t="s">
        <v>1047</v>
      </c>
      <c r="Q226" s="0" t="s">
        <v>27</v>
      </c>
    </row>
    <row r="227" customFormat="false" ht="17.15" hidden="false" customHeight="false" outlineLevel="0" collapsed="false">
      <c r="A227" s="2" t="s">
        <v>1489</v>
      </c>
      <c r="B227" s="2" t="s">
        <v>1040</v>
      </c>
      <c r="C227" s="2" t="s">
        <v>20</v>
      </c>
      <c r="D227" s="2" t="s">
        <v>1041</v>
      </c>
      <c r="E227" s="2" t="s">
        <v>1051</v>
      </c>
      <c r="F227" s="2" t="s">
        <v>779</v>
      </c>
      <c r="G227" s="2" t="str">
        <f aca="false">IFERROR(INDEX(Prices_Item,MATCH(F227,Prices_ID,0)),"ITEM NOT FOUND")</f>
        <v>Comex Vinimex Total acrylic paint 4 L</v>
      </c>
      <c r="H227" s="7" t="n">
        <v>4</v>
      </c>
      <c r="I227" s="2" t="s">
        <v>1490</v>
      </c>
      <c r="J227" s="3" t="n">
        <f aca="false">IFERROR(INDEX(Prices_Current,MATCH(F227,Prices_ID,0)),"")</f>
        <v>990.5</v>
      </c>
      <c r="K227" s="2" t="s">
        <v>1100</v>
      </c>
      <c r="L227" s="3" t="n">
        <f aca="false">IF(OR(H227="",NOT(ISNUMBER(J227))),"",H227*J227)</f>
        <v>3962</v>
      </c>
      <c r="M227" s="2" t="str">
        <f aca="false">IFERROR(INDEX(Prices_Flag,MATCH(F227,Prices_ID,0)),"")</f>
        <v>none</v>
      </c>
      <c r="N227" s="2" t="s">
        <v>1471</v>
      </c>
      <c r="O227" s="0" t="s">
        <v>1046</v>
      </c>
      <c r="P227" s="8" t="s">
        <v>1047</v>
      </c>
      <c r="Q227" s="0" t="s">
        <v>27</v>
      </c>
    </row>
    <row r="228" customFormat="false" ht="17.15" hidden="false" customHeight="false" outlineLevel="0" collapsed="false">
      <c r="A228" s="2" t="s">
        <v>1491</v>
      </c>
      <c r="B228" s="2" t="s">
        <v>1040</v>
      </c>
      <c r="C228" s="2" t="s">
        <v>20</v>
      </c>
      <c r="D228" s="2" t="s">
        <v>1041</v>
      </c>
      <c r="E228" s="2" t="s">
        <v>1051</v>
      </c>
      <c r="F228" s="2" t="s">
        <v>791</v>
      </c>
      <c r="G228" s="2" t="str">
        <f aca="false">IFERROR(INDEX(Prices_Item,MATCH(F228,Prices_ID,0)),"ITEM NOT FOUND")</f>
        <v>Comex 5x1 Reforzado vinyl sealer 4 L</v>
      </c>
      <c r="H228" s="7" t="n">
        <v>1</v>
      </c>
      <c r="I228" s="2" t="s">
        <v>1492</v>
      </c>
      <c r="J228" s="3" t="n">
        <f aca="false">IFERROR(INDEX(Prices_Current,MATCH(F228,Prices_ID,0)),"")</f>
        <v>704.5</v>
      </c>
      <c r="K228" s="2" t="s">
        <v>1100</v>
      </c>
      <c r="L228" s="3" t="n">
        <f aca="false">IF(OR(H228="",NOT(ISNUMBER(J228))),"",H228*J228)</f>
        <v>704.5</v>
      </c>
      <c r="M228" s="2" t="str">
        <f aca="false">IFERROR(INDEX(Prices_Flag,MATCH(F228,Prices_ID,0)),"")</f>
        <v>none</v>
      </c>
      <c r="N228" s="2" t="s">
        <v>1471</v>
      </c>
      <c r="O228" s="0" t="s">
        <v>1046</v>
      </c>
      <c r="P228" s="8" t="s">
        <v>1047</v>
      </c>
      <c r="Q228" s="0" t="s">
        <v>27</v>
      </c>
    </row>
    <row r="229" customFormat="false" ht="17.15" hidden="false" customHeight="false" outlineLevel="0" collapsed="false">
      <c r="A229" s="2" t="s">
        <v>1493</v>
      </c>
      <c r="B229" s="2" t="s">
        <v>1040</v>
      </c>
      <c r="C229" s="2" t="s">
        <v>20</v>
      </c>
      <c r="D229" s="2" t="s">
        <v>1041</v>
      </c>
      <c r="E229" s="2" t="s">
        <v>1051</v>
      </c>
      <c r="F229" s="2" t="s">
        <v>799</v>
      </c>
      <c r="G229" s="2" t="str">
        <f aca="false">IFERROR(INDEX(Prices_Item,MATCH(F229,Prices_ID,0)),"ITEM NOT FOUND")</f>
        <v>HDX roller cover 9 in, high coverage</v>
      </c>
      <c r="H229" s="7" t="n">
        <v>3</v>
      </c>
      <c r="I229" s="2" t="s">
        <v>1494</v>
      </c>
      <c r="J229" s="3" t="n">
        <f aca="false">IFERROR(INDEX(Prices_Current,MATCH(F229,Prices_ID,0)),"")</f>
        <v>95</v>
      </c>
      <c r="K229" s="2" t="s">
        <v>1100</v>
      </c>
      <c r="L229" s="3" t="n">
        <f aca="false">IF(OR(H229="",NOT(ISNUMBER(J229))),"",H229*J229)</f>
        <v>285</v>
      </c>
      <c r="M229" s="2" t="str">
        <f aca="false">IFERROR(INDEX(Prices_Flag,MATCH(F229,Prices_ID,0)),"")</f>
        <v>none</v>
      </c>
      <c r="N229" s="2" t="s">
        <v>1471</v>
      </c>
      <c r="O229" s="0" t="s">
        <v>1046</v>
      </c>
      <c r="P229" s="8" t="s">
        <v>1047</v>
      </c>
      <c r="Q229" s="0" t="s">
        <v>27</v>
      </c>
    </row>
    <row r="230" customFormat="false" ht="17.15" hidden="false" customHeight="false" outlineLevel="0" collapsed="false">
      <c r="A230" s="2" t="s">
        <v>1495</v>
      </c>
      <c r="B230" s="2" t="s">
        <v>1040</v>
      </c>
      <c r="C230" s="2" t="s">
        <v>20</v>
      </c>
      <c r="D230" s="2" t="s">
        <v>1041</v>
      </c>
      <c r="E230" s="2" t="s">
        <v>1051</v>
      </c>
      <c r="F230" s="2" t="s">
        <v>803</v>
      </c>
      <c r="G230" s="2" t="str">
        <f aca="false">IFERROR(INDEX(Prices_Item,MATCH(F230,Prices_ID,0)),"ITEM NOT FOUND")</f>
        <v>Truper masking tape 1 in × 50 m</v>
      </c>
      <c r="H230" s="7" t="n">
        <v>3</v>
      </c>
      <c r="I230" s="2" t="s">
        <v>1496</v>
      </c>
      <c r="J230" s="3" t="n">
        <f aca="false">IFERROR(INDEX(Prices_Current,MATCH(F230,Prices_ID,0)),"")</f>
        <v>38</v>
      </c>
      <c r="K230" s="2" t="s">
        <v>1100</v>
      </c>
      <c r="L230" s="3" t="n">
        <f aca="false">IF(OR(H230="",NOT(ISNUMBER(J230))),"",H230*J230)</f>
        <v>114</v>
      </c>
      <c r="M230" s="2" t="str">
        <f aca="false">IFERROR(INDEX(Prices_Flag,MATCH(F230,Prices_ID,0)),"")</f>
        <v>none</v>
      </c>
      <c r="N230" s="2" t="s">
        <v>1471</v>
      </c>
      <c r="O230" s="0" t="s">
        <v>1046</v>
      </c>
      <c r="P230" s="8" t="s">
        <v>1047</v>
      </c>
      <c r="Q230" s="0" t="s">
        <v>27</v>
      </c>
    </row>
    <row r="231" customFormat="false" ht="17.15" hidden="false" customHeight="false" outlineLevel="0" collapsed="false">
      <c r="A231" s="2" t="s">
        <v>1497</v>
      </c>
      <c r="B231" s="2" t="s">
        <v>1040</v>
      </c>
      <c r="C231" s="2" t="s">
        <v>20</v>
      </c>
      <c r="D231" s="2" t="s">
        <v>1041</v>
      </c>
      <c r="E231" s="2" t="s">
        <v>1051</v>
      </c>
      <c r="F231" s="2" t="s">
        <v>721</v>
      </c>
      <c r="G231" s="2" t="str">
        <f aca="false">IFERROR(INDEX(Prices_Item,MATCH(F231,Prices_ID,0)),"ITEM NOT FOUND")</f>
        <v>HDX black polyethylene film cal. 400, 6 × 15.2 m</v>
      </c>
      <c r="H231" s="7" t="n">
        <v>0.219298</v>
      </c>
      <c r="I231" s="2" t="s">
        <v>1481</v>
      </c>
      <c r="J231" s="3" t="n">
        <f aca="false">IFERROR(INDEX(Prices_Current,MATCH(F231,Prices_ID,0)),"")</f>
        <v>685</v>
      </c>
      <c r="K231" s="2" t="s">
        <v>1100</v>
      </c>
      <c r="L231" s="3" t="n">
        <f aca="false">IF(OR(H231="",NOT(ISNUMBER(J231))),"",H231*J231)</f>
        <v>150.21913</v>
      </c>
      <c r="M231" s="2" t="str">
        <f aca="false">IFERROR(INDEX(Prices_Flag,MATCH(F231,Prices_ID,0)),"")</f>
        <v>none</v>
      </c>
      <c r="N231" s="2" t="s">
        <v>1471</v>
      </c>
      <c r="O231" s="0" t="s">
        <v>1046</v>
      </c>
      <c r="P231" s="8" t="s">
        <v>1047</v>
      </c>
      <c r="Q231" s="0" t="s">
        <v>27</v>
      </c>
    </row>
    <row r="232" customFormat="false" ht="17.15" hidden="false" customHeight="false" outlineLevel="0" collapsed="false">
      <c r="A232" s="2" t="s">
        <v>1498</v>
      </c>
      <c r="B232" s="2" t="s">
        <v>1064</v>
      </c>
      <c r="C232" s="2" t="s">
        <v>52</v>
      </c>
      <c r="D232" s="2" t="s">
        <v>1065</v>
      </c>
      <c r="E232" s="2" t="s">
        <v>1055</v>
      </c>
      <c r="F232" s="2" t="s">
        <v>810</v>
      </c>
      <c r="G232" s="2" t="str">
        <f aca="false">IFERROR(INDEX(Prices_Item,MATCH(F232,Prices_ID,0)),"ITEM NOT FOUND")</f>
        <v>Cluxer evaporator/coil cleaner 3.75 L</v>
      </c>
      <c r="H232" s="7" t="n">
        <v>0.25</v>
      </c>
      <c r="I232" s="2" t="s">
        <v>1499</v>
      </c>
      <c r="J232" s="3" t="n">
        <f aca="false">IFERROR(INDEX(Prices_Current,MATCH(F232,Prices_ID,0)),"")</f>
        <v>129</v>
      </c>
      <c r="K232" s="2" t="s">
        <v>1100</v>
      </c>
      <c r="L232" s="3" t="n">
        <f aca="false">IF(OR(H232="",NOT(ISNUMBER(J232))),"",H232*J232)</f>
        <v>32.25</v>
      </c>
      <c r="M232" s="2" t="str">
        <f aca="false">IFERROR(INDEX(Prices_Flag,MATCH(F232,Prices_ID,0)),"")</f>
        <v>none</v>
      </c>
      <c r="N232" s="2" t="s">
        <v>1500</v>
      </c>
      <c r="O232" s="0" t="s">
        <v>1067</v>
      </c>
      <c r="P232" s="8" t="s">
        <v>1068</v>
      </c>
      <c r="Q232" s="0" t="s">
        <v>27</v>
      </c>
    </row>
    <row r="233" customFormat="false" ht="17.15" hidden="false" customHeight="false" outlineLevel="0" collapsed="false">
      <c r="A233" s="2" t="s">
        <v>1501</v>
      </c>
      <c r="B233" s="2" t="s">
        <v>1064</v>
      </c>
      <c r="C233" s="2" t="s">
        <v>52</v>
      </c>
      <c r="D233" s="2" t="s">
        <v>1065</v>
      </c>
      <c r="E233" s="2" t="s">
        <v>1055</v>
      </c>
      <c r="F233" s="2" t="s">
        <v>816</v>
      </c>
      <c r="G233" s="2" t="str">
        <f aca="false">IFERROR(INDEX(Prices_Item,MATCH(F233,Prices_ID,0)),"ITEM NOT FOUND")</f>
        <v>Foam Plus minisplit coil cleaner aerosol</v>
      </c>
      <c r="H233" s="7" t="n">
        <v>1</v>
      </c>
      <c r="I233" s="2" t="s">
        <v>1502</v>
      </c>
      <c r="J233" s="3" t="n">
        <f aca="false">IFERROR(INDEX(Prices_Current,MATCH(F233,Prices_ID,0)),"")</f>
        <v>302.66</v>
      </c>
      <c r="K233" s="2" t="s">
        <v>1100</v>
      </c>
      <c r="L233" s="3" t="n">
        <f aca="false">IF(OR(H233="",NOT(ISNUMBER(J233))),"",H233*J233)</f>
        <v>302.66</v>
      </c>
      <c r="M233" s="2" t="str">
        <f aca="false">IFERROR(INDEX(Prices_Flag,MATCH(F233,Prices_ID,0)),"")</f>
        <v>none</v>
      </c>
      <c r="N233" s="2"/>
      <c r="O233" s="0" t="s">
        <v>1067</v>
      </c>
      <c r="P233" s="8" t="s">
        <v>1068</v>
      </c>
      <c r="Q233" s="0" t="s">
        <v>27</v>
      </c>
    </row>
    <row r="234" customFormat="false" ht="17.15" hidden="false" customHeight="false" outlineLevel="0" collapsed="false">
      <c r="A234" s="2" t="s">
        <v>1503</v>
      </c>
      <c r="B234" s="2" t="s">
        <v>1064</v>
      </c>
      <c r="C234" s="2" t="s">
        <v>52</v>
      </c>
      <c r="D234" s="2" t="s">
        <v>1065</v>
      </c>
      <c r="E234" s="2" t="s">
        <v>1055</v>
      </c>
      <c r="F234" s="2" t="s">
        <v>833</v>
      </c>
      <c r="G234" s="2" t="str">
        <f aca="false">IFERROR(INDEX(Prices_Item,MATCH(F234,Prices_ID,0)),"ITEM NOT FOUND")</f>
        <v>3M Temflex 1700 electrical tape 19 mm × 18.2 m</v>
      </c>
      <c r="H234" s="7" t="n">
        <v>0.1</v>
      </c>
      <c r="I234" s="2" t="s">
        <v>1504</v>
      </c>
      <c r="J234" s="3" t="n">
        <f aca="false">IFERROR(INDEX(Prices_Current,MATCH(F234,Prices_ID,0)),"")</f>
        <v>46</v>
      </c>
      <c r="K234" s="2" t="s">
        <v>1100</v>
      </c>
      <c r="L234" s="3" t="n">
        <f aca="false">IF(OR(H234="",NOT(ISNUMBER(J234))),"",H234*J234)</f>
        <v>4.6</v>
      </c>
      <c r="M234" s="2" t="str">
        <f aca="false">IFERROR(INDEX(Prices_Flag,MATCH(F234,Prices_ID,0)),"")</f>
        <v>none</v>
      </c>
      <c r="N234" s="2"/>
      <c r="O234" s="0" t="s">
        <v>1067</v>
      </c>
      <c r="P234" s="8" t="s">
        <v>1068</v>
      </c>
      <c r="Q234" s="0" t="s">
        <v>27</v>
      </c>
    </row>
    <row r="235" customFormat="false" ht="17.15" hidden="false" customHeight="false" outlineLevel="0" collapsed="false">
      <c r="A235" s="2" t="s">
        <v>1505</v>
      </c>
      <c r="B235" s="2" t="s">
        <v>1053</v>
      </c>
      <c r="C235" s="2" t="s">
        <v>52</v>
      </c>
      <c r="D235" s="2" t="s">
        <v>1054</v>
      </c>
      <c r="E235" s="2" t="s">
        <v>1055</v>
      </c>
      <c r="F235" s="2" t="s">
        <v>89</v>
      </c>
      <c r="G235" s="2" t="str">
        <f aca="false">IFERROR(INDEX(Prices_Item,MATCH(F235,Prices_ID,0)),"ITEM NOT FOUND")</f>
        <v>Copper line kit ¼ + ⅜ (1 t option)</v>
      </c>
      <c r="H235" s="7" t="n">
        <v>1</v>
      </c>
      <c r="I235" s="2" t="s">
        <v>1506</v>
      </c>
      <c r="J235" s="3" t="n">
        <f aca="false">IFERROR(INDEX(Prices_Current,MATCH(F235,Prices_ID,0)),"")</f>
        <v>368</v>
      </c>
      <c r="K235" s="2" t="s">
        <v>1100</v>
      </c>
      <c r="L235" s="3" t="n">
        <f aca="false">IF(OR(H235="",NOT(ISNUMBER(J235))),"",H235*J235)</f>
        <v>368</v>
      </c>
      <c r="M235" s="2" t="str">
        <f aca="false">IFERROR(INDEX(Prices_Flag,MATCH(F235,Prices_ID,0)),"")</f>
        <v>marketplace</v>
      </c>
      <c r="N235" s="2" t="s">
        <v>1507</v>
      </c>
      <c r="O235" s="0" t="s">
        <v>1057</v>
      </c>
      <c r="P235" s="8" t="s">
        <v>1058</v>
      </c>
      <c r="Q235" s="0" t="s">
        <v>27</v>
      </c>
    </row>
    <row r="236" customFormat="false" ht="17.15" hidden="false" customHeight="false" outlineLevel="0" collapsed="false">
      <c r="A236" s="2" t="s">
        <v>1508</v>
      </c>
      <c r="B236" s="2" t="s">
        <v>1053</v>
      </c>
      <c r="C236" s="2" t="s">
        <v>52</v>
      </c>
      <c r="D236" s="2" t="s">
        <v>1054</v>
      </c>
      <c r="E236" s="2" t="s">
        <v>1055</v>
      </c>
      <c r="F236" s="2" t="s">
        <v>822</v>
      </c>
      <c r="G236" s="2" t="str">
        <f aca="false">IFERROR(INDEX(Prices_Item,MATCH(F236,Prices_ID,0)),"ITEM NOT FOUND")</f>
        <v>Cluxer wall bracket for condenser, with level</v>
      </c>
      <c r="H236" s="7" t="n">
        <v>1</v>
      </c>
      <c r="I236" s="2" t="s">
        <v>1509</v>
      </c>
      <c r="J236" s="3" t="n">
        <f aca="false">IFERROR(INDEX(Prices_Current,MATCH(F236,Prices_ID,0)),"")</f>
        <v>565</v>
      </c>
      <c r="K236" s="2" t="s">
        <v>1100</v>
      </c>
      <c r="L236" s="3" t="n">
        <f aca="false">IF(OR(H236="",NOT(ISNUMBER(J236))),"",H236*J236)</f>
        <v>565</v>
      </c>
      <c r="M236" s="2" t="str">
        <f aca="false">IFERROR(INDEX(Prices_Flag,MATCH(F236,Prices_ID,0)),"")</f>
        <v>none</v>
      </c>
      <c r="N236" s="2"/>
      <c r="O236" s="0" t="s">
        <v>1057</v>
      </c>
      <c r="P236" s="8" t="s">
        <v>1058</v>
      </c>
      <c r="Q236" s="0" t="s">
        <v>27</v>
      </c>
    </row>
    <row r="237" customFormat="false" ht="17.15" hidden="false" customHeight="false" outlineLevel="0" collapsed="false">
      <c r="A237" s="2" t="s">
        <v>1510</v>
      </c>
      <c r="B237" s="2" t="s">
        <v>1053</v>
      </c>
      <c r="C237" s="2" t="s">
        <v>52</v>
      </c>
      <c r="D237" s="2" t="s">
        <v>1054</v>
      </c>
      <c r="E237" s="2" t="s">
        <v>1055</v>
      </c>
      <c r="F237" s="2" t="s">
        <v>610</v>
      </c>
      <c r="G237" s="2" t="str">
        <f aca="false">IFERROR(INDEX(Prices_Item,MATCH(F237,Prices_ID,0)),"ITEM NOT FOUND")</f>
        <v>Fiero assorted wall plugs + screws, 26 pc</v>
      </c>
      <c r="H237" s="7" t="n">
        <v>1</v>
      </c>
      <c r="I237" s="2" t="s">
        <v>1436</v>
      </c>
      <c r="J237" s="3" t="n">
        <f aca="false">IFERROR(INDEX(Prices_Current,MATCH(F237,Prices_ID,0)),"")</f>
        <v>37</v>
      </c>
      <c r="K237" s="2" t="s">
        <v>1100</v>
      </c>
      <c r="L237" s="3" t="n">
        <f aca="false">IF(OR(H237="",NOT(ISNUMBER(J237))),"",H237*J237)</f>
        <v>37</v>
      </c>
      <c r="M237" s="2" t="str">
        <f aca="false">IFERROR(INDEX(Prices_Flag,MATCH(F237,Prices_ID,0)),"")</f>
        <v>none</v>
      </c>
      <c r="N237" s="2"/>
      <c r="O237" s="0" t="s">
        <v>1057</v>
      </c>
      <c r="P237" s="8" t="s">
        <v>1058</v>
      </c>
      <c r="Q237" s="0" t="s">
        <v>27</v>
      </c>
    </row>
    <row r="238" customFormat="false" ht="17.15" hidden="false" customHeight="false" outlineLevel="0" collapsed="false">
      <c r="A238" s="2" t="s">
        <v>1511</v>
      </c>
      <c r="B238" s="2" t="s">
        <v>1053</v>
      </c>
      <c r="C238" s="2" t="s">
        <v>52</v>
      </c>
      <c r="D238" s="2" t="s">
        <v>1054</v>
      </c>
      <c r="E238" s="2" t="s">
        <v>1055</v>
      </c>
      <c r="F238" s="2" t="s">
        <v>833</v>
      </c>
      <c r="G238" s="2" t="str">
        <f aca="false">IFERROR(INDEX(Prices_Item,MATCH(F238,Prices_ID,0)),"ITEM NOT FOUND")</f>
        <v>3M Temflex 1700 electrical tape 19 mm × 18.2 m</v>
      </c>
      <c r="H238" s="7" t="n">
        <v>0.25</v>
      </c>
      <c r="I238" s="2" t="s">
        <v>1512</v>
      </c>
      <c r="J238" s="3" t="n">
        <f aca="false">IFERROR(INDEX(Prices_Current,MATCH(F238,Prices_ID,0)),"")</f>
        <v>46</v>
      </c>
      <c r="K238" s="2" t="s">
        <v>1100</v>
      </c>
      <c r="L238" s="3" t="n">
        <f aca="false">IF(OR(H238="",NOT(ISNUMBER(J238))),"",H238*J238)</f>
        <v>11.5</v>
      </c>
      <c r="M238" s="2" t="str">
        <f aca="false">IFERROR(INDEX(Prices_Flag,MATCH(F238,Prices_ID,0)),"")</f>
        <v>none</v>
      </c>
      <c r="N238" s="2"/>
      <c r="O238" s="0" t="s">
        <v>1057</v>
      </c>
      <c r="P238" s="8" t="s">
        <v>1058</v>
      </c>
      <c r="Q238" s="0" t="s">
        <v>27</v>
      </c>
    </row>
    <row r="239" customFormat="false" ht="17.15" hidden="false" customHeight="false" outlineLevel="0" collapsed="false">
      <c r="A239" s="2" t="s">
        <v>1513</v>
      </c>
      <c r="B239" s="2" t="s">
        <v>1053</v>
      </c>
      <c r="C239" s="2" t="s">
        <v>52</v>
      </c>
      <c r="D239" s="2" t="s">
        <v>1054</v>
      </c>
      <c r="E239" s="2" t="s">
        <v>1055</v>
      </c>
      <c r="F239" s="2" t="s">
        <v>828</v>
      </c>
      <c r="G239" s="2" t="str">
        <f aca="false">IFERROR(INDEX(Prices_Item,MATCH(F239,Prices_ID,0)),"ITEM NOT FOUND")</f>
        <v>Interconnect cable + drain hose (as-needed)</v>
      </c>
      <c r="H239" s="7"/>
      <c r="I239" s="2" t="s">
        <v>1514</v>
      </c>
      <c r="J239" s="3" t="str">
        <f aca="false">IFERROR(INDEX(Prices_Current,MATCH(F239,Prices_ID,0)),"")</f>
        <v/>
      </c>
      <c r="K239" s="2" t="s">
        <v>1044</v>
      </c>
      <c r="L239" s="3" t="str">
        <f aca="false">IF(OR(H239="",NOT(ISNUMBER(J239))),"",H239*J239)</f>
        <v/>
      </c>
      <c r="M239" s="2" t="str">
        <f aca="false">IFERROR(INDEX(Prices_Flag,MATCH(F239,Prices_ID,0)),"")</f>
        <v>none</v>
      </c>
      <c r="N239" s="2" t="s">
        <v>1045</v>
      </c>
      <c r="O239" s="0" t="s">
        <v>1057</v>
      </c>
      <c r="P239" s="8" t="s">
        <v>1058</v>
      </c>
      <c r="Q239" s="0" t="s">
        <v>27</v>
      </c>
    </row>
    <row r="240" customFormat="false" ht="17.15" hidden="false" customHeight="false" outlineLevel="0" collapsed="false">
      <c r="A240" s="2" t="s">
        <v>1515</v>
      </c>
      <c r="B240" s="2" t="s">
        <v>1064</v>
      </c>
      <c r="C240" s="2" t="s">
        <v>52</v>
      </c>
      <c r="D240" s="2" t="s">
        <v>1065</v>
      </c>
      <c r="E240" s="2" t="s">
        <v>1070</v>
      </c>
      <c r="F240" s="2" t="s">
        <v>810</v>
      </c>
      <c r="G240" s="2" t="str">
        <f aca="false">IFERROR(INDEX(Prices_Item,MATCH(F240,Prices_ID,0)),"ITEM NOT FOUND")</f>
        <v>Cluxer evaporator/coil cleaner 3.75 L</v>
      </c>
      <c r="H240" s="7" t="n">
        <v>0.3</v>
      </c>
      <c r="I240" s="2" t="s">
        <v>1516</v>
      </c>
      <c r="J240" s="3" t="n">
        <f aca="false">IFERROR(INDEX(Prices_Current,MATCH(F240,Prices_ID,0)),"")</f>
        <v>129</v>
      </c>
      <c r="K240" s="2" t="s">
        <v>1100</v>
      </c>
      <c r="L240" s="3" t="n">
        <f aca="false">IF(OR(H240="",NOT(ISNUMBER(J240))),"",H240*J240)</f>
        <v>38.7</v>
      </c>
      <c r="M240" s="2" t="str">
        <f aca="false">IFERROR(INDEX(Prices_Flag,MATCH(F240,Prices_ID,0)),"")</f>
        <v>none</v>
      </c>
      <c r="N240" s="2" t="s">
        <v>1500</v>
      </c>
      <c r="O240" s="0" t="s">
        <v>1067</v>
      </c>
      <c r="P240" s="8" t="s">
        <v>1068</v>
      </c>
      <c r="Q240" s="0" t="s">
        <v>27</v>
      </c>
    </row>
    <row r="241" customFormat="false" ht="17.15" hidden="false" customHeight="false" outlineLevel="0" collapsed="false">
      <c r="A241" s="2" t="s">
        <v>1517</v>
      </c>
      <c r="B241" s="2" t="s">
        <v>1064</v>
      </c>
      <c r="C241" s="2" t="s">
        <v>52</v>
      </c>
      <c r="D241" s="2" t="s">
        <v>1065</v>
      </c>
      <c r="E241" s="2" t="s">
        <v>1070</v>
      </c>
      <c r="F241" s="2" t="s">
        <v>816</v>
      </c>
      <c r="G241" s="2" t="str">
        <f aca="false">IFERROR(INDEX(Prices_Item,MATCH(F241,Prices_ID,0)),"ITEM NOT FOUND")</f>
        <v>Foam Plus minisplit coil cleaner aerosol</v>
      </c>
      <c r="H241" s="7" t="n">
        <v>1</v>
      </c>
      <c r="I241" s="2" t="s">
        <v>1502</v>
      </c>
      <c r="J241" s="3" t="n">
        <f aca="false">IFERROR(INDEX(Prices_Current,MATCH(F241,Prices_ID,0)),"")</f>
        <v>302.66</v>
      </c>
      <c r="K241" s="2" t="s">
        <v>1100</v>
      </c>
      <c r="L241" s="3" t="n">
        <f aca="false">IF(OR(H241="",NOT(ISNUMBER(J241))),"",H241*J241)</f>
        <v>302.66</v>
      </c>
      <c r="M241" s="2" t="str">
        <f aca="false">IFERROR(INDEX(Prices_Flag,MATCH(F241,Prices_ID,0)),"")</f>
        <v>none</v>
      </c>
      <c r="N241" s="2"/>
      <c r="O241" s="0" t="s">
        <v>1067</v>
      </c>
      <c r="P241" s="8" t="s">
        <v>1068</v>
      </c>
      <c r="Q241" s="0" t="s">
        <v>27</v>
      </c>
    </row>
    <row r="242" customFormat="false" ht="17.15" hidden="false" customHeight="false" outlineLevel="0" collapsed="false">
      <c r="A242" s="2" t="s">
        <v>1518</v>
      </c>
      <c r="B242" s="2" t="s">
        <v>1064</v>
      </c>
      <c r="C242" s="2" t="s">
        <v>52</v>
      </c>
      <c r="D242" s="2" t="s">
        <v>1065</v>
      </c>
      <c r="E242" s="2" t="s">
        <v>1070</v>
      </c>
      <c r="F242" s="2" t="s">
        <v>833</v>
      </c>
      <c r="G242" s="2" t="str">
        <f aca="false">IFERROR(INDEX(Prices_Item,MATCH(F242,Prices_ID,0)),"ITEM NOT FOUND")</f>
        <v>3M Temflex 1700 electrical tape 19 mm × 18.2 m</v>
      </c>
      <c r="H242" s="7" t="n">
        <v>0.1</v>
      </c>
      <c r="I242" s="2" t="s">
        <v>1504</v>
      </c>
      <c r="J242" s="3" t="n">
        <f aca="false">IFERROR(INDEX(Prices_Current,MATCH(F242,Prices_ID,0)),"")</f>
        <v>46</v>
      </c>
      <c r="K242" s="2" t="s">
        <v>1100</v>
      </c>
      <c r="L242" s="3" t="n">
        <f aca="false">IF(OR(H242="",NOT(ISNUMBER(J242))),"",H242*J242)</f>
        <v>4.6</v>
      </c>
      <c r="M242" s="2" t="str">
        <f aca="false">IFERROR(INDEX(Prices_Flag,MATCH(F242,Prices_ID,0)),"")</f>
        <v>none</v>
      </c>
      <c r="N242" s="2"/>
      <c r="O242" s="0" t="s">
        <v>1067</v>
      </c>
      <c r="P242" s="8" t="s">
        <v>1068</v>
      </c>
      <c r="Q242" s="0" t="s">
        <v>27</v>
      </c>
    </row>
    <row r="243" customFormat="false" ht="17.15" hidden="false" customHeight="false" outlineLevel="0" collapsed="false">
      <c r="A243" s="2" t="s">
        <v>1519</v>
      </c>
      <c r="B243" s="2" t="s">
        <v>1053</v>
      </c>
      <c r="C243" s="2" t="s">
        <v>52</v>
      </c>
      <c r="D243" s="2" t="s">
        <v>1054</v>
      </c>
      <c r="E243" s="2" t="s">
        <v>1070</v>
      </c>
      <c r="F243" s="2" t="s">
        <v>89</v>
      </c>
      <c r="G243" s="2" t="str">
        <f aca="false">IFERROR(INDEX(Prices_Item,MATCH(F243,Prices_ID,0)),"ITEM NOT FOUND")</f>
        <v>Copper line kit ¼ + ⅜ (1 t option)</v>
      </c>
      <c r="H243" s="7" t="n">
        <v>1</v>
      </c>
      <c r="I243" s="2" t="s">
        <v>1506</v>
      </c>
      <c r="J243" s="3" t="n">
        <f aca="false">IFERROR(INDEX(Prices_Current,MATCH(F243,Prices_ID,0)),"")</f>
        <v>368</v>
      </c>
      <c r="K243" s="2" t="s">
        <v>1100</v>
      </c>
      <c r="L243" s="3" t="n">
        <f aca="false">IF(OR(H243="",NOT(ISNUMBER(J243))),"",H243*J243)</f>
        <v>368</v>
      </c>
      <c r="M243" s="2" t="str">
        <f aca="false">IFERROR(INDEX(Prices_Flag,MATCH(F243,Prices_ID,0)),"")</f>
        <v>marketplace</v>
      </c>
      <c r="N243" s="2" t="s">
        <v>1507</v>
      </c>
      <c r="O243" s="0" t="s">
        <v>1057</v>
      </c>
      <c r="P243" s="8" t="s">
        <v>1058</v>
      </c>
      <c r="Q243" s="0" t="s">
        <v>27</v>
      </c>
    </row>
    <row r="244" customFormat="false" ht="17.15" hidden="false" customHeight="false" outlineLevel="0" collapsed="false">
      <c r="A244" s="2" t="s">
        <v>1520</v>
      </c>
      <c r="B244" s="2" t="s">
        <v>1053</v>
      </c>
      <c r="C244" s="2" t="s">
        <v>52</v>
      </c>
      <c r="D244" s="2" t="s">
        <v>1054</v>
      </c>
      <c r="E244" s="2" t="s">
        <v>1070</v>
      </c>
      <c r="F244" s="2" t="s">
        <v>822</v>
      </c>
      <c r="G244" s="2" t="str">
        <f aca="false">IFERROR(INDEX(Prices_Item,MATCH(F244,Prices_ID,0)),"ITEM NOT FOUND")</f>
        <v>Cluxer wall bracket for condenser, with level</v>
      </c>
      <c r="H244" s="7" t="n">
        <v>1</v>
      </c>
      <c r="I244" s="2" t="s">
        <v>1509</v>
      </c>
      <c r="J244" s="3" t="n">
        <f aca="false">IFERROR(INDEX(Prices_Current,MATCH(F244,Prices_ID,0)),"")</f>
        <v>565</v>
      </c>
      <c r="K244" s="2" t="s">
        <v>1100</v>
      </c>
      <c r="L244" s="3" t="n">
        <f aca="false">IF(OR(H244="",NOT(ISNUMBER(J244))),"",H244*J244)</f>
        <v>565</v>
      </c>
      <c r="M244" s="2" t="str">
        <f aca="false">IFERROR(INDEX(Prices_Flag,MATCH(F244,Prices_ID,0)),"")</f>
        <v>none</v>
      </c>
      <c r="N244" s="2"/>
      <c r="O244" s="0" t="s">
        <v>1057</v>
      </c>
      <c r="P244" s="8" t="s">
        <v>1058</v>
      </c>
      <c r="Q244" s="0" t="s">
        <v>27</v>
      </c>
    </row>
    <row r="245" customFormat="false" ht="17.15" hidden="false" customHeight="false" outlineLevel="0" collapsed="false">
      <c r="A245" s="2" t="s">
        <v>1521</v>
      </c>
      <c r="B245" s="2" t="s">
        <v>1053</v>
      </c>
      <c r="C245" s="2" t="s">
        <v>52</v>
      </c>
      <c r="D245" s="2" t="s">
        <v>1054</v>
      </c>
      <c r="E245" s="2" t="s">
        <v>1070</v>
      </c>
      <c r="F245" s="2" t="s">
        <v>610</v>
      </c>
      <c r="G245" s="2" t="str">
        <f aca="false">IFERROR(INDEX(Prices_Item,MATCH(F245,Prices_ID,0)),"ITEM NOT FOUND")</f>
        <v>Fiero assorted wall plugs + screws, 26 pc</v>
      </c>
      <c r="H245" s="7" t="n">
        <v>1</v>
      </c>
      <c r="I245" s="2" t="s">
        <v>1436</v>
      </c>
      <c r="J245" s="3" t="n">
        <f aca="false">IFERROR(INDEX(Prices_Current,MATCH(F245,Prices_ID,0)),"")</f>
        <v>37</v>
      </c>
      <c r="K245" s="2" t="s">
        <v>1100</v>
      </c>
      <c r="L245" s="3" t="n">
        <f aca="false">IF(OR(H245="",NOT(ISNUMBER(J245))),"",H245*J245)</f>
        <v>37</v>
      </c>
      <c r="M245" s="2" t="str">
        <f aca="false">IFERROR(INDEX(Prices_Flag,MATCH(F245,Prices_ID,0)),"")</f>
        <v>none</v>
      </c>
      <c r="N245" s="2"/>
      <c r="O245" s="0" t="s">
        <v>1057</v>
      </c>
      <c r="P245" s="8" t="s">
        <v>1058</v>
      </c>
      <c r="Q245" s="0" t="s">
        <v>27</v>
      </c>
    </row>
    <row r="246" customFormat="false" ht="17.15" hidden="false" customHeight="false" outlineLevel="0" collapsed="false">
      <c r="A246" s="2" t="s">
        <v>1522</v>
      </c>
      <c r="B246" s="2" t="s">
        <v>1053</v>
      </c>
      <c r="C246" s="2" t="s">
        <v>52</v>
      </c>
      <c r="D246" s="2" t="s">
        <v>1054</v>
      </c>
      <c r="E246" s="2" t="s">
        <v>1070</v>
      </c>
      <c r="F246" s="2" t="s">
        <v>833</v>
      </c>
      <c r="G246" s="2" t="str">
        <f aca="false">IFERROR(INDEX(Prices_Item,MATCH(F246,Prices_ID,0)),"ITEM NOT FOUND")</f>
        <v>3M Temflex 1700 electrical tape 19 mm × 18.2 m</v>
      </c>
      <c r="H246" s="7" t="n">
        <v>0.25</v>
      </c>
      <c r="I246" s="2" t="s">
        <v>1512</v>
      </c>
      <c r="J246" s="3" t="n">
        <f aca="false">IFERROR(INDEX(Prices_Current,MATCH(F246,Prices_ID,0)),"")</f>
        <v>46</v>
      </c>
      <c r="K246" s="2" t="s">
        <v>1100</v>
      </c>
      <c r="L246" s="3" t="n">
        <f aca="false">IF(OR(H246="",NOT(ISNUMBER(J246))),"",H246*J246)</f>
        <v>11.5</v>
      </c>
      <c r="M246" s="2" t="str">
        <f aca="false">IFERROR(INDEX(Prices_Flag,MATCH(F246,Prices_ID,0)),"")</f>
        <v>none</v>
      </c>
      <c r="N246" s="2"/>
      <c r="O246" s="0" t="s">
        <v>1057</v>
      </c>
      <c r="P246" s="8" t="s">
        <v>1058</v>
      </c>
      <c r="Q246" s="0" t="s">
        <v>27</v>
      </c>
    </row>
    <row r="247" customFormat="false" ht="17.15" hidden="false" customHeight="false" outlineLevel="0" collapsed="false">
      <c r="A247" s="2" t="s">
        <v>1523</v>
      </c>
      <c r="B247" s="2" t="s">
        <v>1053</v>
      </c>
      <c r="C247" s="2" t="s">
        <v>52</v>
      </c>
      <c r="D247" s="2" t="s">
        <v>1054</v>
      </c>
      <c r="E247" s="2" t="s">
        <v>1070</v>
      </c>
      <c r="F247" s="2" t="s">
        <v>828</v>
      </c>
      <c r="G247" s="2" t="str">
        <f aca="false">IFERROR(INDEX(Prices_Item,MATCH(F247,Prices_ID,0)),"ITEM NOT FOUND")</f>
        <v>Interconnect cable + drain hose (as-needed)</v>
      </c>
      <c r="H247" s="7"/>
      <c r="I247" s="2" t="s">
        <v>1514</v>
      </c>
      <c r="J247" s="3" t="str">
        <f aca="false">IFERROR(INDEX(Prices_Current,MATCH(F247,Prices_ID,0)),"")</f>
        <v/>
      </c>
      <c r="K247" s="2" t="s">
        <v>1044</v>
      </c>
      <c r="L247" s="3" t="str">
        <f aca="false">IF(OR(H247="",NOT(ISNUMBER(J247))),"",H247*J247)</f>
        <v/>
      </c>
      <c r="M247" s="2" t="str">
        <f aca="false">IFERROR(INDEX(Prices_Flag,MATCH(F247,Prices_ID,0)),"")</f>
        <v>none</v>
      </c>
      <c r="N247" s="2" t="s">
        <v>1045</v>
      </c>
      <c r="O247" s="0" t="s">
        <v>1057</v>
      </c>
      <c r="P247" s="8" t="s">
        <v>1058</v>
      </c>
      <c r="Q247" s="0" t="s">
        <v>27</v>
      </c>
    </row>
    <row r="248" customFormat="false" ht="17.15" hidden="false" customHeight="false" outlineLevel="0" collapsed="false">
      <c r="A248" s="2" t="s">
        <v>1524</v>
      </c>
      <c r="B248" s="2" t="s">
        <v>1064</v>
      </c>
      <c r="C248" s="2" t="s">
        <v>52</v>
      </c>
      <c r="D248" s="2" t="s">
        <v>1065</v>
      </c>
      <c r="E248" s="2" t="s">
        <v>1074</v>
      </c>
      <c r="F248" s="2" t="s">
        <v>810</v>
      </c>
      <c r="G248" s="2" t="str">
        <f aca="false">IFERROR(INDEX(Prices_Item,MATCH(F248,Prices_ID,0)),"ITEM NOT FOUND")</f>
        <v>Cluxer evaporator/coil cleaner 3.75 L</v>
      </c>
      <c r="H248" s="7" t="n">
        <v>0.4</v>
      </c>
      <c r="I248" s="2" t="s">
        <v>1525</v>
      </c>
      <c r="J248" s="3" t="n">
        <f aca="false">IFERROR(INDEX(Prices_Current,MATCH(F248,Prices_ID,0)),"")</f>
        <v>129</v>
      </c>
      <c r="K248" s="2" t="s">
        <v>1100</v>
      </c>
      <c r="L248" s="3" t="n">
        <f aca="false">IF(OR(H248="",NOT(ISNUMBER(J248))),"",H248*J248)</f>
        <v>51.6</v>
      </c>
      <c r="M248" s="2" t="str">
        <f aca="false">IFERROR(INDEX(Prices_Flag,MATCH(F248,Prices_ID,0)),"")</f>
        <v>none</v>
      </c>
      <c r="N248" s="2" t="s">
        <v>1500</v>
      </c>
      <c r="O248" s="0" t="s">
        <v>1067</v>
      </c>
      <c r="P248" s="8" t="s">
        <v>1068</v>
      </c>
      <c r="Q248" s="0" t="s">
        <v>27</v>
      </c>
    </row>
    <row r="249" customFormat="false" ht="17.15" hidden="false" customHeight="false" outlineLevel="0" collapsed="false">
      <c r="A249" s="2" t="s">
        <v>1526</v>
      </c>
      <c r="B249" s="2" t="s">
        <v>1064</v>
      </c>
      <c r="C249" s="2" t="s">
        <v>52</v>
      </c>
      <c r="D249" s="2" t="s">
        <v>1065</v>
      </c>
      <c r="E249" s="2" t="s">
        <v>1074</v>
      </c>
      <c r="F249" s="2" t="s">
        <v>816</v>
      </c>
      <c r="G249" s="2" t="str">
        <f aca="false">IFERROR(INDEX(Prices_Item,MATCH(F249,Prices_ID,0)),"ITEM NOT FOUND")</f>
        <v>Foam Plus minisplit coil cleaner aerosol</v>
      </c>
      <c r="H249" s="7" t="n">
        <v>1</v>
      </c>
      <c r="I249" s="2" t="s">
        <v>1502</v>
      </c>
      <c r="J249" s="3" t="n">
        <f aca="false">IFERROR(INDEX(Prices_Current,MATCH(F249,Prices_ID,0)),"")</f>
        <v>302.66</v>
      </c>
      <c r="K249" s="2" t="s">
        <v>1100</v>
      </c>
      <c r="L249" s="3" t="n">
        <f aca="false">IF(OR(H249="",NOT(ISNUMBER(J249))),"",H249*J249)</f>
        <v>302.66</v>
      </c>
      <c r="M249" s="2" t="str">
        <f aca="false">IFERROR(INDEX(Prices_Flag,MATCH(F249,Prices_ID,0)),"")</f>
        <v>none</v>
      </c>
      <c r="N249" s="2"/>
      <c r="O249" s="0" t="s">
        <v>1067</v>
      </c>
      <c r="P249" s="8" t="s">
        <v>1068</v>
      </c>
      <c r="Q249" s="0" t="s">
        <v>27</v>
      </c>
    </row>
    <row r="250" customFormat="false" ht="17.15" hidden="false" customHeight="false" outlineLevel="0" collapsed="false">
      <c r="A250" s="2" t="s">
        <v>1527</v>
      </c>
      <c r="B250" s="2" t="s">
        <v>1064</v>
      </c>
      <c r="C250" s="2" t="s">
        <v>52</v>
      </c>
      <c r="D250" s="2" t="s">
        <v>1065</v>
      </c>
      <c r="E250" s="2" t="s">
        <v>1074</v>
      </c>
      <c r="F250" s="2" t="s">
        <v>833</v>
      </c>
      <c r="G250" s="2" t="str">
        <f aca="false">IFERROR(INDEX(Prices_Item,MATCH(F250,Prices_ID,0)),"ITEM NOT FOUND")</f>
        <v>3M Temflex 1700 electrical tape 19 mm × 18.2 m</v>
      </c>
      <c r="H250" s="7" t="n">
        <v>0.1</v>
      </c>
      <c r="I250" s="2" t="s">
        <v>1504</v>
      </c>
      <c r="J250" s="3" t="n">
        <f aca="false">IFERROR(INDEX(Prices_Current,MATCH(F250,Prices_ID,0)),"")</f>
        <v>46</v>
      </c>
      <c r="K250" s="2" t="s">
        <v>1100</v>
      </c>
      <c r="L250" s="3" t="n">
        <f aca="false">IF(OR(H250="",NOT(ISNUMBER(J250))),"",H250*J250)</f>
        <v>4.6</v>
      </c>
      <c r="M250" s="2" t="str">
        <f aca="false">IFERROR(INDEX(Prices_Flag,MATCH(F250,Prices_ID,0)),"")</f>
        <v>none</v>
      </c>
      <c r="N250" s="2"/>
      <c r="O250" s="0" t="s">
        <v>1067</v>
      </c>
      <c r="P250" s="8" t="s">
        <v>1068</v>
      </c>
      <c r="Q250" s="0" t="s">
        <v>27</v>
      </c>
    </row>
    <row r="251" customFormat="false" ht="17.15" hidden="false" customHeight="false" outlineLevel="0" collapsed="false">
      <c r="A251" s="2" t="s">
        <v>1528</v>
      </c>
      <c r="B251" s="2" t="s">
        <v>1053</v>
      </c>
      <c r="C251" s="2" t="s">
        <v>52</v>
      </c>
      <c r="D251" s="2" t="s">
        <v>1054</v>
      </c>
      <c r="E251" s="2" t="s">
        <v>1074</v>
      </c>
      <c r="F251" s="2" t="s">
        <v>582</v>
      </c>
      <c r="G251" s="2" t="str">
        <f aca="false">IFERROR(INDEX(Prices_Item,MATCH(F251,Prices_ID,0)),"ITEM NOT FOUND")</f>
        <v>Cluxer copper line-set kit ⅜ + ⅝, 4 m (2–3 t)</v>
      </c>
      <c r="H251" s="7" t="n">
        <v>1</v>
      </c>
      <c r="I251" s="2" t="s">
        <v>1506</v>
      </c>
      <c r="J251" s="3" t="n">
        <f aca="false">IFERROR(INDEX(Prices_Current,MATCH(F251,Prices_ID,0)),"")</f>
        <v>796.92</v>
      </c>
      <c r="K251" s="2" t="s">
        <v>1100</v>
      </c>
      <c r="L251" s="3" t="n">
        <f aca="false">IF(OR(H251="",NOT(ISNUMBER(J251))),"",H251*J251)</f>
        <v>796.92</v>
      </c>
      <c r="M251" s="2" t="str">
        <f aca="false">IFERROR(INDEX(Prices_Flag,MATCH(F251,Prices_ID,0)),"")</f>
        <v>none</v>
      </c>
      <c r="N251" s="2" t="s">
        <v>1529</v>
      </c>
      <c r="O251" s="0" t="s">
        <v>1057</v>
      </c>
      <c r="P251" s="8" t="s">
        <v>1058</v>
      </c>
      <c r="Q251" s="0" t="s">
        <v>27</v>
      </c>
    </row>
    <row r="252" customFormat="false" ht="17.15" hidden="false" customHeight="false" outlineLevel="0" collapsed="false">
      <c r="A252" s="2" t="s">
        <v>1530</v>
      </c>
      <c r="B252" s="2" t="s">
        <v>1053</v>
      </c>
      <c r="C252" s="2" t="s">
        <v>52</v>
      </c>
      <c r="D252" s="2" t="s">
        <v>1054</v>
      </c>
      <c r="E252" s="2" t="s">
        <v>1074</v>
      </c>
      <c r="F252" s="2" t="s">
        <v>822</v>
      </c>
      <c r="G252" s="2" t="str">
        <f aca="false">IFERROR(INDEX(Prices_Item,MATCH(F252,Prices_ID,0)),"ITEM NOT FOUND")</f>
        <v>Cluxer wall bracket for condenser, with level</v>
      </c>
      <c r="H252" s="7" t="n">
        <v>1</v>
      </c>
      <c r="I252" s="2" t="s">
        <v>1509</v>
      </c>
      <c r="J252" s="3" t="n">
        <f aca="false">IFERROR(INDEX(Prices_Current,MATCH(F252,Prices_ID,0)),"")</f>
        <v>565</v>
      </c>
      <c r="K252" s="2" t="s">
        <v>1100</v>
      </c>
      <c r="L252" s="3" t="n">
        <f aca="false">IF(OR(H252="",NOT(ISNUMBER(J252))),"",H252*J252)</f>
        <v>565</v>
      </c>
      <c r="M252" s="2" t="str">
        <f aca="false">IFERROR(INDEX(Prices_Flag,MATCH(F252,Prices_ID,0)),"")</f>
        <v>none</v>
      </c>
      <c r="N252" s="2"/>
      <c r="O252" s="0" t="s">
        <v>1057</v>
      </c>
      <c r="P252" s="8" t="s">
        <v>1058</v>
      </c>
      <c r="Q252" s="0" t="s">
        <v>27</v>
      </c>
    </row>
    <row r="253" customFormat="false" ht="17.15" hidden="false" customHeight="false" outlineLevel="0" collapsed="false">
      <c r="A253" s="2" t="s">
        <v>1531</v>
      </c>
      <c r="B253" s="2" t="s">
        <v>1053</v>
      </c>
      <c r="C253" s="2" t="s">
        <v>52</v>
      </c>
      <c r="D253" s="2" t="s">
        <v>1054</v>
      </c>
      <c r="E253" s="2" t="s">
        <v>1074</v>
      </c>
      <c r="F253" s="2" t="s">
        <v>610</v>
      </c>
      <c r="G253" s="2" t="str">
        <f aca="false">IFERROR(INDEX(Prices_Item,MATCH(F253,Prices_ID,0)),"ITEM NOT FOUND")</f>
        <v>Fiero assorted wall plugs + screws, 26 pc</v>
      </c>
      <c r="H253" s="7" t="n">
        <v>1</v>
      </c>
      <c r="I253" s="2" t="s">
        <v>1436</v>
      </c>
      <c r="J253" s="3" t="n">
        <f aca="false">IFERROR(INDEX(Prices_Current,MATCH(F253,Prices_ID,0)),"")</f>
        <v>37</v>
      </c>
      <c r="K253" s="2" t="s">
        <v>1100</v>
      </c>
      <c r="L253" s="3" t="n">
        <f aca="false">IF(OR(H253="",NOT(ISNUMBER(J253))),"",H253*J253)</f>
        <v>37</v>
      </c>
      <c r="M253" s="2" t="str">
        <f aca="false">IFERROR(INDEX(Prices_Flag,MATCH(F253,Prices_ID,0)),"")</f>
        <v>none</v>
      </c>
      <c r="N253" s="2"/>
      <c r="O253" s="0" t="s">
        <v>1057</v>
      </c>
      <c r="P253" s="8" t="s">
        <v>1058</v>
      </c>
      <c r="Q253" s="0" t="s">
        <v>27</v>
      </c>
    </row>
    <row r="254" customFormat="false" ht="17.15" hidden="false" customHeight="false" outlineLevel="0" collapsed="false">
      <c r="A254" s="2" t="s">
        <v>1532</v>
      </c>
      <c r="B254" s="2" t="s">
        <v>1053</v>
      </c>
      <c r="C254" s="2" t="s">
        <v>52</v>
      </c>
      <c r="D254" s="2" t="s">
        <v>1054</v>
      </c>
      <c r="E254" s="2" t="s">
        <v>1074</v>
      </c>
      <c r="F254" s="2" t="s">
        <v>833</v>
      </c>
      <c r="G254" s="2" t="str">
        <f aca="false">IFERROR(INDEX(Prices_Item,MATCH(F254,Prices_ID,0)),"ITEM NOT FOUND")</f>
        <v>3M Temflex 1700 electrical tape 19 mm × 18.2 m</v>
      </c>
      <c r="H254" s="7" t="n">
        <v>0.25</v>
      </c>
      <c r="I254" s="2" t="s">
        <v>1512</v>
      </c>
      <c r="J254" s="3" t="n">
        <f aca="false">IFERROR(INDEX(Prices_Current,MATCH(F254,Prices_ID,0)),"")</f>
        <v>46</v>
      </c>
      <c r="K254" s="2" t="s">
        <v>1100</v>
      </c>
      <c r="L254" s="3" t="n">
        <f aca="false">IF(OR(H254="",NOT(ISNUMBER(J254))),"",H254*J254)</f>
        <v>11.5</v>
      </c>
      <c r="M254" s="2" t="str">
        <f aca="false">IFERROR(INDEX(Prices_Flag,MATCH(F254,Prices_ID,0)),"")</f>
        <v>none</v>
      </c>
      <c r="N254" s="2"/>
      <c r="O254" s="0" t="s">
        <v>1057</v>
      </c>
      <c r="P254" s="8" t="s">
        <v>1058</v>
      </c>
      <c r="Q254" s="0" t="s">
        <v>27</v>
      </c>
    </row>
    <row r="255" customFormat="false" ht="17.15" hidden="false" customHeight="false" outlineLevel="0" collapsed="false">
      <c r="A255" s="2" t="s">
        <v>1533</v>
      </c>
      <c r="B255" s="2" t="s">
        <v>1053</v>
      </c>
      <c r="C255" s="2" t="s">
        <v>52</v>
      </c>
      <c r="D255" s="2" t="s">
        <v>1054</v>
      </c>
      <c r="E255" s="2" t="s">
        <v>1074</v>
      </c>
      <c r="F255" s="2" t="s">
        <v>828</v>
      </c>
      <c r="G255" s="2" t="str">
        <f aca="false">IFERROR(INDEX(Prices_Item,MATCH(F255,Prices_ID,0)),"ITEM NOT FOUND")</f>
        <v>Interconnect cable + drain hose (as-needed)</v>
      </c>
      <c r="H255" s="7"/>
      <c r="I255" s="2" t="s">
        <v>1514</v>
      </c>
      <c r="J255" s="3" t="str">
        <f aca="false">IFERROR(INDEX(Prices_Current,MATCH(F255,Prices_ID,0)),"")</f>
        <v/>
      </c>
      <c r="K255" s="2" t="s">
        <v>1044</v>
      </c>
      <c r="L255" s="3" t="str">
        <f aca="false">IF(OR(H255="",NOT(ISNUMBER(J255))),"",H255*J255)</f>
        <v/>
      </c>
      <c r="M255" s="2" t="str">
        <f aca="false">IFERROR(INDEX(Prices_Flag,MATCH(F255,Prices_ID,0)),"")</f>
        <v>none</v>
      </c>
      <c r="N255" s="2" t="s">
        <v>1045</v>
      </c>
      <c r="O255" s="0" t="s">
        <v>1057</v>
      </c>
      <c r="P255" s="8" t="s">
        <v>1058</v>
      </c>
      <c r="Q255" s="0" t="s">
        <v>27</v>
      </c>
    </row>
    <row r="256" customFormat="false" ht="17.15" hidden="false" customHeight="false" outlineLevel="0" collapsed="false">
      <c r="A256" s="2" t="s">
        <v>1534</v>
      </c>
      <c r="B256" s="2" t="s">
        <v>1064</v>
      </c>
      <c r="C256" s="2" t="s">
        <v>52</v>
      </c>
      <c r="D256" s="2" t="s">
        <v>1065</v>
      </c>
      <c r="E256" s="2" t="s">
        <v>1078</v>
      </c>
      <c r="F256" s="2" t="s">
        <v>810</v>
      </c>
      <c r="G256" s="2" t="str">
        <f aca="false">IFERROR(INDEX(Prices_Item,MATCH(F256,Prices_ID,0)),"ITEM NOT FOUND")</f>
        <v>Cluxer evaporator/coil cleaner 3.75 L</v>
      </c>
      <c r="H256" s="7" t="n">
        <v>0.5</v>
      </c>
      <c r="I256" s="2" t="s">
        <v>1535</v>
      </c>
      <c r="J256" s="3" t="n">
        <f aca="false">IFERROR(INDEX(Prices_Current,MATCH(F256,Prices_ID,0)),"")</f>
        <v>129</v>
      </c>
      <c r="K256" s="2" t="s">
        <v>1100</v>
      </c>
      <c r="L256" s="3" t="n">
        <f aca="false">IF(OR(H256="",NOT(ISNUMBER(J256))),"",H256*J256)</f>
        <v>64.5</v>
      </c>
      <c r="M256" s="2" t="str">
        <f aca="false">IFERROR(INDEX(Prices_Flag,MATCH(F256,Prices_ID,0)),"")</f>
        <v>none</v>
      </c>
      <c r="N256" s="2" t="s">
        <v>1500</v>
      </c>
      <c r="O256" s="0" t="s">
        <v>1067</v>
      </c>
      <c r="P256" s="8" t="s">
        <v>1068</v>
      </c>
      <c r="Q256" s="0" t="s">
        <v>27</v>
      </c>
    </row>
    <row r="257" customFormat="false" ht="17.15" hidden="false" customHeight="false" outlineLevel="0" collapsed="false">
      <c r="A257" s="2" t="s">
        <v>1536</v>
      </c>
      <c r="B257" s="2" t="s">
        <v>1064</v>
      </c>
      <c r="C257" s="2" t="s">
        <v>52</v>
      </c>
      <c r="D257" s="2" t="s">
        <v>1065</v>
      </c>
      <c r="E257" s="2" t="s">
        <v>1078</v>
      </c>
      <c r="F257" s="2" t="s">
        <v>816</v>
      </c>
      <c r="G257" s="2" t="str">
        <f aca="false">IFERROR(INDEX(Prices_Item,MATCH(F257,Prices_ID,0)),"ITEM NOT FOUND")</f>
        <v>Foam Plus minisplit coil cleaner aerosol</v>
      </c>
      <c r="H257" s="7" t="n">
        <v>1</v>
      </c>
      <c r="I257" s="2" t="s">
        <v>1502</v>
      </c>
      <c r="J257" s="3" t="n">
        <f aca="false">IFERROR(INDEX(Prices_Current,MATCH(F257,Prices_ID,0)),"")</f>
        <v>302.66</v>
      </c>
      <c r="K257" s="2" t="s">
        <v>1100</v>
      </c>
      <c r="L257" s="3" t="n">
        <f aca="false">IF(OR(H257="",NOT(ISNUMBER(J257))),"",H257*J257)</f>
        <v>302.66</v>
      </c>
      <c r="M257" s="2" t="str">
        <f aca="false">IFERROR(INDEX(Prices_Flag,MATCH(F257,Prices_ID,0)),"")</f>
        <v>none</v>
      </c>
      <c r="N257" s="2"/>
      <c r="O257" s="0" t="s">
        <v>1067</v>
      </c>
      <c r="P257" s="8" t="s">
        <v>1068</v>
      </c>
      <c r="Q257" s="0" t="s">
        <v>27</v>
      </c>
    </row>
    <row r="258" customFormat="false" ht="17.15" hidden="false" customHeight="false" outlineLevel="0" collapsed="false">
      <c r="A258" s="2" t="s">
        <v>1537</v>
      </c>
      <c r="B258" s="2" t="s">
        <v>1064</v>
      </c>
      <c r="C258" s="2" t="s">
        <v>52</v>
      </c>
      <c r="D258" s="2" t="s">
        <v>1065</v>
      </c>
      <c r="E258" s="2" t="s">
        <v>1078</v>
      </c>
      <c r="F258" s="2" t="s">
        <v>833</v>
      </c>
      <c r="G258" s="2" t="str">
        <f aca="false">IFERROR(INDEX(Prices_Item,MATCH(F258,Prices_ID,0)),"ITEM NOT FOUND")</f>
        <v>3M Temflex 1700 electrical tape 19 mm × 18.2 m</v>
      </c>
      <c r="H258" s="7" t="n">
        <v>0.1</v>
      </c>
      <c r="I258" s="2" t="s">
        <v>1504</v>
      </c>
      <c r="J258" s="3" t="n">
        <f aca="false">IFERROR(INDEX(Prices_Current,MATCH(F258,Prices_ID,0)),"")</f>
        <v>46</v>
      </c>
      <c r="K258" s="2" t="s">
        <v>1100</v>
      </c>
      <c r="L258" s="3" t="n">
        <f aca="false">IF(OR(H258="",NOT(ISNUMBER(J258))),"",H258*J258)</f>
        <v>4.6</v>
      </c>
      <c r="M258" s="2" t="str">
        <f aca="false">IFERROR(INDEX(Prices_Flag,MATCH(F258,Prices_ID,0)),"")</f>
        <v>none</v>
      </c>
      <c r="N258" s="2"/>
      <c r="O258" s="0" t="s">
        <v>1067</v>
      </c>
      <c r="P258" s="8" t="s">
        <v>1068</v>
      </c>
      <c r="Q258" s="0" t="s">
        <v>27</v>
      </c>
    </row>
    <row r="259" customFormat="false" ht="17.15" hidden="false" customHeight="false" outlineLevel="0" collapsed="false">
      <c r="A259" s="2" t="s">
        <v>1538</v>
      </c>
      <c r="B259" s="2" t="s">
        <v>1053</v>
      </c>
      <c r="C259" s="2" t="s">
        <v>52</v>
      </c>
      <c r="D259" s="2" t="s">
        <v>1054</v>
      </c>
      <c r="E259" s="2" t="s">
        <v>1078</v>
      </c>
      <c r="F259" s="2" t="s">
        <v>582</v>
      </c>
      <c r="G259" s="2" t="str">
        <f aca="false">IFERROR(INDEX(Prices_Item,MATCH(F259,Prices_ID,0)),"ITEM NOT FOUND")</f>
        <v>Cluxer copper line-set kit ⅜ + ⅝, 4 m (2–3 t)</v>
      </c>
      <c r="H259" s="7" t="n">
        <v>1</v>
      </c>
      <c r="I259" s="2" t="s">
        <v>1506</v>
      </c>
      <c r="J259" s="3" t="n">
        <f aca="false">IFERROR(INDEX(Prices_Current,MATCH(F259,Prices_ID,0)),"")</f>
        <v>796.92</v>
      </c>
      <c r="K259" s="2" t="s">
        <v>1100</v>
      </c>
      <c r="L259" s="3" t="n">
        <f aca="false">IF(OR(H259="",NOT(ISNUMBER(J259))),"",H259*J259)</f>
        <v>796.92</v>
      </c>
      <c r="M259" s="2" t="str">
        <f aca="false">IFERROR(INDEX(Prices_Flag,MATCH(F259,Prices_ID,0)),"")</f>
        <v>none</v>
      </c>
      <c r="N259" s="2" t="s">
        <v>1529</v>
      </c>
      <c r="O259" s="0" t="s">
        <v>1057</v>
      </c>
      <c r="P259" s="8" t="s">
        <v>1058</v>
      </c>
      <c r="Q259" s="0" t="s">
        <v>27</v>
      </c>
    </row>
    <row r="260" customFormat="false" ht="17.15" hidden="false" customHeight="false" outlineLevel="0" collapsed="false">
      <c r="A260" s="2" t="s">
        <v>1539</v>
      </c>
      <c r="B260" s="2" t="s">
        <v>1053</v>
      </c>
      <c r="C260" s="2" t="s">
        <v>52</v>
      </c>
      <c r="D260" s="2" t="s">
        <v>1054</v>
      </c>
      <c r="E260" s="2" t="s">
        <v>1078</v>
      </c>
      <c r="F260" s="2" t="s">
        <v>822</v>
      </c>
      <c r="G260" s="2" t="str">
        <f aca="false">IFERROR(INDEX(Prices_Item,MATCH(F260,Prices_ID,0)),"ITEM NOT FOUND")</f>
        <v>Cluxer wall bracket for condenser, with level</v>
      </c>
      <c r="H260" s="7" t="n">
        <v>1</v>
      </c>
      <c r="I260" s="2" t="s">
        <v>1509</v>
      </c>
      <c r="J260" s="3" t="n">
        <f aca="false">IFERROR(INDEX(Prices_Current,MATCH(F260,Prices_ID,0)),"")</f>
        <v>565</v>
      </c>
      <c r="K260" s="2" t="s">
        <v>1100</v>
      </c>
      <c r="L260" s="3" t="n">
        <f aca="false">IF(OR(H260="",NOT(ISNUMBER(J260))),"",H260*J260)</f>
        <v>565</v>
      </c>
      <c r="M260" s="2" t="str">
        <f aca="false">IFERROR(INDEX(Prices_Flag,MATCH(F260,Prices_ID,0)),"")</f>
        <v>none</v>
      </c>
      <c r="N260" s="2"/>
      <c r="O260" s="0" t="s">
        <v>1057</v>
      </c>
      <c r="P260" s="8" t="s">
        <v>1058</v>
      </c>
      <c r="Q260" s="0" t="s">
        <v>27</v>
      </c>
    </row>
    <row r="261" customFormat="false" ht="17.15" hidden="false" customHeight="false" outlineLevel="0" collapsed="false">
      <c r="A261" s="2" t="s">
        <v>1540</v>
      </c>
      <c r="B261" s="2" t="s">
        <v>1053</v>
      </c>
      <c r="C261" s="2" t="s">
        <v>52</v>
      </c>
      <c r="D261" s="2" t="s">
        <v>1054</v>
      </c>
      <c r="E261" s="2" t="s">
        <v>1078</v>
      </c>
      <c r="F261" s="2" t="s">
        <v>610</v>
      </c>
      <c r="G261" s="2" t="str">
        <f aca="false">IFERROR(INDEX(Prices_Item,MATCH(F261,Prices_ID,0)),"ITEM NOT FOUND")</f>
        <v>Fiero assorted wall plugs + screws, 26 pc</v>
      </c>
      <c r="H261" s="7" t="n">
        <v>1</v>
      </c>
      <c r="I261" s="2" t="s">
        <v>1436</v>
      </c>
      <c r="J261" s="3" t="n">
        <f aca="false">IFERROR(INDEX(Prices_Current,MATCH(F261,Prices_ID,0)),"")</f>
        <v>37</v>
      </c>
      <c r="K261" s="2" t="s">
        <v>1100</v>
      </c>
      <c r="L261" s="3" t="n">
        <f aca="false">IF(OR(H261="",NOT(ISNUMBER(J261))),"",H261*J261)</f>
        <v>37</v>
      </c>
      <c r="M261" s="2" t="str">
        <f aca="false">IFERROR(INDEX(Prices_Flag,MATCH(F261,Prices_ID,0)),"")</f>
        <v>none</v>
      </c>
      <c r="N261" s="2"/>
      <c r="O261" s="0" t="s">
        <v>1057</v>
      </c>
      <c r="P261" s="8" t="s">
        <v>1058</v>
      </c>
      <c r="Q261" s="0" t="s">
        <v>27</v>
      </c>
    </row>
    <row r="262" customFormat="false" ht="17.15" hidden="false" customHeight="false" outlineLevel="0" collapsed="false">
      <c r="A262" s="2" t="s">
        <v>1541</v>
      </c>
      <c r="B262" s="2" t="s">
        <v>1053</v>
      </c>
      <c r="C262" s="2" t="s">
        <v>52</v>
      </c>
      <c r="D262" s="2" t="s">
        <v>1054</v>
      </c>
      <c r="E262" s="2" t="s">
        <v>1078</v>
      </c>
      <c r="F262" s="2" t="s">
        <v>833</v>
      </c>
      <c r="G262" s="2" t="str">
        <f aca="false">IFERROR(INDEX(Prices_Item,MATCH(F262,Prices_ID,0)),"ITEM NOT FOUND")</f>
        <v>3M Temflex 1700 electrical tape 19 mm × 18.2 m</v>
      </c>
      <c r="H262" s="7" t="n">
        <v>0.25</v>
      </c>
      <c r="I262" s="2" t="s">
        <v>1512</v>
      </c>
      <c r="J262" s="3" t="n">
        <f aca="false">IFERROR(INDEX(Prices_Current,MATCH(F262,Prices_ID,0)),"")</f>
        <v>46</v>
      </c>
      <c r="K262" s="2" t="s">
        <v>1100</v>
      </c>
      <c r="L262" s="3" t="n">
        <f aca="false">IF(OR(H262="",NOT(ISNUMBER(J262))),"",H262*J262)</f>
        <v>11.5</v>
      </c>
      <c r="M262" s="2" t="str">
        <f aca="false">IFERROR(INDEX(Prices_Flag,MATCH(F262,Prices_ID,0)),"")</f>
        <v>none</v>
      </c>
      <c r="N262" s="2"/>
      <c r="O262" s="0" t="s">
        <v>1057</v>
      </c>
      <c r="P262" s="8" t="s">
        <v>1058</v>
      </c>
      <c r="Q262" s="0" t="s">
        <v>27</v>
      </c>
    </row>
    <row r="263" customFormat="false" ht="17.15" hidden="false" customHeight="false" outlineLevel="0" collapsed="false">
      <c r="A263" s="2" t="s">
        <v>1542</v>
      </c>
      <c r="B263" s="2" t="s">
        <v>1053</v>
      </c>
      <c r="C263" s="2" t="s">
        <v>52</v>
      </c>
      <c r="D263" s="2" t="s">
        <v>1054</v>
      </c>
      <c r="E263" s="2" t="s">
        <v>1078</v>
      </c>
      <c r="F263" s="2" t="s">
        <v>828</v>
      </c>
      <c r="G263" s="2" t="str">
        <f aca="false">IFERROR(INDEX(Prices_Item,MATCH(F263,Prices_ID,0)),"ITEM NOT FOUND")</f>
        <v>Interconnect cable + drain hose (as-needed)</v>
      </c>
      <c r="H263" s="7"/>
      <c r="I263" s="2" t="s">
        <v>1514</v>
      </c>
      <c r="J263" s="3" t="str">
        <f aca="false">IFERROR(INDEX(Prices_Current,MATCH(F263,Prices_ID,0)),"")</f>
        <v/>
      </c>
      <c r="K263" s="2" t="s">
        <v>1044</v>
      </c>
      <c r="L263" s="3" t="str">
        <f aca="false">IF(OR(H263="",NOT(ISNUMBER(J263))),"",H263*J263)</f>
        <v/>
      </c>
      <c r="M263" s="2" t="str">
        <f aca="false">IFERROR(INDEX(Prices_Flag,MATCH(F263,Prices_ID,0)),"")</f>
        <v>none</v>
      </c>
      <c r="N263" s="2" t="s">
        <v>1045</v>
      </c>
      <c r="O263" s="0" t="s">
        <v>1057</v>
      </c>
      <c r="P263" s="8" t="s">
        <v>1058</v>
      </c>
      <c r="Q263" s="0" t="s">
        <v>27</v>
      </c>
    </row>
    <row r="264" customFormat="false" ht="15" hidden="false" customHeight="false" outlineLevel="0" collapsed="false">
      <c r="A264" s="2" t="s">
        <v>1543</v>
      </c>
      <c r="B264" s="2" t="s">
        <v>1082</v>
      </c>
      <c r="C264" s="2" t="s">
        <v>107</v>
      </c>
      <c r="D264" s="2" t="s">
        <v>1083</v>
      </c>
      <c r="E264" s="2" t="s">
        <v>1042</v>
      </c>
      <c r="F264" s="2" t="s">
        <v>892</v>
      </c>
      <c r="G264" s="2" t="str">
        <f aca="false">IFERROR(INDEX(Prices_Item,MATCH(F264,Prices_ID,0)),"ITEM NOT FOUND")</f>
        <v>Fluidmaster 100AK133 complete toilet repair kit</v>
      </c>
      <c r="H264" s="7" t="n">
        <v>1</v>
      </c>
      <c r="I264" s="2" t="s">
        <v>1544</v>
      </c>
      <c r="J264" s="3" t="n">
        <f aca="false">IFERROR(INDEX(Prices_Current,MATCH(F264,Prices_ID,0)),"")</f>
        <v>155</v>
      </c>
      <c r="K264" s="2" t="s">
        <v>1100</v>
      </c>
      <c r="L264" s="3" t="n">
        <f aca="false">IF(OR(H264="",NOT(ISNUMBER(J264))),"",H264*J264)</f>
        <v>155</v>
      </c>
      <c r="M264" s="2" t="str">
        <f aca="false">IFERROR(INDEX(Prices_Flag,MATCH(F264,Prices_ID,0)),"")</f>
        <v>none</v>
      </c>
      <c r="N264" s="2" t="s">
        <v>1545</v>
      </c>
      <c r="O264" s="0" t="s">
        <v>1085</v>
      </c>
      <c r="P264" s="8" t="s">
        <v>1086</v>
      </c>
      <c r="Q264" s="0" t="s">
        <v>27</v>
      </c>
    </row>
    <row r="265" customFormat="false" ht="15" hidden="false" customHeight="false" outlineLevel="0" collapsed="false">
      <c r="A265" s="2" t="s">
        <v>1546</v>
      </c>
      <c r="B265" s="2" t="s">
        <v>1082</v>
      </c>
      <c r="C265" s="2" t="s">
        <v>107</v>
      </c>
      <c r="D265" s="2" t="s">
        <v>1083</v>
      </c>
      <c r="E265" s="2" t="s">
        <v>1042</v>
      </c>
      <c r="F265" s="2" t="s">
        <v>907</v>
      </c>
      <c r="G265" s="2" t="str">
        <f aca="false">IFERROR(INDEX(Prices_Item,MATCH(F265,Prices_ID,0)),"ITEM NOT FOUND")</f>
        <v>Coflex teflon tape 1/2 in × 6.6 m</v>
      </c>
      <c r="H265" s="7" t="n">
        <v>0.25</v>
      </c>
      <c r="I265" s="2" t="s">
        <v>1547</v>
      </c>
      <c r="J265" s="3" t="n">
        <f aca="false">IFERROR(INDEX(Prices_Current,MATCH(F265,Prices_ID,0)),"")</f>
        <v>16.4</v>
      </c>
      <c r="K265" s="2" t="s">
        <v>1100</v>
      </c>
      <c r="L265" s="3" t="n">
        <f aca="false">IF(OR(H265="",NOT(ISNUMBER(J265))),"",H265*J265)</f>
        <v>4.1</v>
      </c>
      <c r="M265" s="2" t="str">
        <f aca="false">IFERROR(INDEX(Prices_Flag,MATCH(F265,Prices_ID,0)),"")</f>
        <v>none</v>
      </c>
      <c r="N265" s="2" t="s">
        <v>1545</v>
      </c>
      <c r="O265" s="0" t="s">
        <v>1085</v>
      </c>
      <c r="P265" s="8" t="s">
        <v>1086</v>
      </c>
      <c r="Q265" s="0" t="s">
        <v>27</v>
      </c>
    </row>
    <row r="266" customFormat="false" ht="15" hidden="false" customHeight="false" outlineLevel="0" collapsed="false">
      <c r="A266" s="2" t="s">
        <v>1548</v>
      </c>
      <c r="B266" s="2" t="s">
        <v>1082</v>
      </c>
      <c r="C266" s="2" t="s">
        <v>107</v>
      </c>
      <c r="D266" s="2" t="s">
        <v>1083</v>
      </c>
      <c r="E266" s="2" t="s">
        <v>1049</v>
      </c>
      <c r="F266" s="2" t="s">
        <v>897</v>
      </c>
      <c r="G266" s="2" t="str">
        <f aca="false">IFERROR(INDEX(Prices_Item,MATCH(F266,Prices_ID,0)),"ITEM NOT FOUND")</f>
        <v>Coflex PS-A001C complete toilet repair kit, 2 in</v>
      </c>
      <c r="H266" s="7" t="n">
        <v>1</v>
      </c>
      <c r="I266" s="2" t="s">
        <v>1544</v>
      </c>
      <c r="J266" s="3" t="n">
        <f aca="false">IFERROR(INDEX(Prices_Current,MATCH(F266,Prices_ID,0)),"")</f>
        <v>341</v>
      </c>
      <c r="K266" s="2" t="s">
        <v>1100</v>
      </c>
      <c r="L266" s="3" t="n">
        <f aca="false">IF(OR(H266="",NOT(ISNUMBER(J266))),"",H266*J266)</f>
        <v>341</v>
      </c>
      <c r="M266" s="2" t="str">
        <f aca="false">IFERROR(INDEX(Prices_Flag,MATCH(F266,Prices_ID,0)),"")</f>
        <v>none</v>
      </c>
      <c r="N266" s="2" t="s">
        <v>1545</v>
      </c>
      <c r="O266" s="0" t="s">
        <v>1085</v>
      </c>
      <c r="P266" s="8" t="s">
        <v>1086</v>
      </c>
      <c r="Q266" s="0" t="s">
        <v>27</v>
      </c>
    </row>
    <row r="267" customFormat="false" ht="15" hidden="false" customHeight="false" outlineLevel="0" collapsed="false">
      <c r="A267" s="2" t="s">
        <v>1549</v>
      </c>
      <c r="B267" s="2" t="s">
        <v>1082</v>
      </c>
      <c r="C267" s="2" t="s">
        <v>107</v>
      </c>
      <c r="D267" s="2" t="s">
        <v>1083</v>
      </c>
      <c r="E267" s="2" t="s">
        <v>1049</v>
      </c>
      <c r="F267" s="2" t="s">
        <v>907</v>
      </c>
      <c r="G267" s="2" t="str">
        <f aca="false">IFERROR(INDEX(Prices_Item,MATCH(F267,Prices_ID,0)),"ITEM NOT FOUND")</f>
        <v>Coflex teflon tape 1/2 in × 6.6 m</v>
      </c>
      <c r="H267" s="7" t="n">
        <v>0.25</v>
      </c>
      <c r="I267" s="2" t="s">
        <v>1547</v>
      </c>
      <c r="J267" s="3" t="n">
        <f aca="false">IFERROR(INDEX(Prices_Current,MATCH(F267,Prices_ID,0)),"")</f>
        <v>16.4</v>
      </c>
      <c r="K267" s="2" t="s">
        <v>1100</v>
      </c>
      <c r="L267" s="3" t="n">
        <f aca="false">IF(OR(H267="",NOT(ISNUMBER(J267))),"",H267*J267)</f>
        <v>4.1</v>
      </c>
      <c r="M267" s="2" t="str">
        <f aca="false">IFERROR(INDEX(Prices_Flag,MATCH(F267,Prices_ID,0)),"")</f>
        <v>none</v>
      </c>
      <c r="N267" s="2" t="s">
        <v>1545</v>
      </c>
      <c r="O267" s="0" t="s">
        <v>1085</v>
      </c>
      <c r="P267" s="8" t="s">
        <v>1086</v>
      </c>
      <c r="Q267" s="0" t="s">
        <v>27</v>
      </c>
    </row>
    <row r="268" customFormat="false" ht="15" hidden="false" customHeight="false" outlineLevel="0" collapsed="false">
      <c r="A268" s="2" t="s">
        <v>1550</v>
      </c>
      <c r="B268" s="2" t="s">
        <v>1082</v>
      </c>
      <c r="C268" s="2" t="s">
        <v>107</v>
      </c>
      <c r="D268" s="2" t="s">
        <v>1083</v>
      </c>
      <c r="E268" s="2" t="s">
        <v>1051</v>
      </c>
      <c r="F268" s="2" t="s">
        <v>897</v>
      </c>
      <c r="G268" s="2" t="str">
        <f aca="false">IFERROR(INDEX(Prices_Item,MATCH(F268,Prices_ID,0)),"ITEM NOT FOUND")</f>
        <v>Coflex PS-A001C complete toilet repair kit, 2 in</v>
      </c>
      <c r="H268" s="7" t="n">
        <v>1</v>
      </c>
      <c r="I268" s="2" t="s">
        <v>1544</v>
      </c>
      <c r="J268" s="3" t="n">
        <f aca="false">IFERROR(INDEX(Prices_Current,MATCH(F268,Prices_ID,0)),"")</f>
        <v>341</v>
      </c>
      <c r="K268" s="2" t="s">
        <v>1100</v>
      </c>
      <c r="L268" s="3" t="n">
        <f aca="false">IF(OR(H268="",NOT(ISNUMBER(J268))),"",H268*J268)</f>
        <v>341</v>
      </c>
      <c r="M268" s="2" t="str">
        <f aca="false">IFERROR(INDEX(Prices_Flag,MATCH(F268,Prices_ID,0)),"")</f>
        <v>none</v>
      </c>
      <c r="N268" s="2" t="s">
        <v>1545</v>
      </c>
      <c r="O268" s="0" t="s">
        <v>1085</v>
      </c>
      <c r="P268" s="8" t="s">
        <v>1086</v>
      </c>
      <c r="Q268" s="0" t="s">
        <v>27</v>
      </c>
    </row>
    <row r="269" customFormat="false" ht="15" hidden="false" customHeight="false" outlineLevel="0" collapsed="false">
      <c r="A269" s="2" t="s">
        <v>1551</v>
      </c>
      <c r="B269" s="2" t="s">
        <v>1082</v>
      </c>
      <c r="C269" s="2" t="s">
        <v>107</v>
      </c>
      <c r="D269" s="2" t="s">
        <v>1083</v>
      </c>
      <c r="E269" s="2" t="s">
        <v>1051</v>
      </c>
      <c r="F269" s="2" t="s">
        <v>902</v>
      </c>
      <c r="G269" s="2" t="str">
        <f aca="false">IFERROR(INDEX(Prices_Item,MATCH(F269,Prices_ID,0)),"ITEM NOT FOUND")</f>
        <v>Coflex angle stop valve 1/2 × 3/8 brass</v>
      </c>
      <c r="H269" s="7" t="n">
        <v>1</v>
      </c>
      <c r="I269" s="2" t="s">
        <v>1552</v>
      </c>
      <c r="J269" s="3" t="n">
        <f aca="false">IFERROR(INDEX(Prices_Current,MATCH(F269,Prices_ID,0)),"")</f>
        <v>216</v>
      </c>
      <c r="K269" s="2" t="s">
        <v>1100</v>
      </c>
      <c r="L269" s="3" t="n">
        <f aca="false">IF(OR(H269="",NOT(ISNUMBER(J269))),"",H269*J269)</f>
        <v>216</v>
      </c>
      <c r="M269" s="2" t="str">
        <f aca="false">IFERROR(INDEX(Prices_Flag,MATCH(F269,Prices_ID,0)),"")</f>
        <v>none</v>
      </c>
      <c r="N269" s="2" t="s">
        <v>1545</v>
      </c>
      <c r="O269" s="0" t="s">
        <v>1085</v>
      </c>
      <c r="P269" s="8" t="s">
        <v>1086</v>
      </c>
      <c r="Q269" s="0" t="s">
        <v>27</v>
      </c>
    </row>
    <row r="270" customFormat="false" ht="15" hidden="false" customHeight="false" outlineLevel="0" collapsed="false">
      <c r="A270" s="2" t="s">
        <v>1553</v>
      </c>
      <c r="B270" s="2" t="s">
        <v>1082</v>
      </c>
      <c r="C270" s="2" t="s">
        <v>107</v>
      </c>
      <c r="D270" s="2" t="s">
        <v>1083</v>
      </c>
      <c r="E270" s="2" t="s">
        <v>1051</v>
      </c>
      <c r="F270" s="2" t="s">
        <v>907</v>
      </c>
      <c r="G270" s="2" t="str">
        <f aca="false">IFERROR(INDEX(Prices_Item,MATCH(F270,Prices_ID,0)),"ITEM NOT FOUND")</f>
        <v>Coflex teflon tape 1/2 in × 6.6 m</v>
      </c>
      <c r="H270" s="7" t="n">
        <v>0.25</v>
      </c>
      <c r="I270" s="2" t="s">
        <v>1547</v>
      </c>
      <c r="J270" s="3" t="n">
        <f aca="false">IFERROR(INDEX(Prices_Current,MATCH(F270,Prices_ID,0)),"")</f>
        <v>16.4</v>
      </c>
      <c r="K270" s="2" t="s">
        <v>1100</v>
      </c>
      <c r="L270" s="3" t="n">
        <f aca="false">IF(OR(H270="",NOT(ISNUMBER(J270))),"",H270*J270)</f>
        <v>4.1</v>
      </c>
      <c r="M270" s="2" t="str">
        <f aca="false">IFERROR(INDEX(Prices_Flag,MATCH(F270,Prices_ID,0)),"")</f>
        <v>none</v>
      </c>
      <c r="N270" s="2" t="s">
        <v>1545</v>
      </c>
      <c r="O270" s="0" t="s">
        <v>1085</v>
      </c>
      <c r="P270" s="8" t="s">
        <v>1086</v>
      </c>
      <c r="Q270" s="0" t="s">
        <v>27</v>
      </c>
    </row>
    <row r="271" customFormat="false" ht="17.15" hidden="false" customHeight="false" outlineLevel="0" collapsed="false">
      <c r="A271" s="2" t="s">
        <v>1554</v>
      </c>
      <c r="B271" s="2" t="s">
        <v>1555</v>
      </c>
      <c r="C271" s="2" t="s">
        <v>107</v>
      </c>
      <c r="D271" s="2" t="s">
        <v>1556</v>
      </c>
      <c r="E271" s="2" t="s">
        <v>1042</v>
      </c>
      <c r="F271" s="2" t="s">
        <v>913</v>
      </c>
      <c r="G271" s="2" t="str">
        <f aca="false">IFERROR(INDEX(Prices_Item,MATCH(F271,Prices_ID,0)),"ITEM NOT FOUND")</f>
        <v>Coflex LL-40 steel supply line 0.4 m 1/2 in</v>
      </c>
      <c r="H271" s="7" t="n">
        <v>2</v>
      </c>
      <c r="I271" s="2" t="s">
        <v>1557</v>
      </c>
      <c r="J271" s="3" t="n">
        <f aca="false">IFERROR(INDEX(Prices_Current,MATCH(F271,Prices_ID,0)),"")</f>
        <v>76</v>
      </c>
      <c r="K271" s="2" t="s">
        <v>1100</v>
      </c>
      <c r="L271" s="3" t="n">
        <f aca="false">IF(OR(H271="",NOT(ISNUMBER(J271))),"",H271*J271)</f>
        <v>152</v>
      </c>
      <c r="M271" s="2" t="str">
        <f aca="false">IFERROR(INDEX(Prices_Flag,MATCH(F271,Prices_ID,0)),"")</f>
        <v>none</v>
      </c>
      <c r="N271" s="2" t="s">
        <v>1545</v>
      </c>
      <c r="O271" s="0" t="s">
        <v>1558</v>
      </c>
      <c r="P271" s="8" t="s">
        <v>1559</v>
      </c>
      <c r="Q271" s="0" t="s">
        <v>27</v>
      </c>
    </row>
    <row r="272" customFormat="false" ht="17.15" hidden="false" customHeight="false" outlineLevel="0" collapsed="false">
      <c r="A272" s="2" t="s">
        <v>1560</v>
      </c>
      <c r="B272" s="2" t="s">
        <v>1555</v>
      </c>
      <c r="C272" s="2" t="s">
        <v>107</v>
      </c>
      <c r="D272" s="2" t="s">
        <v>1556</v>
      </c>
      <c r="E272" s="2" t="s">
        <v>1042</v>
      </c>
      <c r="F272" s="2" t="s">
        <v>907</v>
      </c>
      <c r="G272" s="2" t="str">
        <f aca="false">IFERROR(INDEX(Prices_Item,MATCH(F272,Prices_ID,0)),"ITEM NOT FOUND")</f>
        <v>Coflex teflon tape 1/2 in × 6.6 m</v>
      </c>
      <c r="H272" s="7" t="n">
        <v>0.25</v>
      </c>
      <c r="I272" s="2" t="s">
        <v>1547</v>
      </c>
      <c r="J272" s="3" t="n">
        <f aca="false">IFERROR(INDEX(Prices_Current,MATCH(F272,Prices_ID,0)),"")</f>
        <v>16.4</v>
      </c>
      <c r="K272" s="2" t="s">
        <v>1100</v>
      </c>
      <c r="L272" s="3" t="n">
        <f aca="false">IF(OR(H272="",NOT(ISNUMBER(J272))),"",H272*J272)</f>
        <v>4.1</v>
      </c>
      <c r="M272" s="2" t="str">
        <f aca="false">IFERROR(INDEX(Prices_Flag,MATCH(F272,Prices_ID,0)),"")</f>
        <v>none</v>
      </c>
      <c r="N272" s="2" t="s">
        <v>1545</v>
      </c>
      <c r="O272" s="0" t="s">
        <v>1558</v>
      </c>
      <c r="P272" s="8" t="s">
        <v>1559</v>
      </c>
      <c r="Q272" s="0" t="s">
        <v>27</v>
      </c>
    </row>
    <row r="273" customFormat="false" ht="17.15" hidden="false" customHeight="false" outlineLevel="0" collapsed="false">
      <c r="A273" s="2" t="s">
        <v>1561</v>
      </c>
      <c r="B273" s="2" t="s">
        <v>1555</v>
      </c>
      <c r="C273" s="2" t="s">
        <v>107</v>
      </c>
      <c r="D273" s="2" t="s">
        <v>1556</v>
      </c>
      <c r="E273" s="2" t="s">
        <v>1049</v>
      </c>
      <c r="F273" s="2" t="s">
        <v>918</v>
      </c>
      <c r="G273" s="2" t="str">
        <f aca="false">IFERROR(INDEX(Prices_Item,MATCH(F273,Prices_ID,0)),"ITEM NOT FOUND")</f>
        <v>Coflex AB-I40 stainless supply line 0.4 m</v>
      </c>
      <c r="H273" s="7" t="n">
        <v>2</v>
      </c>
      <c r="I273" s="2" t="s">
        <v>1562</v>
      </c>
      <c r="J273" s="3" t="n">
        <f aca="false">IFERROR(INDEX(Prices_Current,MATCH(F273,Prices_ID,0)),"")</f>
        <v>168</v>
      </c>
      <c r="K273" s="2" t="s">
        <v>1100</v>
      </c>
      <c r="L273" s="3" t="n">
        <f aca="false">IF(OR(H273="",NOT(ISNUMBER(J273))),"",H273*J273)</f>
        <v>336</v>
      </c>
      <c r="M273" s="2" t="str">
        <f aca="false">IFERROR(INDEX(Prices_Flag,MATCH(F273,Prices_ID,0)),"")</f>
        <v>none</v>
      </c>
      <c r="N273" s="2" t="s">
        <v>1545</v>
      </c>
      <c r="O273" s="0" t="s">
        <v>1558</v>
      </c>
      <c r="P273" s="8" t="s">
        <v>1559</v>
      </c>
      <c r="Q273" s="0" t="s">
        <v>27</v>
      </c>
    </row>
    <row r="274" customFormat="false" ht="17.15" hidden="false" customHeight="false" outlineLevel="0" collapsed="false">
      <c r="A274" s="2" t="s">
        <v>1563</v>
      </c>
      <c r="B274" s="2" t="s">
        <v>1555</v>
      </c>
      <c r="C274" s="2" t="s">
        <v>107</v>
      </c>
      <c r="D274" s="2" t="s">
        <v>1556</v>
      </c>
      <c r="E274" s="2" t="s">
        <v>1049</v>
      </c>
      <c r="F274" s="2" t="s">
        <v>907</v>
      </c>
      <c r="G274" s="2" t="str">
        <f aca="false">IFERROR(INDEX(Prices_Item,MATCH(F274,Prices_ID,0)),"ITEM NOT FOUND")</f>
        <v>Coflex teflon tape 1/2 in × 6.6 m</v>
      </c>
      <c r="H274" s="7" t="n">
        <v>0.25</v>
      </c>
      <c r="I274" s="2" t="s">
        <v>1547</v>
      </c>
      <c r="J274" s="3" t="n">
        <f aca="false">IFERROR(INDEX(Prices_Current,MATCH(F274,Prices_ID,0)),"")</f>
        <v>16.4</v>
      </c>
      <c r="K274" s="2" t="s">
        <v>1100</v>
      </c>
      <c r="L274" s="3" t="n">
        <f aca="false">IF(OR(H274="",NOT(ISNUMBER(J274))),"",H274*J274)</f>
        <v>4.1</v>
      </c>
      <c r="M274" s="2" t="str">
        <f aca="false">IFERROR(INDEX(Prices_Flag,MATCH(F274,Prices_ID,0)),"")</f>
        <v>none</v>
      </c>
      <c r="N274" s="2" t="s">
        <v>1545</v>
      </c>
      <c r="O274" s="0" t="s">
        <v>1558</v>
      </c>
      <c r="P274" s="8" t="s">
        <v>1559</v>
      </c>
      <c r="Q274" s="0" t="s">
        <v>27</v>
      </c>
    </row>
    <row r="275" customFormat="false" ht="17.15" hidden="false" customHeight="false" outlineLevel="0" collapsed="false">
      <c r="A275" s="2" t="s">
        <v>1564</v>
      </c>
      <c r="B275" s="2" t="s">
        <v>1555</v>
      </c>
      <c r="C275" s="2" t="s">
        <v>107</v>
      </c>
      <c r="D275" s="2" t="s">
        <v>1556</v>
      </c>
      <c r="E275" s="2" t="s">
        <v>1051</v>
      </c>
      <c r="F275" s="2" t="s">
        <v>918</v>
      </c>
      <c r="G275" s="2" t="str">
        <f aca="false">IFERROR(INDEX(Prices_Item,MATCH(F275,Prices_ID,0)),"ITEM NOT FOUND")</f>
        <v>Coflex AB-I40 stainless supply line 0.4 m</v>
      </c>
      <c r="H275" s="7" t="n">
        <v>2</v>
      </c>
      <c r="I275" s="2" t="s">
        <v>1562</v>
      </c>
      <c r="J275" s="3" t="n">
        <f aca="false">IFERROR(INDEX(Prices_Current,MATCH(F275,Prices_ID,0)),"")</f>
        <v>168</v>
      </c>
      <c r="K275" s="2" t="s">
        <v>1100</v>
      </c>
      <c r="L275" s="3" t="n">
        <f aca="false">IF(OR(H275="",NOT(ISNUMBER(J275))),"",H275*J275)</f>
        <v>336</v>
      </c>
      <c r="M275" s="2" t="str">
        <f aca="false">IFERROR(INDEX(Prices_Flag,MATCH(F275,Prices_ID,0)),"")</f>
        <v>none</v>
      </c>
      <c r="N275" s="2" t="s">
        <v>1545</v>
      </c>
      <c r="O275" s="0" t="s">
        <v>1558</v>
      </c>
      <c r="P275" s="8" t="s">
        <v>1559</v>
      </c>
      <c r="Q275" s="0" t="s">
        <v>27</v>
      </c>
    </row>
    <row r="276" customFormat="false" ht="17.15" hidden="false" customHeight="false" outlineLevel="0" collapsed="false">
      <c r="A276" s="2" t="s">
        <v>1565</v>
      </c>
      <c r="B276" s="2" t="s">
        <v>1555</v>
      </c>
      <c r="C276" s="2" t="s">
        <v>107</v>
      </c>
      <c r="D276" s="2" t="s">
        <v>1556</v>
      </c>
      <c r="E276" s="2" t="s">
        <v>1051</v>
      </c>
      <c r="F276" s="2" t="s">
        <v>902</v>
      </c>
      <c r="G276" s="2" t="str">
        <f aca="false">IFERROR(INDEX(Prices_Item,MATCH(F276,Prices_ID,0)),"ITEM NOT FOUND")</f>
        <v>Coflex angle stop valve 1/2 × 3/8 brass</v>
      </c>
      <c r="H276" s="7" t="n">
        <v>2</v>
      </c>
      <c r="I276" s="2" t="s">
        <v>1566</v>
      </c>
      <c r="J276" s="3" t="n">
        <f aca="false">IFERROR(INDEX(Prices_Current,MATCH(F276,Prices_ID,0)),"")</f>
        <v>216</v>
      </c>
      <c r="K276" s="2" t="s">
        <v>1100</v>
      </c>
      <c r="L276" s="3" t="n">
        <f aca="false">IF(OR(H276="",NOT(ISNUMBER(J276))),"",H276*J276)</f>
        <v>432</v>
      </c>
      <c r="M276" s="2" t="str">
        <f aca="false">IFERROR(INDEX(Prices_Flag,MATCH(F276,Prices_ID,0)),"")</f>
        <v>none</v>
      </c>
      <c r="N276" s="2" t="s">
        <v>1545</v>
      </c>
      <c r="O276" s="0" t="s">
        <v>1558</v>
      </c>
      <c r="P276" s="8" t="s">
        <v>1559</v>
      </c>
      <c r="Q276" s="0" t="s">
        <v>27</v>
      </c>
    </row>
    <row r="277" customFormat="false" ht="17.15" hidden="false" customHeight="false" outlineLevel="0" collapsed="false">
      <c r="A277" s="2" t="s">
        <v>1567</v>
      </c>
      <c r="B277" s="2" t="s">
        <v>1555</v>
      </c>
      <c r="C277" s="2" t="s">
        <v>107</v>
      </c>
      <c r="D277" s="2" t="s">
        <v>1556</v>
      </c>
      <c r="E277" s="2" t="s">
        <v>1051</v>
      </c>
      <c r="F277" s="2" t="s">
        <v>907</v>
      </c>
      <c r="G277" s="2" t="str">
        <f aca="false">IFERROR(INDEX(Prices_Item,MATCH(F277,Prices_ID,0)),"ITEM NOT FOUND")</f>
        <v>Coflex teflon tape 1/2 in × 6.6 m</v>
      </c>
      <c r="H277" s="7" t="n">
        <v>0.25</v>
      </c>
      <c r="I277" s="2" t="s">
        <v>1547</v>
      </c>
      <c r="J277" s="3" t="n">
        <f aca="false">IFERROR(INDEX(Prices_Current,MATCH(F277,Prices_ID,0)),"")</f>
        <v>16.4</v>
      </c>
      <c r="K277" s="2" t="s">
        <v>1100</v>
      </c>
      <c r="L277" s="3" t="n">
        <f aca="false">IF(OR(H277="",NOT(ISNUMBER(J277))),"",H277*J277)</f>
        <v>4.1</v>
      </c>
      <c r="M277" s="2" t="str">
        <f aca="false">IFERROR(INDEX(Prices_Flag,MATCH(F277,Prices_ID,0)),"")</f>
        <v>none</v>
      </c>
      <c r="N277" s="2" t="s">
        <v>1545</v>
      </c>
      <c r="O277" s="0" t="s">
        <v>1558</v>
      </c>
      <c r="P277" s="8" t="s">
        <v>1559</v>
      </c>
      <c r="Q277" s="0" t="s">
        <v>27</v>
      </c>
    </row>
    <row r="278" customFormat="false" ht="17.15" hidden="false" customHeight="false" outlineLevel="0" collapsed="false">
      <c r="A278" s="2" t="s">
        <v>1568</v>
      </c>
      <c r="B278" s="2" t="s">
        <v>1569</v>
      </c>
      <c r="C278" s="2" t="s">
        <v>107</v>
      </c>
      <c r="D278" s="2" t="s">
        <v>1570</v>
      </c>
      <c r="E278" s="2" t="s">
        <v>1042</v>
      </c>
      <c r="F278" s="2" t="s">
        <v>913</v>
      </c>
      <c r="G278" s="2" t="str">
        <f aca="false">IFERROR(INDEX(Prices_Item,MATCH(F278,Prices_ID,0)),"ITEM NOT FOUND")</f>
        <v>Coflex LL-40 steel supply line 0.4 m 1/2 in</v>
      </c>
      <c r="H278" s="7" t="n">
        <v>2</v>
      </c>
      <c r="I278" s="2" t="s">
        <v>1557</v>
      </c>
      <c r="J278" s="3" t="n">
        <f aca="false">IFERROR(INDEX(Prices_Current,MATCH(F278,Prices_ID,0)),"")</f>
        <v>76</v>
      </c>
      <c r="K278" s="2" t="s">
        <v>1100</v>
      </c>
      <c r="L278" s="3" t="n">
        <f aca="false">IF(OR(H278="",NOT(ISNUMBER(J278))),"",H278*J278)</f>
        <v>152</v>
      </c>
      <c r="M278" s="2" t="str">
        <f aca="false">IFERROR(INDEX(Prices_Flag,MATCH(F278,Prices_ID,0)),"")</f>
        <v>none</v>
      </c>
      <c r="N278" s="2" t="s">
        <v>1545</v>
      </c>
      <c r="O278" s="0" t="s">
        <v>1571</v>
      </c>
      <c r="P278" s="8" t="s">
        <v>1572</v>
      </c>
      <c r="Q278" s="0" t="s">
        <v>27</v>
      </c>
    </row>
    <row r="279" customFormat="false" ht="17.15" hidden="false" customHeight="false" outlineLevel="0" collapsed="false">
      <c r="A279" s="2" t="s">
        <v>1573</v>
      </c>
      <c r="B279" s="2" t="s">
        <v>1569</v>
      </c>
      <c r="C279" s="2" t="s">
        <v>107</v>
      </c>
      <c r="D279" s="2" t="s">
        <v>1570</v>
      </c>
      <c r="E279" s="2" t="s">
        <v>1049</v>
      </c>
      <c r="F279" s="2" t="s">
        <v>913</v>
      </c>
      <c r="G279" s="2" t="str">
        <f aca="false">IFERROR(INDEX(Prices_Item,MATCH(F279,Prices_ID,0)),"ITEM NOT FOUND")</f>
        <v>Coflex LL-40 steel supply line 0.4 m 1/2 in</v>
      </c>
      <c r="H279" s="7" t="n">
        <v>2</v>
      </c>
      <c r="I279" s="2" t="s">
        <v>1557</v>
      </c>
      <c r="J279" s="3" t="n">
        <f aca="false">IFERROR(INDEX(Prices_Current,MATCH(F279,Prices_ID,0)),"")</f>
        <v>76</v>
      </c>
      <c r="K279" s="2" t="s">
        <v>1100</v>
      </c>
      <c r="L279" s="3" t="n">
        <f aca="false">IF(OR(H279="",NOT(ISNUMBER(J279))),"",H279*J279)</f>
        <v>152</v>
      </c>
      <c r="M279" s="2" t="str">
        <f aca="false">IFERROR(INDEX(Prices_Flag,MATCH(F279,Prices_ID,0)),"")</f>
        <v>none</v>
      </c>
      <c r="N279" s="2" t="s">
        <v>1545</v>
      </c>
      <c r="O279" s="0" t="s">
        <v>1571</v>
      </c>
      <c r="P279" s="8" t="s">
        <v>1572</v>
      </c>
      <c r="Q279" s="0" t="s">
        <v>27</v>
      </c>
    </row>
    <row r="280" customFormat="false" ht="17.15" hidden="false" customHeight="false" outlineLevel="0" collapsed="false">
      <c r="A280" s="2" t="s">
        <v>1574</v>
      </c>
      <c r="B280" s="2" t="s">
        <v>1569</v>
      </c>
      <c r="C280" s="2" t="s">
        <v>107</v>
      </c>
      <c r="D280" s="2" t="s">
        <v>1570</v>
      </c>
      <c r="E280" s="2" t="s">
        <v>1051</v>
      </c>
      <c r="F280" s="2" t="s">
        <v>913</v>
      </c>
      <c r="G280" s="2" t="str">
        <f aca="false">IFERROR(INDEX(Prices_Item,MATCH(F280,Prices_ID,0)),"ITEM NOT FOUND")</f>
        <v>Coflex LL-40 steel supply line 0.4 m 1/2 in</v>
      </c>
      <c r="H280" s="7" t="n">
        <v>2</v>
      </c>
      <c r="I280" s="2" t="s">
        <v>1557</v>
      </c>
      <c r="J280" s="3" t="n">
        <f aca="false">IFERROR(INDEX(Prices_Current,MATCH(F280,Prices_ID,0)),"")</f>
        <v>76</v>
      </c>
      <c r="K280" s="2" t="s">
        <v>1100</v>
      </c>
      <c r="L280" s="3" t="n">
        <f aca="false">IF(OR(H280="",NOT(ISNUMBER(J280))),"",H280*J280)</f>
        <v>152</v>
      </c>
      <c r="M280" s="2" t="str">
        <f aca="false">IFERROR(INDEX(Prices_Flag,MATCH(F280,Prices_ID,0)),"")</f>
        <v>none</v>
      </c>
      <c r="N280" s="2" t="s">
        <v>1545</v>
      </c>
      <c r="O280" s="0" t="s">
        <v>1571</v>
      </c>
      <c r="P280" s="8" t="s">
        <v>1572</v>
      </c>
      <c r="Q280" s="0" t="s">
        <v>27</v>
      </c>
    </row>
    <row r="281" customFormat="false" ht="17.15" hidden="false" customHeight="false" outlineLevel="0" collapsed="false">
      <c r="A281" s="2" t="s">
        <v>1575</v>
      </c>
      <c r="B281" s="2" t="s">
        <v>1088</v>
      </c>
      <c r="C281" s="2" t="s">
        <v>107</v>
      </c>
      <c r="D281" s="2" t="s">
        <v>1089</v>
      </c>
      <c r="E281" s="2" t="s">
        <v>1042</v>
      </c>
      <c r="F281" s="2" t="s">
        <v>922</v>
      </c>
      <c r="G281" s="2" t="str">
        <f aca="false">IFERROR(INDEX(Prices_Item,MATCH(F281,Prices_ID,0)),"ITEM NOT FOUND")</f>
        <v>Coflex VB-I80 water-heater flex connector 0.8 m</v>
      </c>
      <c r="H281" s="7" t="n">
        <v>2</v>
      </c>
      <c r="I281" s="2" t="s">
        <v>1576</v>
      </c>
      <c r="J281" s="3" t="n">
        <f aca="false">IFERROR(INDEX(Prices_Current,MATCH(F281,Prices_ID,0)),"")</f>
        <v>200</v>
      </c>
      <c r="K281" s="2" t="s">
        <v>1100</v>
      </c>
      <c r="L281" s="3" t="n">
        <f aca="false">IF(OR(H281="",NOT(ISNUMBER(J281))),"",H281*J281)</f>
        <v>400</v>
      </c>
      <c r="M281" s="2" t="str">
        <f aca="false">IFERROR(INDEX(Prices_Flag,MATCH(F281,Prices_ID,0)),"")</f>
        <v>none</v>
      </c>
      <c r="N281" s="2" t="s">
        <v>1545</v>
      </c>
      <c r="O281" s="0" t="s">
        <v>1091</v>
      </c>
      <c r="P281" s="8" t="s">
        <v>1092</v>
      </c>
      <c r="Q281" s="0" t="s">
        <v>27</v>
      </c>
    </row>
    <row r="282" customFormat="false" ht="17.15" hidden="false" customHeight="false" outlineLevel="0" collapsed="false">
      <c r="A282" s="2" t="s">
        <v>1577</v>
      </c>
      <c r="B282" s="2" t="s">
        <v>1088</v>
      </c>
      <c r="C282" s="2" t="s">
        <v>107</v>
      </c>
      <c r="D282" s="2" t="s">
        <v>1089</v>
      </c>
      <c r="E282" s="2" t="s">
        <v>1042</v>
      </c>
      <c r="F282" s="2" t="s">
        <v>907</v>
      </c>
      <c r="G282" s="2" t="str">
        <f aca="false">IFERROR(INDEX(Prices_Item,MATCH(F282,Prices_ID,0)),"ITEM NOT FOUND")</f>
        <v>Coflex teflon tape 1/2 in × 6.6 m</v>
      </c>
      <c r="H282" s="7" t="n">
        <v>0.5</v>
      </c>
      <c r="I282" s="2" t="s">
        <v>1578</v>
      </c>
      <c r="J282" s="3" t="n">
        <f aca="false">IFERROR(INDEX(Prices_Current,MATCH(F282,Prices_ID,0)),"")</f>
        <v>16.4</v>
      </c>
      <c r="K282" s="2" t="s">
        <v>1100</v>
      </c>
      <c r="L282" s="3" t="n">
        <f aca="false">IF(OR(H282="",NOT(ISNUMBER(J282))),"",H282*J282)</f>
        <v>8.2</v>
      </c>
      <c r="M282" s="2" t="str">
        <f aca="false">IFERROR(INDEX(Prices_Flag,MATCH(F282,Prices_ID,0)),"")</f>
        <v>none</v>
      </c>
      <c r="N282" s="2" t="s">
        <v>1545</v>
      </c>
      <c r="O282" s="0" t="s">
        <v>1091</v>
      </c>
      <c r="P282" s="8" t="s">
        <v>1092</v>
      </c>
      <c r="Q282" s="0" t="s">
        <v>27</v>
      </c>
    </row>
    <row r="283" customFormat="false" ht="17.15" hidden="false" customHeight="false" outlineLevel="0" collapsed="false">
      <c r="A283" s="2" t="s">
        <v>1579</v>
      </c>
      <c r="B283" s="2" t="s">
        <v>1088</v>
      </c>
      <c r="C283" s="2" t="s">
        <v>107</v>
      </c>
      <c r="D283" s="2" t="s">
        <v>1089</v>
      </c>
      <c r="E283" s="2" t="s">
        <v>1049</v>
      </c>
      <c r="F283" s="2" t="s">
        <v>922</v>
      </c>
      <c r="G283" s="2" t="str">
        <f aca="false">IFERROR(INDEX(Prices_Item,MATCH(F283,Prices_ID,0)),"ITEM NOT FOUND")</f>
        <v>Coflex VB-I80 water-heater flex connector 0.8 m</v>
      </c>
      <c r="H283" s="7" t="n">
        <v>2</v>
      </c>
      <c r="I283" s="2" t="s">
        <v>1576</v>
      </c>
      <c r="J283" s="3" t="n">
        <f aca="false">IFERROR(INDEX(Prices_Current,MATCH(F283,Prices_ID,0)),"")</f>
        <v>200</v>
      </c>
      <c r="K283" s="2" t="s">
        <v>1100</v>
      </c>
      <c r="L283" s="3" t="n">
        <f aca="false">IF(OR(H283="",NOT(ISNUMBER(J283))),"",H283*J283)</f>
        <v>400</v>
      </c>
      <c r="M283" s="2" t="str">
        <f aca="false">IFERROR(INDEX(Prices_Flag,MATCH(F283,Prices_ID,0)),"")</f>
        <v>none</v>
      </c>
      <c r="N283" s="2" t="s">
        <v>1545</v>
      </c>
      <c r="O283" s="0" t="s">
        <v>1091</v>
      </c>
      <c r="P283" s="8" t="s">
        <v>1092</v>
      </c>
      <c r="Q283" s="0" t="s">
        <v>27</v>
      </c>
    </row>
    <row r="284" customFormat="false" ht="17.15" hidden="false" customHeight="false" outlineLevel="0" collapsed="false">
      <c r="A284" s="2" t="s">
        <v>1580</v>
      </c>
      <c r="B284" s="2" t="s">
        <v>1088</v>
      </c>
      <c r="C284" s="2" t="s">
        <v>107</v>
      </c>
      <c r="D284" s="2" t="s">
        <v>1089</v>
      </c>
      <c r="E284" s="2" t="s">
        <v>1049</v>
      </c>
      <c r="F284" s="2" t="s">
        <v>907</v>
      </c>
      <c r="G284" s="2" t="str">
        <f aca="false">IFERROR(INDEX(Prices_Item,MATCH(F284,Prices_ID,0)),"ITEM NOT FOUND")</f>
        <v>Coflex teflon tape 1/2 in × 6.6 m</v>
      </c>
      <c r="H284" s="7" t="n">
        <v>0.5</v>
      </c>
      <c r="I284" s="2" t="s">
        <v>1578</v>
      </c>
      <c r="J284" s="3" t="n">
        <f aca="false">IFERROR(INDEX(Prices_Current,MATCH(F284,Prices_ID,0)),"")</f>
        <v>16.4</v>
      </c>
      <c r="K284" s="2" t="s">
        <v>1100</v>
      </c>
      <c r="L284" s="3" t="n">
        <f aca="false">IF(OR(H284="",NOT(ISNUMBER(J284))),"",H284*J284)</f>
        <v>8.2</v>
      </c>
      <c r="M284" s="2" t="str">
        <f aca="false">IFERROR(INDEX(Prices_Flag,MATCH(F284,Prices_ID,0)),"")</f>
        <v>none</v>
      </c>
      <c r="N284" s="2" t="s">
        <v>1545</v>
      </c>
      <c r="O284" s="0" t="s">
        <v>1091</v>
      </c>
      <c r="P284" s="8" t="s">
        <v>1092</v>
      </c>
      <c r="Q284" s="0" t="s">
        <v>27</v>
      </c>
    </row>
    <row r="285" customFormat="false" ht="17.15" hidden="false" customHeight="false" outlineLevel="0" collapsed="false">
      <c r="A285" s="2" t="s">
        <v>1581</v>
      </c>
      <c r="B285" s="2" t="s">
        <v>1088</v>
      </c>
      <c r="C285" s="2" t="s">
        <v>107</v>
      </c>
      <c r="D285" s="2" t="s">
        <v>1089</v>
      </c>
      <c r="E285" s="2" t="s">
        <v>1051</v>
      </c>
      <c r="F285" s="2" t="s">
        <v>922</v>
      </c>
      <c r="G285" s="2" t="str">
        <f aca="false">IFERROR(INDEX(Prices_Item,MATCH(F285,Prices_ID,0)),"ITEM NOT FOUND")</f>
        <v>Coflex VB-I80 water-heater flex connector 0.8 m</v>
      </c>
      <c r="H285" s="7" t="n">
        <v>2</v>
      </c>
      <c r="I285" s="2" t="s">
        <v>1576</v>
      </c>
      <c r="J285" s="3" t="n">
        <f aca="false">IFERROR(INDEX(Prices_Current,MATCH(F285,Prices_ID,0)),"")</f>
        <v>200</v>
      </c>
      <c r="K285" s="2" t="s">
        <v>1100</v>
      </c>
      <c r="L285" s="3" t="n">
        <f aca="false">IF(OR(H285="",NOT(ISNUMBER(J285))),"",H285*J285)</f>
        <v>400</v>
      </c>
      <c r="M285" s="2" t="str">
        <f aca="false">IFERROR(INDEX(Prices_Flag,MATCH(F285,Prices_ID,0)),"")</f>
        <v>none</v>
      </c>
      <c r="N285" s="2" t="s">
        <v>1545</v>
      </c>
      <c r="O285" s="0" t="s">
        <v>1091</v>
      </c>
      <c r="P285" s="8" t="s">
        <v>1092</v>
      </c>
      <c r="Q285" s="0" t="s">
        <v>27</v>
      </c>
    </row>
    <row r="286" customFormat="false" ht="17.15" hidden="false" customHeight="false" outlineLevel="0" collapsed="false">
      <c r="A286" s="2" t="s">
        <v>1582</v>
      </c>
      <c r="B286" s="2" t="s">
        <v>1088</v>
      </c>
      <c r="C286" s="2" t="s">
        <v>107</v>
      </c>
      <c r="D286" s="2" t="s">
        <v>1089</v>
      </c>
      <c r="E286" s="2" t="s">
        <v>1051</v>
      </c>
      <c r="F286" s="2" t="s">
        <v>907</v>
      </c>
      <c r="G286" s="2" t="str">
        <f aca="false">IFERROR(INDEX(Prices_Item,MATCH(F286,Prices_ID,0)),"ITEM NOT FOUND")</f>
        <v>Coflex teflon tape 1/2 in × 6.6 m</v>
      </c>
      <c r="H286" s="7" t="n">
        <v>0.5</v>
      </c>
      <c r="I286" s="2" t="s">
        <v>1578</v>
      </c>
      <c r="J286" s="3" t="n">
        <f aca="false">IFERROR(INDEX(Prices_Current,MATCH(F286,Prices_ID,0)),"")</f>
        <v>16.4</v>
      </c>
      <c r="K286" s="2" t="s">
        <v>1100</v>
      </c>
      <c r="L286" s="3" t="n">
        <f aca="false">IF(OR(H286="",NOT(ISNUMBER(J286))),"",H286*J286)</f>
        <v>8.2</v>
      </c>
      <c r="M286" s="2" t="str">
        <f aca="false">IFERROR(INDEX(Prices_Flag,MATCH(F286,Prices_ID,0)),"")</f>
        <v>none</v>
      </c>
      <c r="N286" s="2" t="s">
        <v>1545</v>
      </c>
      <c r="O286" s="0" t="s">
        <v>1091</v>
      </c>
      <c r="P286" s="8" t="s">
        <v>1092</v>
      </c>
      <c r="Q286" s="0" t="s">
        <v>27</v>
      </c>
    </row>
    <row r="287" customFormat="false" ht="17.15" hidden="false" customHeight="false" outlineLevel="0" collapsed="false">
      <c r="A287" s="2" t="s">
        <v>1583</v>
      </c>
      <c r="B287" s="2" t="s">
        <v>1117</v>
      </c>
      <c r="C287" s="2" t="s">
        <v>107</v>
      </c>
      <c r="D287" s="2" t="s">
        <v>1118</v>
      </c>
      <c r="E287" s="2" t="s">
        <v>1042</v>
      </c>
      <c r="F287" s="2" t="s">
        <v>928</v>
      </c>
      <c r="G287" s="2" t="str">
        <f aca="false">IFERROR(INDEX(Prices_Item,MATCH(F287,Prices_ID,0)),"ITEM NOT FOUND")</f>
        <v>Coflex PVC washer supply hose 1.8 m 3/4</v>
      </c>
      <c r="H287" s="7" t="n">
        <v>2</v>
      </c>
      <c r="I287" s="2" t="s">
        <v>1584</v>
      </c>
      <c r="J287" s="3" t="n">
        <f aca="false">IFERROR(INDEX(Prices_Current,MATCH(F287,Prices_ID,0)),"")</f>
        <v>199</v>
      </c>
      <c r="K287" s="2" t="s">
        <v>1100</v>
      </c>
      <c r="L287" s="3" t="n">
        <f aca="false">IF(OR(H287="",NOT(ISNUMBER(J287))),"",H287*J287)</f>
        <v>398</v>
      </c>
      <c r="M287" s="2" t="str">
        <f aca="false">IFERROR(INDEX(Prices_Flag,MATCH(F287,Prices_ID,0)),"")</f>
        <v>none</v>
      </c>
      <c r="N287" s="2" t="s">
        <v>1545</v>
      </c>
      <c r="O287" s="0" t="s">
        <v>1120</v>
      </c>
      <c r="P287" s="8" t="s">
        <v>1121</v>
      </c>
      <c r="Q287" s="0" t="s">
        <v>27</v>
      </c>
    </row>
    <row r="288" customFormat="false" ht="17.15" hidden="false" customHeight="false" outlineLevel="0" collapsed="false">
      <c r="A288" s="2" t="s">
        <v>1585</v>
      </c>
      <c r="B288" s="2" t="s">
        <v>1117</v>
      </c>
      <c r="C288" s="2" t="s">
        <v>107</v>
      </c>
      <c r="D288" s="2" t="s">
        <v>1118</v>
      </c>
      <c r="E288" s="2" t="s">
        <v>1042</v>
      </c>
      <c r="F288" s="2" t="s">
        <v>933</v>
      </c>
      <c r="G288" s="2" t="str">
        <f aca="false">IFERROR(INDEX(Prices_Item,MATCH(F288,Prices_ID,0)),"ITEM NOT FOUND")</f>
        <v>Coflex washer angle valve 1/2 × 3/4</v>
      </c>
      <c r="H288" s="7" t="n">
        <v>1</v>
      </c>
      <c r="I288" s="2" t="s">
        <v>1586</v>
      </c>
      <c r="J288" s="3" t="n">
        <f aca="false">IFERROR(INDEX(Prices_Current,MATCH(F288,Prices_ID,0)),"")</f>
        <v>119</v>
      </c>
      <c r="K288" s="2" t="s">
        <v>1100</v>
      </c>
      <c r="L288" s="3" t="n">
        <f aca="false">IF(OR(H288="",NOT(ISNUMBER(J288))),"",H288*J288)</f>
        <v>119</v>
      </c>
      <c r="M288" s="2" t="str">
        <f aca="false">IFERROR(INDEX(Prices_Flag,MATCH(F288,Prices_ID,0)),"")</f>
        <v>none</v>
      </c>
      <c r="N288" s="2" t="s">
        <v>1545</v>
      </c>
      <c r="O288" s="0" t="s">
        <v>1120</v>
      </c>
      <c r="P288" s="8" t="s">
        <v>1121</v>
      </c>
      <c r="Q288" s="0" t="s">
        <v>27</v>
      </c>
    </row>
    <row r="289" customFormat="false" ht="17.15" hidden="false" customHeight="false" outlineLevel="0" collapsed="false">
      <c r="A289" s="2" t="s">
        <v>1587</v>
      </c>
      <c r="B289" s="2" t="s">
        <v>1117</v>
      </c>
      <c r="C289" s="2" t="s">
        <v>107</v>
      </c>
      <c r="D289" s="2" t="s">
        <v>1118</v>
      </c>
      <c r="E289" s="2" t="s">
        <v>1042</v>
      </c>
      <c r="F289" s="2" t="s">
        <v>907</v>
      </c>
      <c r="G289" s="2" t="str">
        <f aca="false">IFERROR(INDEX(Prices_Item,MATCH(F289,Prices_ID,0)),"ITEM NOT FOUND")</f>
        <v>Coflex teflon tape 1/2 in × 6.6 m</v>
      </c>
      <c r="H289" s="7" t="n">
        <v>0.25</v>
      </c>
      <c r="I289" s="2" t="s">
        <v>1547</v>
      </c>
      <c r="J289" s="3" t="n">
        <f aca="false">IFERROR(INDEX(Prices_Current,MATCH(F289,Prices_ID,0)),"")</f>
        <v>16.4</v>
      </c>
      <c r="K289" s="2" t="s">
        <v>1100</v>
      </c>
      <c r="L289" s="3" t="n">
        <f aca="false">IF(OR(H289="",NOT(ISNUMBER(J289))),"",H289*J289)</f>
        <v>4.1</v>
      </c>
      <c r="M289" s="2" t="str">
        <f aca="false">IFERROR(INDEX(Prices_Flag,MATCH(F289,Prices_ID,0)),"")</f>
        <v>none</v>
      </c>
      <c r="N289" s="2" t="s">
        <v>1545</v>
      </c>
      <c r="O289" s="0" t="s">
        <v>1120</v>
      </c>
      <c r="P289" s="8" t="s">
        <v>1121</v>
      </c>
      <c r="Q289" s="0" t="s">
        <v>27</v>
      </c>
    </row>
    <row r="290" customFormat="false" ht="17.15" hidden="false" customHeight="false" outlineLevel="0" collapsed="false">
      <c r="A290" s="2" t="s">
        <v>1588</v>
      </c>
      <c r="B290" s="2" t="s">
        <v>1117</v>
      </c>
      <c r="C290" s="2" t="s">
        <v>107</v>
      </c>
      <c r="D290" s="2" t="s">
        <v>1118</v>
      </c>
      <c r="E290" s="2" t="s">
        <v>1049</v>
      </c>
      <c r="F290" s="2" t="s">
        <v>928</v>
      </c>
      <c r="G290" s="2" t="str">
        <f aca="false">IFERROR(INDEX(Prices_Item,MATCH(F290,Prices_ID,0)),"ITEM NOT FOUND")</f>
        <v>Coflex PVC washer supply hose 1.8 m 3/4</v>
      </c>
      <c r="H290" s="7" t="n">
        <v>2</v>
      </c>
      <c r="I290" s="2" t="s">
        <v>1584</v>
      </c>
      <c r="J290" s="3" t="n">
        <f aca="false">IFERROR(INDEX(Prices_Current,MATCH(F290,Prices_ID,0)),"")</f>
        <v>199</v>
      </c>
      <c r="K290" s="2" t="s">
        <v>1100</v>
      </c>
      <c r="L290" s="3" t="n">
        <f aca="false">IF(OR(H290="",NOT(ISNUMBER(J290))),"",H290*J290)</f>
        <v>398</v>
      </c>
      <c r="M290" s="2" t="str">
        <f aca="false">IFERROR(INDEX(Prices_Flag,MATCH(F290,Prices_ID,0)),"")</f>
        <v>none</v>
      </c>
      <c r="N290" s="2" t="s">
        <v>1545</v>
      </c>
      <c r="O290" s="0" t="s">
        <v>1120</v>
      </c>
      <c r="P290" s="8" t="s">
        <v>1121</v>
      </c>
      <c r="Q290" s="0" t="s">
        <v>27</v>
      </c>
    </row>
    <row r="291" customFormat="false" ht="17.15" hidden="false" customHeight="false" outlineLevel="0" collapsed="false">
      <c r="A291" s="2" t="s">
        <v>1589</v>
      </c>
      <c r="B291" s="2" t="s">
        <v>1117</v>
      </c>
      <c r="C291" s="2" t="s">
        <v>107</v>
      </c>
      <c r="D291" s="2" t="s">
        <v>1118</v>
      </c>
      <c r="E291" s="2" t="s">
        <v>1049</v>
      </c>
      <c r="F291" s="2" t="s">
        <v>933</v>
      </c>
      <c r="G291" s="2" t="str">
        <f aca="false">IFERROR(INDEX(Prices_Item,MATCH(F291,Prices_ID,0)),"ITEM NOT FOUND")</f>
        <v>Coflex washer angle valve 1/2 × 3/4</v>
      </c>
      <c r="H291" s="7" t="n">
        <v>2</v>
      </c>
      <c r="I291" s="2" t="s">
        <v>1590</v>
      </c>
      <c r="J291" s="3" t="n">
        <f aca="false">IFERROR(INDEX(Prices_Current,MATCH(F291,Prices_ID,0)),"")</f>
        <v>119</v>
      </c>
      <c r="K291" s="2" t="s">
        <v>1100</v>
      </c>
      <c r="L291" s="3" t="n">
        <f aca="false">IF(OR(H291="",NOT(ISNUMBER(J291))),"",H291*J291)</f>
        <v>238</v>
      </c>
      <c r="M291" s="2" t="str">
        <f aca="false">IFERROR(INDEX(Prices_Flag,MATCH(F291,Prices_ID,0)),"")</f>
        <v>none</v>
      </c>
      <c r="N291" s="2" t="s">
        <v>1545</v>
      </c>
      <c r="O291" s="0" t="s">
        <v>1120</v>
      </c>
      <c r="P291" s="8" t="s">
        <v>1121</v>
      </c>
      <c r="Q291" s="0" t="s">
        <v>27</v>
      </c>
    </row>
    <row r="292" customFormat="false" ht="17.15" hidden="false" customHeight="false" outlineLevel="0" collapsed="false">
      <c r="A292" s="2" t="s">
        <v>1591</v>
      </c>
      <c r="B292" s="2" t="s">
        <v>1117</v>
      </c>
      <c r="C292" s="2" t="s">
        <v>107</v>
      </c>
      <c r="D292" s="2" t="s">
        <v>1118</v>
      </c>
      <c r="E292" s="2" t="s">
        <v>1049</v>
      </c>
      <c r="F292" s="2" t="s">
        <v>907</v>
      </c>
      <c r="G292" s="2" t="str">
        <f aca="false">IFERROR(INDEX(Prices_Item,MATCH(F292,Prices_ID,0)),"ITEM NOT FOUND")</f>
        <v>Coflex teflon tape 1/2 in × 6.6 m</v>
      </c>
      <c r="H292" s="7" t="n">
        <v>0.25</v>
      </c>
      <c r="I292" s="2" t="s">
        <v>1547</v>
      </c>
      <c r="J292" s="3" t="n">
        <f aca="false">IFERROR(INDEX(Prices_Current,MATCH(F292,Prices_ID,0)),"")</f>
        <v>16.4</v>
      </c>
      <c r="K292" s="2" t="s">
        <v>1100</v>
      </c>
      <c r="L292" s="3" t="n">
        <f aca="false">IF(OR(H292="",NOT(ISNUMBER(J292))),"",H292*J292)</f>
        <v>4.1</v>
      </c>
      <c r="M292" s="2" t="str">
        <f aca="false">IFERROR(INDEX(Prices_Flag,MATCH(F292,Prices_ID,0)),"")</f>
        <v>none</v>
      </c>
      <c r="N292" s="2" t="s">
        <v>1545</v>
      </c>
      <c r="O292" s="0" t="s">
        <v>1120</v>
      </c>
      <c r="P292" s="8" t="s">
        <v>1121</v>
      </c>
      <c r="Q292" s="0" t="s">
        <v>27</v>
      </c>
    </row>
    <row r="293" customFormat="false" ht="17.15" hidden="false" customHeight="false" outlineLevel="0" collapsed="false">
      <c r="A293" s="2" t="s">
        <v>1592</v>
      </c>
      <c r="B293" s="2" t="s">
        <v>1117</v>
      </c>
      <c r="C293" s="2" t="s">
        <v>107</v>
      </c>
      <c r="D293" s="2" t="s">
        <v>1118</v>
      </c>
      <c r="E293" s="2" t="s">
        <v>1051</v>
      </c>
      <c r="F293" s="2" t="s">
        <v>933</v>
      </c>
      <c r="G293" s="2" t="str">
        <f aca="false">IFERROR(INDEX(Prices_Item,MATCH(F293,Prices_ID,0)),"ITEM NOT FOUND")</f>
        <v>Coflex washer angle valve 1/2 × 3/4</v>
      </c>
      <c r="H293" s="7" t="n">
        <v>2</v>
      </c>
      <c r="I293" s="2" t="s">
        <v>1593</v>
      </c>
      <c r="J293" s="3" t="n">
        <f aca="false">IFERROR(INDEX(Prices_Current,MATCH(F293,Prices_ID,0)),"")</f>
        <v>119</v>
      </c>
      <c r="K293" s="2" t="s">
        <v>1100</v>
      </c>
      <c r="L293" s="3" t="n">
        <f aca="false">IF(OR(H293="",NOT(ISNUMBER(J293))),"",H293*J293)</f>
        <v>238</v>
      </c>
      <c r="M293" s="2" t="str">
        <f aca="false">IFERROR(INDEX(Prices_Flag,MATCH(F293,Prices_ID,0)),"")</f>
        <v>none</v>
      </c>
      <c r="N293" s="2" t="s">
        <v>1545</v>
      </c>
      <c r="O293" s="0" t="s">
        <v>1120</v>
      </c>
      <c r="P293" s="8" t="s">
        <v>1121</v>
      </c>
      <c r="Q293" s="0" t="s">
        <v>27</v>
      </c>
    </row>
    <row r="294" customFormat="false" ht="17.15" hidden="false" customHeight="false" outlineLevel="0" collapsed="false">
      <c r="A294" s="2" t="s">
        <v>1594</v>
      </c>
      <c r="B294" s="2" t="s">
        <v>1117</v>
      </c>
      <c r="C294" s="2" t="s">
        <v>107</v>
      </c>
      <c r="D294" s="2" t="s">
        <v>1118</v>
      </c>
      <c r="E294" s="2" t="s">
        <v>1051</v>
      </c>
      <c r="F294" s="2" t="s">
        <v>907</v>
      </c>
      <c r="G294" s="2" t="str">
        <f aca="false">IFERROR(INDEX(Prices_Item,MATCH(F294,Prices_ID,0)),"ITEM NOT FOUND")</f>
        <v>Coflex teflon tape 1/2 in × 6.6 m</v>
      </c>
      <c r="H294" s="7" t="n">
        <v>0.25</v>
      </c>
      <c r="I294" s="2" t="s">
        <v>1547</v>
      </c>
      <c r="J294" s="3" t="n">
        <f aca="false">IFERROR(INDEX(Prices_Current,MATCH(F294,Prices_ID,0)),"")</f>
        <v>16.4</v>
      </c>
      <c r="K294" s="2" t="s">
        <v>1100</v>
      </c>
      <c r="L294" s="3" t="n">
        <f aca="false">IF(OR(H294="",NOT(ISNUMBER(J294))),"",H294*J294)</f>
        <v>4.1</v>
      </c>
      <c r="M294" s="2" t="str">
        <f aca="false">IFERROR(INDEX(Prices_Flag,MATCH(F294,Prices_ID,0)),"")</f>
        <v>none</v>
      </c>
      <c r="N294" s="2" t="s">
        <v>1545</v>
      </c>
      <c r="O294" s="0" t="s">
        <v>1120</v>
      </c>
      <c r="P294" s="8" t="s">
        <v>1121</v>
      </c>
      <c r="Q294" s="0" t="s">
        <v>27</v>
      </c>
    </row>
    <row r="295" customFormat="false" ht="17.15" hidden="false" customHeight="false" outlineLevel="0" collapsed="false">
      <c r="A295" s="2" t="s">
        <v>1595</v>
      </c>
      <c r="B295" s="2" t="s">
        <v>1596</v>
      </c>
      <c r="C295" s="2" t="s">
        <v>176</v>
      </c>
      <c r="D295" s="2" t="s">
        <v>1597</v>
      </c>
      <c r="E295" s="2" t="s">
        <v>1042</v>
      </c>
      <c r="F295" s="2" t="s">
        <v>838</v>
      </c>
      <c r="G295" s="2" t="str">
        <f aca="false">IFERROR(INDEX(Prices_Item,MATCH(F295,Prices_ID,0)),"ITEM NOT FOUND")</f>
        <v>Volteck polarized duplex outlet</v>
      </c>
      <c r="H295" s="7" t="n">
        <v>1</v>
      </c>
      <c r="I295" s="2" t="s">
        <v>1598</v>
      </c>
      <c r="J295" s="3" t="n">
        <f aca="false">IFERROR(INDEX(Prices_Current,MATCH(F295,Prices_ID,0)),"")</f>
        <v>37</v>
      </c>
      <c r="K295" s="2" t="s">
        <v>1100</v>
      </c>
      <c r="L295" s="3" t="n">
        <f aca="false">IF(OR(H295="",NOT(ISNUMBER(J295))),"",H295*J295)</f>
        <v>37</v>
      </c>
      <c r="M295" s="2" t="str">
        <f aca="false">IFERROR(INDEX(Prices_Flag,MATCH(F295,Prices_ID,0)),"")</f>
        <v>none</v>
      </c>
      <c r="N295" s="2" t="s">
        <v>1599</v>
      </c>
      <c r="O295" s="0" t="s">
        <v>1600</v>
      </c>
      <c r="P295" s="8" t="s">
        <v>1601</v>
      </c>
      <c r="Q295" s="0" t="s">
        <v>27</v>
      </c>
    </row>
    <row r="296" customFormat="false" ht="17.15" hidden="false" customHeight="false" outlineLevel="0" collapsed="false">
      <c r="A296" s="2" t="s">
        <v>1602</v>
      </c>
      <c r="B296" s="2" t="s">
        <v>1596</v>
      </c>
      <c r="C296" s="2" t="s">
        <v>176</v>
      </c>
      <c r="D296" s="2" t="s">
        <v>1597</v>
      </c>
      <c r="E296" s="2" t="s">
        <v>1042</v>
      </c>
      <c r="F296" s="2" t="s">
        <v>843</v>
      </c>
      <c r="G296" s="2" t="str">
        <f aca="false">IFERROR(INDEX(Prices_Item,MATCH(F296,Prices_ID,0)),"ITEM NOT FOUND")</f>
        <v>Volteck single switch</v>
      </c>
      <c r="H296" s="7" t="n">
        <v>1</v>
      </c>
      <c r="I296" s="2" t="s">
        <v>1603</v>
      </c>
      <c r="J296" s="3" t="n">
        <f aca="false">IFERROR(INDEX(Prices_Current,MATCH(F296,Prices_ID,0)),"")</f>
        <v>33</v>
      </c>
      <c r="K296" s="2" t="s">
        <v>1100</v>
      </c>
      <c r="L296" s="3" t="n">
        <f aca="false">IF(OR(H296="",NOT(ISNUMBER(J296))),"",H296*J296)</f>
        <v>33</v>
      </c>
      <c r="M296" s="2" t="str">
        <f aca="false">IFERROR(INDEX(Prices_Flag,MATCH(F296,Prices_ID,0)),"")</f>
        <v>none</v>
      </c>
      <c r="N296" s="2" t="s">
        <v>1599</v>
      </c>
      <c r="O296" s="0" t="s">
        <v>1600</v>
      </c>
      <c r="P296" s="8" t="s">
        <v>1601</v>
      </c>
      <c r="Q296" s="0" t="s">
        <v>27</v>
      </c>
    </row>
    <row r="297" customFormat="false" ht="17.15" hidden="false" customHeight="false" outlineLevel="0" collapsed="false">
      <c r="A297" s="2" t="s">
        <v>1604</v>
      </c>
      <c r="B297" s="2" t="s">
        <v>1596</v>
      </c>
      <c r="C297" s="2" t="s">
        <v>176</v>
      </c>
      <c r="D297" s="2" t="s">
        <v>1597</v>
      </c>
      <c r="E297" s="2" t="s">
        <v>1042</v>
      </c>
      <c r="F297" s="2" t="s">
        <v>852</v>
      </c>
      <c r="G297" s="2" t="str">
        <f aca="false">IFERROR(INDEX(Prices_Item,MATCH(F297,Prices_ID,0)),"ITEM NOT FOUND")</f>
        <v>Schneider GFCI duplex with plate, black</v>
      </c>
      <c r="H297" s="7" t="n">
        <v>1</v>
      </c>
      <c r="I297" s="2" t="s">
        <v>1605</v>
      </c>
      <c r="J297" s="3" t="n">
        <f aca="false">IFERROR(INDEX(Prices_Current,MATCH(F297,Prices_ID,0)),"")</f>
        <v>290</v>
      </c>
      <c r="K297" s="2" t="s">
        <v>1100</v>
      </c>
      <c r="L297" s="3" t="n">
        <f aca="false">IF(OR(H297="",NOT(ISNUMBER(J297))),"",H297*J297)</f>
        <v>290</v>
      </c>
      <c r="M297" s="2" t="str">
        <f aca="false">IFERROR(INDEX(Prices_Flag,MATCH(F297,Prices_ID,0)),"")</f>
        <v>none</v>
      </c>
      <c r="N297" s="2" t="s">
        <v>1599</v>
      </c>
      <c r="O297" s="0" t="s">
        <v>1600</v>
      </c>
      <c r="P297" s="8" t="s">
        <v>1601</v>
      </c>
      <c r="Q297" s="0" t="s">
        <v>27</v>
      </c>
    </row>
    <row r="298" customFormat="false" ht="17.15" hidden="false" customHeight="false" outlineLevel="0" collapsed="false">
      <c r="A298" s="2" t="s">
        <v>1606</v>
      </c>
      <c r="B298" s="2" t="s">
        <v>1596</v>
      </c>
      <c r="C298" s="2" t="s">
        <v>176</v>
      </c>
      <c r="D298" s="2" t="s">
        <v>1597</v>
      </c>
      <c r="E298" s="2" t="s">
        <v>1042</v>
      </c>
      <c r="F298" s="2" t="s">
        <v>848</v>
      </c>
      <c r="G298" s="2" t="str">
        <f aca="false">IFERROR(INDEX(Prices_Item,MATCH(F298,Prices_ID,0)),"ITEM NOT FOUND")</f>
        <v>Volteck 1-gang wall plate</v>
      </c>
      <c r="H298" s="7" t="n">
        <v>2</v>
      </c>
      <c r="I298" s="2" t="s">
        <v>1607</v>
      </c>
      <c r="J298" s="3" t="n">
        <f aca="false">IFERROR(INDEX(Prices_Current,MATCH(F298,Prices_ID,0)),"")</f>
        <v>10.5</v>
      </c>
      <c r="K298" s="2" t="s">
        <v>1100</v>
      </c>
      <c r="L298" s="3" t="n">
        <f aca="false">IF(OR(H298="",NOT(ISNUMBER(J298))),"",H298*J298)</f>
        <v>21</v>
      </c>
      <c r="M298" s="2" t="str">
        <f aca="false">IFERROR(INDEX(Prices_Flag,MATCH(F298,Prices_ID,0)),"")</f>
        <v>none</v>
      </c>
      <c r="N298" s="2" t="s">
        <v>1599</v>
      </c>
      <c r="O298" s="0" t="s">
        <v>1600</v>
      </c>
      <c r="P298" s="8" t="s">
        <v>1601</v>
      </c>
      <c r="Q298" s="0" t="s">
        <v>27</v>
      </c>
    </row>
    <row r="299" customFormat="false" ht="17.15" hidden="false" customHeight="false" outlineLevel="0" collapsed="false">
      <c r="A299" s="2" t="s">
        <v>1608</v>
      </c>
      <c r="B299" s="2" t="s">
        <v>1596</v>
      </c>
      <c r="C299" s="2" t="s">
        <v>176</v>
      </c>
      <c r="D299" s="2" t="s">
        <v>1597</v>
      </c>
      <c r="E299" s="2" t="s">
        <v>1049</v>
      </c>
      <c r="F299" s="2" t="s">
        <v>857</v>
      </c>
      <c r="G299" s="2" t="str">
        <f aca="false">IFERROR(INDEX(Prices_Item,MATCH(F299,Prices_ID,0)),"ITEM NOT FOUND")</f>
        <v>Leviton duplex outlet with plate</v>
      </c>
      <c r="H299" s="7" t="n">
        <v>1</v>
      </c>
      <c r="I299" s="2" t="s">
        <v>1609</v>
      </c>
      <c r="J299" s="3" t="n">
        <f aca="false">IFERROR(INDEX(Prices_Current,MATCH(F299,Prices_ID,0)),"")</f>
        <v>51</v>
      </c>
      <c r="K299" s="2" t="s">
        <v>1100</v>
      </c>
      <c r="L299" s="3" t="n">
        <f aca="false">IF(OR(H299="",NOT(ISNUMBER(J299))),"",H299*J299)</f>
        <v>51</v>
      </c>
      <c r="M299" s="2" t="str">
        <f aca="false">IFERROR(INDEX(Prices_Flag,MATCH(F299,Prices_ID,0)),"")</f>
        <v>none</v>
      </c>
      <c r="N299" s="2" t="s">
        <v>1599</v>
      </c>
      <c r="O299" s="0" t="s">
        <v>1600</v>
      </c>
      <c r="P299" s="8" t="s">
        <v>1601</v>
      </c>
      <c r="Q299" s="0" t="s">
        <v>27</v>
      </c>
    </row>
    <row r="300" customFormat="false" ht="17.15" hidden="false" customHeight="false" outlineLevel="0" collapsed="false">
      <c r="A300" s="2" t="s">
        <v>1610</v>
      </c>
      <c r="B300" s="2" t="s">
        <v>1596</v>
      </c>
      <c r="C300" s="2" t="s">
        <v>176</v>
      </c>
      <c r="D300" s="2" t="s">
        <v>1597</v>
      </c>
      <c r="E300" s="2" t="s">
        <v>1049</v>
      </c>
      <c r="F300" s="2" t="s">
        <v>862</v>
      </c>
      <c r="G300" s="2" t="str">
        <f aca="false">IFERROR(INDEX(Prices_Item,MATCH(F300,Prices_ID,0)),"ITEM NOT FOUND")</f>
        <v>Decora single switch</v>
      </c>
      <c r="H300" s="7" t="n">
        <v>1</v>
      </c>
      <c r="I300" s="2" t="s">
        <v>1603</v>
      </c>
      <c r="J300" s="3" t="n">
        <f aca="false">IFERROR(INDEX(Prices_Current,MATCH(F300,Prices_ID,0)),"")</f>
        <v>79</v>
      </c>
      <c r="K300" s="2" t="s">
        <v>1100</v>
      </c>
      <c r="L300" s="3" t="n">
        <f aca="false">IF(OR(H300="",NOT(ISNUMBER(J300))),"",H300*J300)</f>
        <v>79</v>
      </c>
      <c r="M300" s="2" t="str">
        <f aca="false">IFERROR(INDEX(Prices_Flag,MATCH(F300,Prices_ID,0)),"")</f>
        <v>none</v>
      </c>
      <c r="N300" s="2" t="s">
        <v>1599</v>
      </c>
      <c r="O300" s="0" t="s">
        <v>1600</v>
      </c>
      <c r="P300" s="8" t="s">
        <v>1601</v>
      </c>
      <c r="Q300" s="0" t="s">
        <v>27</v>
      </c>
    </row>
    <row r="301" customFormat="false" ht="17.15" hidden="false" customHeight="false" outlineLevel="0" collapsed="false">
      <c r="A301" s="2" t="s">
        <v>1611</v>
      </c>
      <c r="B301" s="2" t="s">
        <v>1596</v>
      </c>
      <c r="C301" s="2" t="s">
        <v>176</v>
      </c>
      <c r="D301" s="2" t="s">
        <v>1597</v>
      </c>
      <c r="E301" s="2" t="s">
        <v>1049</v>
      </c>
      <c r="F301" s="2" t="s">
        <v>867</v>
      </c>
      <c r="G301" s="2" t="str">
        <f aca="false">IFERROR(INDEX(Prices_Item,MATCH(F301,Prices_ID,0)),"ITEM NOT FOUND")</f>
        <v>Estévez Gamma GFCI duplex with plate</v>
      </c>
      <c r="H301" s="7" t="n">
        <v>1</v>
      </c>
      <c r="I301" s="2" t="s">
        <v>1605</v>
      </c>
      <c r="J301" s="3" t="n">
        <f aca="false">IFERROR(INDEX(Prices_Current,MATCH(F301,Prices_ID,0)),"")</f>
        <v>299</v>
      </c>
      <c r="K301" s="2" t="s">
        <v>1100</v>
      </c>
      <c r="L301" s="3" t="n">
        <f aca="false">IF(OR(H301="",NOT(ISNUMBER(J301))),"",H301*J301)</f>
        <v>299</v>
      </c>
      <c r="M301" s="2" t="str">
        <f aca="false">IFERROR(INDEX(Prices_Flag,MATCH(F301,Prices_ID,0)),"")</f>
        <v>none</v>
      </c>
      <c r="N301" s="2" t="s">
        <v>1599</v>
      </c>
      <c r="O301" s="0" t="s">
        <v>1600</v>
      </c>
      <c r="P301" s="8" t="s">
        <v>1601</v>
      </c>
      <c r="Q301" s="0" t="s">
        <v>27</v>
      </c>
    </row>
    <row r="302" customFormat="false" ht="17.15" hidden="false" customHeight="false" outlineLevel="0" collapsed="false">
      <c r="A302" s="2" t="s">
        <v>1612</v>
      </c>
      <c r="B302" s="2" t="s">
        <v>1596</v>
      </c>
      <c r="C302" s="2" t="s">
        <v>176</v>
      </c>
      <c r="D302" s="2" t="s">
        <v>1597</v>
      </c>
      <c r="E302" s="2" t="s">
        <v>1049</v>
      </c>
      <c r="F302" s="2" t="s">
        <v>848</v>
      </c>
      <c r="G302" s="2" t="str">
        <f aca="false">IFERROR(INDEX(Prices_Item,MATCH(F302,Prices_ID,0)),"ITEM NOT FOUND")</f>
        <v>Volteck 1-gang wall plate</v>
      </c>
      <c r="H302" s="7" t="n">
        <v>1</v>
      </c>
      <c r="I302" s="2" t="s">
        <v>1613</v>
      </c>
      <c r="J302" s="3" t="n">
        <f aca="false">IFERROR(INDEX(Prices_Current,MATCH(F302,Prices_ID,0)),"")</f>
        <v>10.5</v>
      </c>
      <c r="K302" s="2" t="s">
        <v>1100</v>
      </c>
      <c r="L302" s="3" t="n">
        <f aca="false">IF(OR(H302="",NOT(ISNUMBER(J302))),"",H302*J302)</f>
        <v>10.5</v>
      </c>
      <c r="M302" s="2" t="str">
        <f aca="false">IFERROR(INDEX(Prices_Flag,MATCH(F302,Prices_ID,0)),"")</f>
        <v>none</v>
      </c>
      <c r="N302" s="2" t="s">
        <v>1599</v>
      </c>
      <c r="O302" s="0" t="s">
        <v>1600</v>
      </c>
      <c r="P302" s="8" t="s">
        <v>1601</v>
      </c>
      <c r="Q302" s="0" t="s">
        <v>27</v>
      </c>
    </row>
    <row r="303" customFormat="false" ht="17.15" hidden="false" customHeight="false" outlineLevel="0" collapsed="false">
      <c r="A303" s="2" t="s">
        <v>1614</v>
      </c>
      <c r="B303" s="2" t="s">
        <v>1596</v>
      </c>
      <c r="C303" s="2" t="s">
        <v>176</v>
      </c>
      <c r="D303" s="2" t="s">
        <v>1597</v>
      </c>
      <c r="E303" s="2" t="s">
        <v>1051</v>
      </c>
      <c r="F303" s="2" t="s">
        <v>857</v>
      </c>
      <c r="G303" s="2" t="str">
        <f aca="false">IFERROR(INDEX(Prices_Item,MATCH(F303,Prices_ID,0)),"ITEM NOT FOUND")</f>
        <v>Leviton duplex outlet with plate</v>
      </c>
      <c r="H303" s="7" t="n">
        <v>1</v>
      </c>
      <c r="I303" s="2" t="s">
        <v>1609</v>
      </c>
      <c r="J303" s="3" t="n">
        <f aca="false">IFERROR(INDEX(Prices_Current,MATCH(F303,Prices_ID,0)),"")</f>
        <v>51</v>
      </c>
      <c r="K303" s="2" t="s">
        <v>1100</v>
      </c>
      <c r="L303" s="3" t="n">
        <f aca="false">IF(OR(H303="",NOT(ISNUMBER(J303))),"",H303*J303)</f>
        <v>51</v>
      </c>
      <c r="M303" s="2" t="str">
        <f aca="false">IFERROR(INDEX(Prices_Flag,MATCH(F303,Prices_ID,0)),"")</f>
        <v>none</v>
      </c>
      <c r="N303" s="2" t="s">
        <v>1599</v>
      </c>
      <c r="O303" s="0" t="s">
        <v>1600</v>
      </c>
      <c r="P303" s="8" t="s">
        <v>1601</v>
      </c>
      <c r="Q303" s="0" t="s">
        <v>27</v>
      </c>
    </row>
    <row r="304" customFormat="false" ht="17.15" hidden="false" customHeight="false" outlineLevel="0" collapsed="false">
      <c r="A304" s="2" t="s">
        <v>1615</v>
      </c>
      <c r="B304" s="2" t="s">
        <v>1596</v>
      </c>
      <c r="C304" s="2" t="s">
        <v>176</v>
      </c>
      <c r="D304" s="2" t="s">
        <v>1597</v>
      </c>
      <c r="E304" s="2" t="s">
        <v>1051</v>
      </c>
      <c r="F304" s="2" t="s">
        <v>862</v>
      </c>
      <c r="G304" s="2" t="str">
        <f aca="false">IFERROR(INDEX(Prices_Item,MATCH(F304,Prices_ID,0)),"ITEM NOT FOUND")</f>
        <v>Decora single switch</v>
      </c>
      <c r="H304" s="7" t="n">
        <v>1</v>
      </c>
      <c r="I304" s="2" t="s">
        <v>1603</v>
      </c>
      <c r="J304" s="3" t="n">
        <f aca="false">IFERROR(INDEX(Prices_Current,MATCH(F304,Prices_ID,0)),"")</f>
        <v>79</v>
      </c>
      <c r="K304" s="2" t="s">
        <v>1100</v>
      </c>
      <c r="L304" s="3" t="n">
        <f aca="false">IF(OR(H304="",NOT(ISNUMBER(J304))),"",H304*J304)</f>
        <v>79</v>
      </c>
      <c r="M304" s="2" t="str">
        <f aca="false">IFERROR(INDEX(Prices_Flag,MATCH(F304,Prices_ID,0)),"")</f>
        <v>none</v>
      </c>
      <c r="N304" s="2" t="s">
        <v>1599</v>
      </c>
      <c r="O304" s="0" t="s">
        <v>1600</v>
      </c>
      <c r="P304" s="8" t="s">
        <v>1601</v>
      </c>
      <c r="Q304" s="0" t="s">
        <v>27</v>
      </c>
    </row>
    <row r="305" customFormat="false" ht="17.15" hidden="false" customHeight="false" outlineLevel="0" collapsed="false">
      <c r="A305" s="2" t="s">
        <v>1616</v>
      </c>
      <c r="B305" s="2" t="s">
        <v>1596</v>
      </c>
      <c r="C305" s="2" t="s">
        <v>176</v>
      </c>
      <c r="D305" s="2" t="s">
        <v>1597</v>
      </c>
      <c r="E305" s="2" t="s">
        <v>1051</v>
      </c>
      <c r="F305" s="2" t="s">
        <v>871</v>
      </c>
      <c r="G305" s="2" t="str">
        <f aca="false">IFERROR(INDEX(Prices_Item,MATCH(F305,Prices_ID,0)),"ITEM NOT FOUND")</f>
        <v>Bticino Quinziño GFCI duplex, child-safe</v>
      </c>
      <c r="H305" s="7" t="n">
        <v>1</v>
      </c>
      <c r="I305" s="2" t="s">
        <v>1617</v>
      </c>
      <c r="J305" s="3" t="n">
        <f aca="false">IFERROR(INDEX(Prices_Current,MATCH(F305,Prices_ID,0)),"")</f>
        <v>626.15</v>
      </c>
      <c r="K305" s="2" t="s">
        <v>1100</v>
      </c>
      <c r="L305" s="3" t="n">
        <f aca="false">IF(OR(H305="",NOT(ISNUMBER(J305))),"",H305*J305)</f>
        <v>626.15</v>
      </c>
      <c r="M305" s="2" t="str">
        <f aca="false">IFERROR(INDEX(Prices_Flag,MATCH(F305,Prices_ID,0)),"")</f>
        <v>none</v>
      </c>
      <c r="N305" s="2" t="s">
        <v>1599</v>
      </c>
      <c r="O305" s="0" t="s">
        <v>1600</v>
      </c>
      <c r="P305" s="8" t="s">
        <v>1601</v>
      </c>
      <c r="Q305" s="0" t="s">
        <v>27</v>
      </c>
    </row>
    <row r="306" customFormat="false" ht="17.15" hidden="false" customHeight="false" outlineLevel="0" collapsed="false">
      <c r="A306" s="2" t="s">
        <v>1618</v>
      </c>
      <c r="B306" s="2" t="s">
        <v>1596</v>
      </c>
      <c r="C306" s="2" t="s">
        <v>176</v>
      </c>
      <c r="D306" s="2" t="s">
        <v>1597</v>
      </c>
      <c r="E306" s="2" t="s">
        <v>1051</v>
      </c>
      <c r="F306" s="2" t="s">
        <v>848</v>
      </c>
      <c r="G306" s="2" t="str">
        <f aca="false">IFERROR(INDEX(Prices_Item,MATCH(F306,Prices_ID,0)),"ITEM NOT FOUND")</f>
        <v>Volteck 1-gang wall plate</v>
      </c>
      <c r="H306" s="7" t="n">
        <v>2</v>
      </c>
      <c r="I306" s="2" t="s">
        <v>1607</v>
      </c>
      <c r="J306" s="3" t="n">
        <f aca="false">IFERROR(INDEX(Prices_Current,MATCH(F306,Prices_ID,0)),"")</f>
        <v>10.5</v>
      </c>
      <c r="K306" s="2" t="s">
        <v>1100</v>
      </c>
      <c r="L306" s="3" t="n">
        <f aca="false">IF(OR(H306="",NOT(ISNUMBER(J306))),"",H306*J306)</f>
        <v>21</v>
      </c>
      <c r="M306" s="2" t="str">
        <f aca="false">IFERROR(INDEX(Prices_Flag,MATCH(F306,Prices_ID,0)),"")</f>
        <v>none</v>
      </c>
      <c r="N306" s="2" t="s">
        <v>1599</v>
      </c>
      <c r="O306" s="0" t="s">
        <v>1600</v>
      </c>
      <c r="P306" s="8" t="s">
        <v>1601</v>
      </c>
      <c r="Q306" s="0" t="s">
        <v>27</v>
      </c>
    </row>
    <row r="307" customFormat="false" ht="17.15" hidden="false" customHeight="false" outlineLevel="0" collapsed="false">
      <c r="A307" s="2" t="s">
        <v>1619</v>
      </c>
      <c r="B307" s="2" t="s">
        <v>1620</v>
      </c>
      <c r="C307" s="2" t="s">
        <v>176</v>
      </c>
      <c r="D307" s="2" t="s">
        <v>1621</v>
      </c>
      <c r="E307" s="2" t="s">
        <v>1042</v>
      </c>
      <c r="F307" s="2" t="s">
        <v>833</v>
      </c>
      <c r="G307" s="2" t="str">
        <f aca="false">IFERROR(INDEX(Prices_Item,MATCH(F307,Prices_ID,0)),"ITEM NOT FOUND")</f>
        <v>3M Temflex 1700 electrical tape 19 mm × 18.2 m</v>
      </c>
      <c r="H307" s="7" t="n">
        <v>0.2</v>
      </c>
      <c r="I307" s="2" t="s">
        <v>1622</v>
      </c>
      <c r="J307" s="3" t="n">
        <f aca="false">IFERROR(INDEX(Prices_Current,MATCH(F307,Prices_ID,0)),"")</f>
        <v>46</v>
      </c>
      <c r="K307" s="2" t="s">
        <v>1100</v>
      </c>
      <c r="L307" s="3" t="n">
        <f aca="false">IF(OR(H307="",NOT(ISNUMBER(J307))),"",H307*J307)</f>
        <v>9.2</v>
      </c>
      <c r="M307" s="2" t="str">
        <f aca="false">IFERROR(INDEX(Prices_Flag,MATCH(F307,Prices_ID,0)),"")</f>
        <v>none</v>
      </c>
      <c r="N307" s="2" t="s">
        <v>1623</v>
      </c>
      <c r="O307" s="0" t="s">
        <v>1624</v>
      </c>
      <c r="P307" s="8" t="s">
        <v>1625</v>
      </c>
      <c r="Q307" s="0" t="s">
        <v>27</v>
      </c>
    </row>
    <row r="308" customFormat="false" ht="17.15" hidden="false" customHeight="false" outlineLevel="0" collapsed="false">
      <c r="A308" s="2" t="s">
        <v>1626</v>
      </c>
      <c r="B308" s="2" t="s">
        <v>1620</v>
      </c>
      <c r="C308" s="2" t="s">
        <v>176</v>
      </c>
      <c r="D308" s="2" t="s">
        <v>1621</v>
      </c>
      <c r="E308" s="2" t="s">
        <v>1042</v>
      </c>
      <c r="F308" s="2" t="s">
        <v>888</v>
      </c>
      <c r="G308" s="2" t="str">
        <f aca="false">IFERROR(INDEX(Prices_Item,MATCH(F308,Prices_ID,0)),"ITEM NOT FOUND")</f>
        <v>Wire nuts (as-needed)</v>
      </c>
      <c r="H308" s="7"/>
      <c r="I308" s="2" t="s">
        <v>1627</v>
      </c>
      <c r="J308" s="3" t="str">
        <f aca="false">IFERROR(INDEX(Prices_Current,MATCH(F308,Prices_ID,0)),"")</f>
        <v/>
      </c>
      <c r="K308" s="2" t="s">
        <v>1044</v>
      </c>
      <c r="L308" s="3" t="str">
        <f aca="false">IF(OR(H308="",NOT(ISNUMBER(J308))),"",H308*J308)</f>
        <v/>
      </c>
      <c r="M308" s="2" t="str">
        <f aca="false">IFERROR(INDEX(Prices_Flag,MATCH(F308,Prices_ID,0)),"")</f>
        <v>none</v>
      </c>
      <c r="N308" s="2" t="s">
        <v>1045</v>
      </c>
      <c r="O308" s="0" t="s">
        <v>1624</v>
      </c>
      <c r="P308" s="8" t="s">
        <v>1625</v>
      </c>
      <c r="Q308" s="0" t="s">
        <v>27</v>
      </c>
    </row>
    <row r="309" customFormat="false" ht="17.15" hidden="false" customHeight="false" outlineLevel="0" collapsed="false">
      <c r="A309" s="2" t="s">
        <v>1628</v>
      </c>
      <c r="B309" s="2" t="s">
        <v>1620</v>
      </c>
      <c r="C309" s="2" t="s">
        <v>176</v>
      </c>
      <c r="D309" s="2" t="s">
        <v>1621</v>
      </c>
      <c r="E309" s="2" t="s">
        <v>1049</v>
      </c>
      <c r="F309" s="2" t="s">
        <v>833</v>
      </c>
      <c r="G309" s="2" t="str">
        <f aca="false">IFERROR(INDEX(Prices_Item,MATCH(F309,Prices_ID,0)),"ITEM NOT FOUND")</f>
        <v>3M Temflex 1700 electrical tape 19 mm × 18.2 m</v>
      </c>
      <c r="H309" s="7" t="n">
        <v>0.2</v>
      </c>
      <c r="I309" s="2" t="s">
        <v>1622</v>
      </c>
      <c r="J309" s="3" t="n">
        <f aca="false">IFERROR(INDEX(Prices_Current,MATCH(F309,Prices_ID,0)),"")</f>
        <v>46</v>
      </c>
      <c r="K309" s="2" t="s">
        <v>1100</v>
      </c>
      <c r="L309" s="3" t="n">
        <f aca="false">IF(OR(H309="",NOT(ISNUMBER(J309))),"",H309*J309)</f>
        <v>9.2</v>
      </c>
      <c r="M309" s="2" t="str">
        <f aca="false">IFERROR(INDEX(Prices_Flag,MATCH(F309,Prices_ID,0)),"")</f>
        <v>none</v>
      </c>
      <c r="N309" s="2" t="s">
        <v>1623</v>
      </c>
      <c r="O309" s="0" t="s">
        <v>1624</v>
      </c>
      <c r="P309" s="8" t="s">
        <v>1625</v>
      </c>
      <c r="Q309" s="0" t="s">
        <v>27</v>
      </c>
    </row>
    <row r="310" customFormat="false" ht="17.15" hidden="false" customHeight="false" outlineLevel="0" collapsed="false">
      <c r="A310" s="2" t="s">
        <v>1629</v>
      </c>
      <c r="B310" s="2" t="s">
        <v>1620</v>
      </c>
      <c r="C310" s="2" t="s">
        <v>176</v>
      </c>
      <c r="D310" s="2" t="s">
        <v>1621</v>
      </c>
      <c r="E310" s="2" t="s">
        <v>1049</v>
      </c>
      <c r="F310" s="2" t="s">
        <v>888</v>
      </c>
      <c r="G310" s="2" t="str">
        <f aca="false">IFERROR(INDEX(Prices_Item,MATCH(F310,Prices_ID,0)),"ITEM NOT FOUND")</f>
        <v>Wire nuts (as-needed)</v>
      </c>
      <c r="H310" s="7"/>
      <c r="I310" s="2" t="s">
        <v>1627</v>
      </c>
      <c r="J310" s="3" t="str">
        <f aca="false">IFERROR(INDEX(Prices_Current,MATCH(F310,Prices_ID,0)),"")</f>
        <v/>
      </c>
      <c r="K310" s="2" t="s">
        <v>1044</v>
      </c>
      <c r="L310" s="3" t="str">
        <f aca="false">IF(OR(H310="",NOT(ISNUMBER(J310))),"",H310*J310)</f>
        <v/>
      </c>
      <c r="M310" s="2" t="str">
        <f aca="false">IFERROR(INDEX(Prices_Flag,MATCH(F310,Prices_ID,0)),"")</f>
        <v>none</v>
      </c>
      <c r="N310" s="2" t="s">
        <v>1045</v>
      </c>
      <c r="O310" s="0" t="s">
        <v>1624</v>
      </c>
      <c r="P310" s="8" t="s">
        <v>1625</v>
      </c>
      <c r="Q310" s="0" t="s">
        <v>27</v>
      </c>
    </row>
    <row r="311" customFormat="false" ht="17.15" hidden="false" customHeight="false" outlineLevel="0" collapsed="false">
      <c r="A311" s="2" t="s">
        <v>1630</v>
      </c>
      <c r="B311" s="2" t="s">
        <v>1620</v>
      </c>
      <c r="C311" s="2" t="s">
        <v>176</v>
      </c>
      <c r="D311" s="2" t="s">
        <v>1621</v>
      </c>
      <c r="E311" s="2" t="s">
        <v>1051</v>
      </c>
      <c r="F311" s="2" t="s">
        <v>833</v>
      </c>
      <c r="G311" s="2" t="str">
        <f aca="false">IFERROR(INDEX(Prices_Item,MATCH(F311,Prices_ID,0)),"ITEM NOT FOUND")</f>
        <v>3M Temflex 1700 electrical tape 19 mm × 18.2 m</v>
      </c>
      <c r="H311" s="7" t="n">
        <v>0.2</v>
      </c>
      <c r="I311" s="2" t="s">
        <v>1622</v>
      </c>
      <c r="J311" s="3" t="n">
        <f aca="false">IFERROR(INDEX(Prices_Current,MATCH(F311,Prices_ID,0)),"")</f>
        <v>46</v>
      </c>
      <c r="K311" s="2" t="s">
        <v>1100</v>
      </c>
      <c r="L311" s="3" t="n">
        <f aca="false">IF(OR(H311="",NOT(ISNUMBER(J311))),"",H311*J311)</f>
        <v>9.2</v>
      </c>
      <c r="M311" s="2" t="str">
        <f aca="false">IFERROR(INDEX(Prices_Flag,MATCH(F311,Prices_ID,0)),"")</f>
        <v>none</v>
      </c>
      <c r="N311" s="2" t="s">
        <v>1623</v>
      </c>
      <c r="O311" s="0" t="s">
        <v>1624</v>
      </c>
      <c r="P311" s="8" t="s">
        <v>1625</v>
      </c>
      <c r="Q311" s="0" t="s">
        <v>27</v>
      </c>
    </row>
    <row r="312" customFormat="false" ht="17.15" hidden="false" customHeight="false" outlineLevel="0" collapsed="false">
      <c r="A312" s="2" t="s">
        <v>1631</v>
      </c>
      <c r="B312" s="2" t="s">
        <v>1620</v>
      </c>
      <c r="C312" s="2" t="s">
        <v>176</v>
      </c>
      <c r="D312" s="2" t="s">
        <v>1621</v>
      </c>
      <c r="E312" s="2" t="s">
        <v>1051</v>
      </c>
      <c r="F312" s="2" t="s">
        <v>888</v>
      </c>
      <c r="G312" s="2" t="str">
        <f aca="false">IFERROR(INDEX(Prices_Item,MATCH(F312,Prices_ID,0)),"ITEM NOT FOUND")</f>
        <v>Wire nuts (as-needed)</v>
      </c>
      <c r="H312" s="7"/>
      <c r="I312" s="2" t="s">
        <v>1627</v>
      </c>
      <c r="J312" s="3" t="str">
        <f aca="false">IFERROR(INDEX(Prices_Current,MATCH(F312,Prices_ID,0)),"")</f>
        <v/>
      </c>
      <c r="K312" s="2" t="s">
        <v>1044</v>
      </c>
      <c r="L312" s="3" t="str">
        <f aca="false">IF(OR(H312="",NOT(ISNUMBER(J312))),"",H312*J312)</f>
        <v/>
      </c>
      <c r="M312" s="2" t="str">
        <f aca="false">IFERROR(INDEX(Prices_Flag,MATCH(F312,Prices_ID,0)),"")</f>
        <v>none</v>
      </c>
      <c r="N312" s="2" t="s">
        <v>1045</v>
      </c>
      <c r="O312" s="0" t="s">
        <v>1624</v>
      </c>
      <c r="P312" s="8" t="s">
        <v>1625</v>
      </c>
      <c r="Q312" s="0" t="s">
        <v>27</v>
      </c>
    </row>
    <row r="313" customFormat="false" ht="17.15" hidden="false" customHeight="false" outlineLevel="0" collapsed="false">
      <c r="A313" s="2" t="s">
        <v>1632</v>
      </c>
      <c r="B313" s="2" t="s">
        <v>1126</v>
      </c>
      <c r="C313" s="2" t="s">
        <v>176</v>
      </c>
      <c r="D313" s="2" t="s">
        <v>1127</v>
      </c>
      <c r="E313" s="2" t="s">
        <v>1042</v>
      </c>
      <c r="F313" s="2" t="s">
        <v>833</v>
      </c>
      <c r="G313" s="2" t="str">
        <f aca="false">IFERROR(INDEX(Prices_Item,MATCH(F313,Prices_ID,0)),"ITEM NOT FOUND")</f>
        <v>3M Temflex 1700 electrical tape 19 mm × 18.2 m</v>
      </c>
      <c r="H313" s="7" t="n">
        <v>0.25</v>
      </c>
      <c r="I313" s="2" t="s">
        <v>1512</v>
      </c>
      <c r="J313" s="3" t="n">
        <f aca="false">IFERROR(INDEX(Prices_Current,MATCH(F313,Prices_ID,0)),"")</f>
        <v>46</v>
      </c>
      <c r="K313" s="2" t="s">
        <v>1100</v>
      </c>
      <c r="L313" s="3" t="n">
        <f aca="false">IF(OR(H313="",NOT(ISNUMBER(J313))),"",H313*J313)</f>
        <v>11.5</v>
      </c>
      <c r="M313" s="2" t="str">
        <f aca="false">IFERROR(INDEX(Prices_Flag,MATCH(F313,Prices_ID,0)),"")</f>
        <v>none</v>
      </c>
      <c r="N313" s="2" t="s">
        <v>1623</v>
      </c>
      <c r="O313" s="0" t="s">
        <v>1130</v>
      </c>
      <c r="P313" s="8" t="s">
        <v>1131</v>
      </c>
      <c r="Q313" s="0" t="s">
        <v>27</v>
      </c>
    </row>
    <row r="314" customFormat="false" ht="17.15" hidden="false" customHeight="false" outlineLevel="0" collapsed="false">
      <c r="A314" s="2" t="s">
        <v>1633</v>
      </c>
      <c r="B314" s="2" t="s">
        <v>1126</v>
      </c>
      <c r="C314" s="2" t="s">
        <v>176</v>
      </c>
      <c r="D314" s="2" t="s">
        <v>1127</v>
      </c>
      <c r="E314" s="2" t="s">
        <v>1042</v>
      </c>
      <c r="F314" s="2" t="s">
        <v>888</v>
      </c>
      <c r="G314" s="2" t="str">
        <f aca="false">IFERROR(INDEX(Prices_Item,MATCH(F314,Prices_ID,0)),"ITEM NOT FOUND")</f>
        <v>Wire nuts (as-needed)</v>
      </c>
      <c r="H314" s="7"/>
      <c r="I314" s="2" t="s">
        <v>1627</v>
      </c>
      <c r="J314" s="3" t="str">
        <f aca="false">IFERROR(INDEX(Prices_Current,MATCH(F314,Prices_ID,0)),"")</f>
        <v/>
      </c>
      <c r="K314" s="2" t="s">
        <v>1044</v>
      </c>
      <c r="L314" s="3" t="str">
        <f aca="false">IF(OR(H314="",NOT(ISNUMBER(J314))),"",H314*J314)</f>
        <v/>
      </c>
      <c r="M314" s="2" t="str">
        <f aca="false">IFERROR(INDEX(Prices_Flag,MATCH(F314,Prices_ID,0)),"")</f>
        <v>none</v>
      </c>
      <c r="N314" s="2" t="s">
        <v>1045</v>
      </c>
      <c r="O314" s="0" t="s">
        <v>1130</v>
      </c>
      <c r="P314" s="8" t="s">
        <v>1131</v>
      </c>
      <c r="Q314" s="0" t="s">
        <v>27</v>
      </c>
    </row>
    <row r="315" customFormat="false" ht="17.15" hidden="false" customHeight="false" outlineLevel="0" collapsed="false">
      <c r="A315" s="2" t="s">
        <v>1634</v>
      </c>
      <c r="B315" s="2" t="s">
        <v>1126</v>
      </c>
      <c r="C315" s="2" t="s">
        <v>176</v>
      </c>
      <c r="D315" s="2" t="s">
        <v>1127</v>
      </c>
      <c r="E315" s="2" t="s">
        <v>1049</v>
      </c>
      <c r="F315" s="2" t="s">
        <v>833</v>
      </c>
      <c r="G315" s="2" t="str">
        <f aca="false">IFERROR(INDEX(Prices_Item,MATCH(F315,Prices_ID,0)),"ITEM NOT FOUND")</f>
        <v>3M Temflex 1700 electrical tape 19 mm × 18.2 m</v>
      </c>
      <c r="H315" s="7" t="n">
        <v>0.25</v>
      </c>
      <c r="I315" s="2" t="s">
        <v>1512</v>
      </c>
      <c r="J315" s="3" t="n">
        <f aca="false">IFERROR(INDEX(Prices_Current,MATCH(F315,Prices_ID,0)),"")</f>
        <v>46</v>
      </c>
      <c r="K315" s="2" t="s">
        <v>1100</v>
      </c>
      <c r="L315" s="3" t="n">
        <f aca="false">IF(OR(H315="",NOT(ISNUMBER(J315))),"",H315*J315)</f>
        <v>11.5</v>
      </c>
      <c r="M315" s="2" t="str">
        <f aca="false">IFERROR(INDEX(Prices_Flag,MATCH(F315,Prices_ID,0)),"")</f>
        <v>none</v>
      </c>
      <c r="N315" s="2" t="s">
        <v>1623</v>
      </c>
      <c r="O315" s="0" t="s">
        <v>1130</v>
      </c>
      <c r="P315" s="8" t="s">
        <v>1131</v>
      </c>
      <c r="Q315" s="0" t="s">
        <v>27</v>
      </c>
    </row>
    <row r="316" customFormat="false" ht="17.15" hidden="false" customHeight="false" outlineLevel="0" collapsed="false">
      <c r="A316" s="2" t="s">
        <v>1635</v>
      </c>
      <c r="B316" s="2" t="s">
        <v>1126</v>
      </c>
      <c r="C316" s="2" t="s">
        <v>176</v>
      </c>
      <c r="D316" s="2" t="s">
        <v>1127</v>
      </c>
      <c r="E316" s="2" t="s">
        <v>1049</v>
      </c>
      <c r="F316" s="2" t="s">
        <v>888</v>
      </c>
      <c r="G316" s="2" t="str">
        <f aca="false">IFERROR(INDEX(Prices_Item,MATCH(F316,Prices_ID,0)),"ITEM NOT FOUND")</f>
        <v>Wire nuts (as-needed)</v>
      </c>
      <c r="H316" s="7"/>
      <c r="I316" s="2" t="s">
        <v>1627</v>
      </c>
      <c r="J316" s="3" t="str">
        <f aca="false">IFERROR(INDEX(Prices_Current,MATCH(F316,Prices_ID,0)),"")</f>
        <v/>
      </c>
      <c r="K316" s="2" t="s">
        <v>1044</v>
      </c>
      <c r="L316" s="3" t="str">
        <f aca="false">IF(OR(H316="",NOT(ISNUMBER(J316))),"",H316*J316)</f>
        <v/>
      </c>
      <c r="M316" s="2" t="str">
        <f aca="false">IFERROR(INDEX(Prices_Flag,MATCH(F316,Prices_ID,0)),"")</f>
        <v>none</v>
      </c>
      <c r="N316" s="2" t="s">
        <v>1045</v>
      </c>
      <c r="O316" s="0" t="s">
        <v>1130</v>
      </c>
      <c r="P316" s="8" t="s">
        <v>1131</v>
      </c>
      <c r="Q316" s="0" t="s">
        <v>27</v>
      </c>
    </row>
    <row r="317" customFormat="false" ht="17.15" hidden="false" customHeight="false" outlineLevel="0" collapsed="false">
      <c r="A317" s="2" t="s">
        <v>1636</v>
      </c>
      <c r="B317" s="2" t="s">
        <v>1126</v>
      </c>
      <c r="C317" s="2" t="s">
        <v>176</v>
      </c>
      <c r="D317" s="2" t="s">
        <v>1127</v>
      </c>
      <c r="E317" s="2" t="s">
        <v>1051</v>
      </c>
      <c r="F317" s="2" t="s">
        <v>833</v>
      </c>
      <c r="G317" s="2" t="str">
        <f aca="false">IFERROR(INDEX(Prices_Item,MATCH(F317,Prices_ID,0)),"ITEM NOT FOUND")</f>
        <v>3M Temflex 1700 electrical tape 19 mm × 18.2 m</v>
      </c>
      <c r="H317" s="7" t="n">
        <v>0.25</v>
      </c>
      <c r="I317" s="2" t="s">
        <v>1512</v>
      </c>
      <c r="J317" s="3" t="n">
        <f aca="false">IFERROR(INDEX(Prices_Current,MATCH(F317,Prices_ID,0)),"")</f>
        <v>46</v>
      </c>
      <c r="K317" s="2" t="s">
        <v>1100</v>
      </c>
      <c r="L317" s="3" t="n">
        <f aca="false">IF(OR(H317="",NOT(ISNUMBER(J317))),"",H317*J317)</f>
        <v>11.5</v>
      </c>
      <c r="M317" s="2" t="str">
        <f aca="false">IFERROR(INDEX(Prices_Flag,MATCH(F317,Prices_ID,0)),"")</f>
        <v>none</v>
      </c>
      <c r="N317" s="2" t="s">
        <v>1623</v>
      </c>
      <c r="O317" s="0" t="s">
        <v>1130</v>
      </c>
      <c r="P317" s="8" t="s">
        <v>1131</v>
      </c>
      <c r="Q317" s="0" t="s">
        <v>27</v>
      </c>
    </row>
    <row r="318" customFormat="false" ht="17.15" hidden="false" customHeight="false" outlineLevel="0" collapsed="false">
      <c r="A318" s="2" t="s">
        <v>1637</v>
      </c>
      <c r="B318" s="2" t="s">
        <v>1126</v>
      </c>
      <c r="C318" s="2" t="s">
        <v>176</v>
      </c>
      <c r="D318" s="2" t="s">
        <v>1127</v>
      </c>
      <c r="E318" s="2" t="s">
        <v>1051</v>
      </c>
      <c r="F318" s="2" t="s">
        <v>888</v>
      </c>
      <c r="G318" s="2" t="str">
        <f aca="false">IFERROR(INDEX(Prices_Item,MATCH(F318,Prices_ID,0)),"ITEM NOT FOUND")</f>
        <v>Wire nuts (as-needed)</v>
      </c>
      <c r="H318" s="7"/>
      <c r="I318" s="2" t="s">
        <v>1627</v>
      </c>
      <c r="J318" s="3" t="str">
        <f aca="false">IFERROR(INDEX(Prices_Current,MATCH(F318,Prices_ID,0)),"")</f>
        <v/>
      </c>
      <c r="K318" s="2" t="s">
        <v>1044</v>
      </c>
      <c r="L318" s="3" t="str">
        <f aca="false">IF(OR(H318="",NOT(ISNUMBER(J318))),"",H318*J318)</f>
        <v/>
      </c>
      <c r="M318" s="2" t="str">
        <f aca="false">IFERROR(INDEX(Prices_Flag,MATCH(F318,Prices_ID,0)),"")</f>
        <v>none</v>
      </c>
      <c r="N318" s="2" t="s">
        <v>1045</v>
      </c>
      <c r="O318" s="0" t="s">
        <v>1130</v>
      </c>
      <c r="P318" s="8" t="s">
        <v>1131</v>
      </c>
      <c r="Q318" s="0" t="s">
        <v>27</v>
      </c>
    </row>
    <row r="319" customFormat="false" ht="15" hidden="false" customHeight="false" outlineLevel="0" collapsed="false">
      <c r="A319" s="2" t="s">
        <v>1638</v>
      </c>
      <c r="B319" s="2" t="s">
        <v>1136</v>
      </c>
      <c r="C319" s="2" t="s">
        <v>176</v>
      </c>
      <c r="D319" s="2" t="s">
        <v>1137</v>
      </c>
      <c r="E319" s="2" t="s">
        <v>1042</v>
      </c>
      <c r="F319" s="2" t="s">
        <v>833</v>
      </c>
      <c r="G319" s="2" t="str">
        <f aca="false">IFERROR(INDEX(Prices_Item,MATCH(F319,Prices_ID,0)),"ITEM NOT FOUND")</f>
        <v>3M Temflex 1700 electrical tape 19 mm × 18.2 m</v>
      </c>
      <c r="H319" s="7" t="n">
        <v>0.5</v>
      </c>
      <c r="I319" s="2" t="s">
        <v>1639</v>
      </c>
      <c r="J319" s="3" t="n">
        <f aca="false">IFERROR(INDEX(Prices_Current,MATCH(F319,Prices_ID,0)),"")</f>
        <v>46</v>
      </c>
      <c r="K319" s="2" t="s">
        <v>1100</v>
      </c>
      <c r="L319" s="3" t="n">
        <f aca="false">IF(OR(H319="",NOT(ISNUMBER(J319))),"",H319*J319)</f>
        <v>23</v>
      </c>
      <c r="M319" s="2" t="str">
        <f aca="false">IFERROR(INDEX(Prices_Flag,MATCH(F319,Prices_ID,0)),"")</f>
        <v>none</v>
      </c>
      <c r="N319" s="2" t="s">
        <v>1623</v>
      </c>
      <c r="O319" s="0" t="s">
        <v>1140</v>
      </c>
      <c r="P319" s="8" t="s">
        <v>1141</v>
      </c>
      <c r="Q319" s="0" t="s">
        <v>27</v>
      </c>
    </row>
    <row r="320" customFormat="false" ht="15" hidden="false" customHeight="false" outlineLevel="0" collapsed="false">
      <c r="A320" s="2" t="s">
        <v>1640</v>
      </c>
      <c r="B320" s="2" t="s">
        <v>1136</v>
      </c>
      <c r="C320" s="2" t="s">
        <v>176</v>
      </c>
      <c r="D320" s="2" t="s">
        <v>1137</v>
      </c>
      <c r="E320" s="2" t="s">
        <v>1042</v>
      </c>
      <c r="F320" s="2" t="s">
        <v>888</v>
      </c>
      <c r="G320" s="2" t="str">
        <f aca="false">IFERROR(INDEX(Prices_Item,MATCH(F320,Prices_ID,0)),"ITEM NOT FOUND")</f>
        <v>Wire nuts (as-needed)</v>
      </c>
      <c r="H320" s="7"/>
      <c r="I320" s="2" t="s">
        <v>1627</v>
      </c>
      <c r="J320" s="3" t="str">
        <f aca="false">IFERROR(INDEX(Prices_Current,MATCH(F320,Prices_ID,0)),"")</f>
        <v/>
      </c>
      <c r="K320" s="2" t="s">
        <v>1044</v>
      </c>
      <c r="L320" s="3" t="str">
        <f aca="false">IF(OR(H320="",NOT(ISNUMBER(J320))),"",H320*J320)</f>
        <v/>
      </c>
      <c r="M320" s="2" t="str">
        <f aca="false">IFERROR(INDEX(Prices_Flag,MATCH(F320,Prices_ID,0)),"")</f>
        <v>none</v>
      </c>
      <c r="N320" s="2" t="s">
        <v>1045</v>
      </c>
      <c r="O320" s="0" t="s">
        <v>1140</v>
      </c>
      <c r="P320" s="8" t="s">
        <v>1141</v>
      </c>
      <c r="Q320" s="0" t="s">
        <v>27</v>
      </c>
    </row>
    <row r="321" customFormat="false" ht="15" hidden="false" customHeight="false" outlineLevel="0" collapsed="false">
      <c r="A321" s="2" t="s">
        <v>1641</v>
      </c>
      <c r="B321" s="2" t="s">
        <v>1136</v>
      </c>
      <c r="C321" s="2" t="s">
        <v>176</v>
      </c>
      <c r="D321" s="2" t="s">
        <v>1137</v>
      </c>
      <c r="E321" s="2" t="s">
        <v>1049</v>
      </c>
      <c r="F321" s="2" t="s">
        <v>833</v>
      </c>
      <c r="G321" s="2" t="str">
        <f aca="false">IFERROR(INDEX(Prices_Item,MATCH(F321,Prices_ID,0)),"ITEM NOT FOUND")</f>
        <v>3M Temflex 1700 electrical tape 19 mm × 18.2 m</v>
      </c>
      <c r="H321" s="7" t="n">
        <v>0.5</v>
      </c>
      <c r="I321" s="2" t="s">
        <v>1639</v>
      </c>
      <c r="J321" s="3" t="n">
        <f aca="false">IFERROR(INDEX(Prices_Current,MATCH(F321,Prices_ID,0)),"")</f>
        <v>46</v>
      </c>
      <c r="K321" s="2" t="s">
        <v>1100</v>
      </c>
      <c r="L321" s="3" t="n">
        <f aca="false">IF(OR(H321="",NOT(ISNUMBER(J321))),"",H321*J321)</f>
        <v>23</v>
      </c>
      <c r="M321" s="2" t="str">
        <f aca="false">IFERROR(INDEX(Prices_Flag,MATCH(F321,Prices_ID,0)),"")</f>
        <v>none</v>
      </c>
      <c r="N321" s="2" t="s">
        <v>1623</v>
      </c>
      <c r="O321" s="0" t="s">
        <v>1140</v>
      </c>
      <c r="P321" s="8" t="s">
        <v>1141</v>
      </c>
      <c r="Q321" s="0" t="s">
        <v>27</v>
      </c>
    </row>
    <row r="322" customFormat="false" ht="15" hidden="false" customHeight="false" outlineLevel="0" collapsed="false">
      <c r="A322" s="2" t="s">
        <v>1642</v>
      </c>
      <c r="B322" s="2" t="s">
        <v>1136</v>
      </c>
      <c r="C322" s="2" t="s">
        <v>176</v>
      </c>
      <c r="D322" s="2" t="s">
        <v>1137</v>
      </c>
      <c r="E322" s="2" t="s">
        <v>1049</v>
      </c>
      <c r="F322" s="2" t="s">
        <v>888</v>
      </c>
      <c r="G322" s="2" t="str">
        <f aca="false">IFERROR(INDEX(Prices_Item,MATCH(F322,Prices_ID,0)),"ITEM NOT FOUND")</f>
        <v>Wire nuts (as-needed)</v>
      </c>
      <c r="H322" s="7"/>
      <c r="I322" s="2" t="s">
        <v>1627</v>
      </c>
      <c r="J322" s="3" t="str">
        <f aca="false">IFERROR(INDEX(Prices_Current,MATCH(F322,Prices_ID,0)),"")</f>
        <v/>
      </c>
      <c r="K322" s="2" t="s">
        <v>1044</v>
      </c>
      <c r="L322" s="3" t="str">
        <f aca="false">IF(OR(H322="",NOT(ISNUMBER(J322))),"",H322*J322)</f>
        <v/>
      </c>
      <c r="M322" s="2" t="str">
        <f aca="false">IFERROR(INDEX(Prices_Flag,MATCH(F322,Prices_ID,0)),"")</f>
        <v>none</v>
      </c>
      <c r="N322" s="2" t="s">
        <v>1045</v>
      </c>
      <c r="O322" s="0" t="s">
        <v>1140</v>
      </c>
      <c r="P322" s="8" t="s">
        <v>1141</v>
      </c>
      <c r="Q322" s="0" t="s">
        <v>27</v>
      </c>
    </row>
    <row r="323" customFormat="false" ht="15" hidden="false" customHeight="false" outlineLevel="0" collapsed="false">
      <c r="A323" s="2" t="s">
        <v>1643</v>
      </c>
      <c r="B323" s="2" t="s">
        <v>1136</v>
      </c>
      <c r="C323" s="2" t="s">
        <v>176</v>
      </c>
      <c r="D323" s="2" t="s">
        <v>1137</v>
      </c>
      <c r="E323" s="2" t="s">
        <v>1051</v>
      </c>
      <c r="F323" s="2" t="s">
        <v>833</v>
      </c>
      <c r="G323" s="2" t="str">
        <f aca="false">IFERROR(INDEX(Prices_Item,MATCH(F323,Prices_ID,0)),"ITEM NOT FOUND")</f>
        <v>3M Temflex 1700 electrical tape 19 mm × 18.2 m</v>
      </c>
      <c r="H323" s="7" t="n">
        <v>0.5</v>
      </c>
      <c r="I323" s="2" t="s">
        <v>1639</v>
      </c>
      <c r="J323" s="3" t="n">
        <f aca="false">IFERROR(INDEX(Prices_Current,MATCH(F323,Prices_ID,0)),"")</f>
        <v>46</v>
      </c>
      <c r="K323" s="2" t="s">
        <v>1100</v>
      </c>
      <c r="L323" s="3" t="n">
        <f aca="false">IF(OR(H323="",NOT(ISNUMBER(J323))),"",H323*J323)</f>
        <v>23</v>
      </c>
      <c r="M323" s="2" t="str">
        <f aca="false">IFERROR(INDEX(Prices_Flag,MATCH(F323,Prices_ID,0)),"")</f>
        <v>none</v>
      </c>
      <c r="N323" s="2" t="s">
        <v>1623</v>
      </c>
      <c r="O323" s="0" t="s">
        <v>1140</v>
      </c>
      <c r="P323" s="8" t="s">
        <v>1141</v>
      </c>
      <c r="Q323" s="0" t="s">
        <v>27</v>
      </c>
    </row>
    <row r="324" customFormat="false" ht="15" hidden="false" customHeight="false" outlineLevel="0" collapsed="false">
      <c r="A324" s="2" t="s">
        <v>1644</v>
      </c>
      <c r="B324" s="2" t="s">
        <v>1136</v>
      </c>
      <c r="C324" s="2" t="s">
        <v>176</v>
      </c>
      <c r="D324" s="2" t="s">
        <v>1137</v>
      </c>
      <c r="E324" s="2" t="s">
        <v>1051</v>
      </c>
      <c r="F324" s="2" t="s">
        <v>888</v>
      </c>
      <c r="G324" s="2" t="str">
        <f aca="false">IFERROR(INDEX(Prices_Item,MATCH(F324,Prices_ID,0)),"ITEM NOT FOUND")</f>
        <v>Wire nuts (as-needed)</v>
      </c>
      <c r="H324" s="7"/>
      <c r="I324" s="2" t="s">
        <v>1627</v>
      </c>
      <c r="J324" s="3" t="str">
        <f aca="false">IFERROR(INDEX(Prices_Current,MATCH(F324,Prices_ID,0)),"")</f>
        <v/>
      </c>
      <c r="K324" s="2" t="s">
        <v>1044</v>
      </c>
      <c r="L324" s="3" t="str">
        <f aca="false">IF(OR(H324="",NOT(ISNUMBER(J324))),"",H324*J324)</f>
        <v/>
      </c>
      <c r="M324" s="2" t="str">
        <f aca="false">IFERROR(INDEX(Prices_Flag,MATCH(F324,Prices_ID,0)),"")</f>
        <v>none</v>
      </c>
      <c r="N324" s="2" t="s">
        <v>1045</v>
      </c>
      <c r="O324" s="0" t="s">
        <v>1140</v>
      </c>
      <c r="P324" s="8" t="s">
        <v>1141</v>
      </c>
      <c r="Q324" s="0" t="s">
        <v>27</v>
      </c>
    </row>
    <row r="325" customFormat="false" ht="17.15" hidden="false" customHeight="false" outlineLevel="0" collapsed="false">
      <c r="A325" s="2" t="s">
        <v>1645</v>
      </c>
      <c r="B325" s="2" t="s">
        <v>1151</v>
      </c>
      <c r="C325" s="2" t="s">
        <v>176</v>
      </c>
      <c r="D325" s="2" t="s">
        <v>1152</v>
      </c>
      <c r="E325" s="2" t="s">
        <v>1055</v>
      </c>
      <c r="F325" s="2" t="s">
        <v>876</v>
      </c>
      <c r="G325" s="2" t="str">
        <f aca="false">IFERROR(INDEX(Prices_Item,MATCH(F325,Prices_ID,0)),"ITEM NOT FOUND")</f>
        <v>IUSA THW-LS 10 AWG cable, 100 m</v>
      </c>
      <c r="H325" s="7" t="n">
        <v>0.3</v>
      </c>
      <c r="I325" s="2" t="s">
        <v>1646</v>
      </c>
      <c r="J325" s="3" t="n">
        <f aca="false">IFERROR(INDEX(Prices_Current,MATCH(F325,Prices_ID,0)),"")</f>
        <v>2399</v>
      </c>
      <c r="K325" s="2" t="s">
        <v>1100</v>
      </c>
      <c r="L325" s="3" t="n">
        <f aca="false">IF(OR(H325="",NOT(ISNUMBER(J325))),"",H325*J325)</f>
        <v>719.7</v>
      </c>
      <c r="M325" s="2" t="str">
        <f aca="false">IFERROR(INDEX(Prices_Flag,MATCH(F325,Prices_ID,0)),"")</f>
        <v>FLAGGED-human review</v>
      </c>
      <c r="N325" s="2" t="s">
        <v>1647</v>
      </c>
      <c r="O325" s="0" t="s">
        <v>1155</v>
      </c>
      <c r="P325" s="8" t="s">
        <v>1156</v>
      </c>
      <c r="Q325" s="0" t="s">
        <v>1100</v>
      </c>
    </row>
    <row r="326" customFormat="false" ht="17.15" hidden="false" customHeight="false" outlineLevel="0" collapsed="false">
      <c r="A326" s="2" t="s">
        <v>1648</v>
      </c>
      <c r="B326" s="2" t="s">
        <v>1151</v>
      </c>
      <c r="C326" s="2" t="s">
        <v>176</v>
      </c>
      <c r="D326" s="2" t="s">
        <v>1152</v>
      </c>
      <c r="E326" s="2" t="s">
        <v>1055</v>
      </c>
      <c r="F326" s="2" t="s">
        <v>883</v>
      </c>
      <c r="G326" s="2" t="str">
        <f aca="false">IFERROR(INDEX(Prices_Item,MATCH(F326,Prices_ID,0)),"ITEM NOT FOUND")</f>
        <v>Conduit PVC 3/4 in light, 3 m</v>
      </c>
      <c r="H326" s="7" t="n">
        <v>4</v>
      </c>
      <c r="I326" s="2" t="s">
        <v>1649</v>
      </c>
      <c r="J326" s="3" t="n">
        <f aca="false">IFERROR(INDEX(Prices_Current,MATCH(F326,Prices_ID,0)),"")</f>
        <v>30</v>
      </c>
      <c r="K326" s="2" t="s">
        <v>1100</v>
      </c>
      <c r="L326" s="3" t="n">
        <f aca="false">IF(OR(H326="",NOT(ISNUMBER(J326))),"",H326*J326)</f>
        <v>120</v>
      </c>
      <c r="M326" s="2" t="str">
        <f aca="false">IFERROR(INDEX(Prices_Flag,MATCH(F326,Prices_ID,0)),"")</f>
        <v>none</v>
      </c>
      <c r="N326" s="2"/>
      <c r="O326" s="0" t="s">
        <v>1155</v>
      </c>
      <c r="P326" s="8" t="s">
        <v>1156</v>
      </c>
      <c r="Q326" s="0" t="s">
        <v>27</v>
      </c>
    </row>
    <row r="327" customFormat="false" ht="17.15" hidden="false" customHeight="false" outlineLevel="0" collapsed="false">
      <c r="A327" s="2" t="s">
        <v>1650</v>
      </c>
      <c r="B327" s="2" t="s">
        <v>1151</v>
      </c>
      <c r="C327" s="2" t="s">
        <v>176</v>
      </c>
      <c r="D327" s="2" t="s">
        <v>1152</v>
      </c>
      <c r="E327" s="2" t="s">
        <v>1070</v>
      </c>
      <c r="F327" s="2" t="s">
        <v>876</v>
      </c>
      <c r="G327" s="2" t="str">
        <f aca="false">IFERROR(INDEX(Prices_Item,MATCH(F327,Prices_ID,0)),"ITEM NOT FOUND")</f>
        <v>IUSA THW-LS 10 AWG cable, 100 m</v>
      </c>
      <c r="H327" s="7" t="n">
        <v>0.3</v>
      </c>
      <c r="I327" s="2" t="s">
        <v>1646</v>
      </c>
      <c r="J327" s="3" t="n">
        <f aca="false">IFERROR(INDEX(Prices_Current,MATCH(F327,Prices_ID,0)),"")</f>
        <v>2399</v>
      </c>
      <c r="K327" s="2" t="s">
        <v>1100</v>
      </c>
      <c r="L327" s="3" t="n">
        <f aca="false">IF(OR(H327="",NOT(ISNUMBER(J327))),"",H327*J327)</f>
        <v>719.7</v>
      </c>
      <c r="M327" s="2" t="str">
        <f aca="false">IFERROR(INDEX(Prices_Flag,MATCH(F327,Prices_ID,0)),"")</f>
        <v>FLAGGED-human review</v>
      </c>
      <c r="N327" s="2" t="s">
        <v>1647</v>
      </c>
      <c r="O327" s="0" t="s">
        <v>1155</v>
      </c>
      <c r="P327" s="8" t="s">
        <v>1156</v>
      </c>
      <c r="Q327" s="0" t="s">
        <v>1100</v>
      </c>
    </row>
    <row r="328" customFormat="false" ht="17.15" hidden="false" customHeight="false" outlineLevel="0" collapsed="false">
      <c r="A328" s="2" t="s">
        <v>1651</v>
      </c>
      <c r="B328" s="2" t="s">
        <v>1151</v>
      </c>
      <c r="C328" s="2" t="s">
        <v>176</v>
      </c>
      <c r="D328" s="2" t="s">
        <v>1152</v>
      </c>
      <c r="E328" s="2" t="s">
        <v>1070</v>
      </c>
      <c r="F328" s="2" t="s">
        <v>883</v>
      </c>
      <c r="G328" s="2" t="str">
        <f aca="false">IFERROR(INDEX(Prices_Item,MATCH(F328,Prices_ID,0)),"ITEM NOT FOUND")</f>
        <v>Conduit PVC 3/4 in light, 3 m</v>
      </c>
      <c r="H328" s="7" t="n">
        <v>4</v>
      </c>
      <c r="I328" s="2" t="s">
        <v>1649</v>
      </c>
      <c r="J328" s="3" t="n">
        <f aca="false">IFERROR(INDEX(Prices_Current,MATCH(F328,Prices_ID,0)),"")</f>
        <v>30</v>
      </c>
      <c r="K328" s="2" t="s">
        <v>1100</v>
      </c>
      <c r="L328" s="3" t="n">
        <f aca="false">IF(OR(H328="",NOT(ISNUMBER(J328))),"",H328*J328)</f>
        <v>120</v>
      </c>
      <c r="M328" s="2" t="str">
        <f aca="false">IFERROR(INDEX(Prices_Flag,MATCH(F328,Prices_ID,0)),"")</f>
        <v>none</v>
      </c>
      <c r="N328" s="2"/>
      <c r="O328" s="0" t="s">
        <v>1155</v>
      </c>
      <c r="P328" s="8" t="s">
        <v>1156</v>
      </c>
      <c r="Q328" s="0" t="s">
        <v>27</v>
      </c>
    </row>
    <row r="329" customFormat="false" ht="17.15" hidden="false" customHeight="false" outlineLevel="0" collapsed="false">
      <c r="A329" s="2" t="s">
        <v>1652</v>
      </c>
      <c r="B329" s="2" t="s">
        <v>1151</v>
      </c>
      <c r="C329" s="2" t="s">
        <v>176</v>
      </c>
      <c r="D329" s="2" t="s">
        <v>1152</v>
      </c>
      <c r="E329" s="2" t="s">
        <v>1074</v>
      </c>
      <c r="F329" s="2" t="s">
        <v>876</v>
      </c>
      <c r="G329" s="2" t="str">
        <f aca="false">IFERROR(INDEX(Prices_Item,MATCH(F329,Prices_ID,0)),"ITEM NOT FOUND")</f>
        <v>IUSA THW-LS 10 AWG cable, 100 m</v>
      </c>
      <c r="H329" s="7" t="n">
        <v>0.3</v>
      </c>
      <c r="I329" s="2" t="s">
        <v>1646</v>
      </c>
      <c r="J329" s="3" t="n">
        <f aca="false">IFERROR(INDEX(Prices_Current,MATCH(F329,Prices_ID,0)),"")</f>
        <v>2399</v>
      </c>
      <c r="K329" s="2" t="s">
        <v>1100</v>
      </c>
      <c r="L329" s="3" t="n">
        <f aca="false">IF(OR(H329="",NOT(ISNUMBER(J329))),"",H329*J329)</f>
        <v>719.7</v>
      </c>
      <c r="M329" s="2" t="str">
        <f aca="false">IFERROR(INDEX(Prices_Flag,MATCH(F329,Prices_ID,0)),"")</f>
        <v>FLAGGED-human review</v>
      </c>
      <c r="N329" s="2" t="s">
        <v>1647</v>
      </c>
      <c r="O329" s="0" t="s">
        <v>1155</v>
      </c>
      <c r="P329" s="8" t="s">
        <v>1156</v>
      </c>
      <c r="Q329" s="0" t="s">
        <v>1100</v>
      </c>
    </row>
    <row r="330" customFormat="false" ht="17.15" hidden="false" customHeight="false" outlineLevel="0" collapsed="false">
      <c r="A330" s="2" t="s">
        <v>1653</v>
      </c>
      <c r="B330" s="2" t="s">
        <v>1151</v>
      </c>
      <c r="C330" s="2" t="s">
        <v>176</v>
      </c>
      <c r="D330" s="2" t="s">
        <v>1152</v>
      </c>
      <c r="E330" s="2" t="s">
        <v>1074</v>
      </c>
      <c r="F330" s="2" t="s">
        <v>883</v>
      </c>
      <c r="G330" s="2" t="str">
        <f aca="false">IFERROR(INDEX(Prices_Item,MATCH(F330,Prices_ID,0)),"ITEM NOT FOUND")</f>
        <v>Conduit PVC 3/4 in light, 3 m</v>
      </c>
      <c r="H330" s="7" t="n">
        <v>4</v>
      </c>
      <c r="I330" s="2" t="s">
        <v>1649</v>
      </c>
      <c r="J330" s="3" t="n">
        <f aca="false">IFERROR(INDEX(Prices_Current,MATCH(F330,Prices_ID,0)),"")</f>
        <v>30</v>
      </c>
      <c r="K330" s="2" t="s">
        <v>1100</v>
      </c>
      <c r="L330" s="3" t="n">
        <f aca="false">IF(OR(H330="",NOT(ISNUMBER(J330))),"",H330*J330)</f>
        <v>120</v>
      </c>
      <c r="M330" s="2" t="str">
        <f aca="false">IFERROR(INDEX(Prices_Flag,MATCH(F330,Prices_ID,0)),"")</f>
        <v>none</v>
      </c>
      <c r="N330" s="2"/>
      <c r="O330" s="0" t="s">
        <v>1155</v>
      </c>
      <c r="P330" s="8" t="s">
        <v>1156</v>
      </c>
      <c r="Q330" s="0" t="s">
        <v>27</v>
      </c>
    </row>
    <row r="331" customFormat="false" ht="17.15" hidden="false" customHeight="false" outlineLevel="0" collapsed="false">
      <c r="A331" s="2" t="s">
        <v>1654</v>
      </c>
      <c r="B331" s="2" t="s">
        <v>1151</v>
      </c>
      <c r="C331" s="2" t="s">
        <v>176</v>
      </c>
      <c r="D331" s="2" t="s">
        <v>1152</v>
      </c>
      <c r="E331" s="2" t="s">
        <v>1078</v>
      </c>
      <c r="F331" s="2" t="s">
        <v>876</v>
      </c>
      <c r="G331" s="2" t="str">
        <f aca="false">IFERROR(INDEX(Prices_Item,MATCH(F331,Prices_ID,0)),"ITEM NOT FOUND")</f>
        <v>IUSA THW-LS 10 AWG cable, 100 m</v>
      </c>
      <c r="H331" s="7" t="n">
        <v>0.3</v>
      </c>
      <c r="I331" s="2" t="s">
        <v>1646</v>
      </c>
      <c r="J331" s="3" t="n">
        <f aca="false">IFERROR(INDEX(Prices_Current,MATCH(F331,Prices_ID,0)),"")</f>
        <v>2399</v>
      </c>
      <c r="K331" s="2" t="s">
        <v>1100</v>
      </c>
      <c r="L331" s="3" t="n">
        <f aca="false">IF(OR(H331="",NOT(ISNUMBER(J331))),"",H331*J331)</f>
        <v>719.7</v>
      </c>
      <c r="M331" s="2" t="str">
        <f aca="false">IFERROR(INDEX(Prices_Flag,MATCH(F331,Prices_ID,0)),"")</f>
        <v>FLAGGED-human review</v>
      </c>
      <c r="N331" s="2" t="s">
        <v>1647</v>
      </c>
      <c r="O331" s="0" t="s">
        <v>1155</v>
      </c>
      <c r="P331" s="8" t="s">
        <v>1156</v>
      </c>
      <c r="Q331" s="0" t="s">
        <v>1100</v>
      </c>
    </row>
    <row r="332" customFormat="false" ht="17.15" hidden="false" customHeight="false" outlineLevel="0" collapsed="false">
      <c r="A332" s="2" t="s">
        <v>1655</v>
      </c>
      <c r="B332" s="2" t="s">
        <v>1151</v>
      </c>
      <c r="C332" s="2" t="s">
        <v>176</v>
      </c>
      <c r="D332" s="2" t="s">
        <v>1152</v>
      </c>
      <c r="E332" s="2" t="s">
        <v>1078</v>
      </c>
      <c r="F332" s="2" t="s">
        <v>883</v>
      </c>
      <c r="G332" s="2" t="str">
        <f aca="false">IFERROR(INDEX(Prices_Item,MATCH(F332,Prices_ID,0)),"ITEM NOT FOUND")</f>
        <v>Conduit PVC 3/4 in light, 3 m</v>
      </c>
      <c r="H332" s="7" t="n">
        <v>4</v>
      </c>
      <c r="I332" s="2" t="s">
        <v>1649</v>
      </c>
      <c r="J332" s="3" t="n">
        <f aca="false">IFERROR(INDEX(Prices_Current,MATCH(F332,Prices_ID,0)),"")</f>
        <v>30</v>
      </c>
      <c r="K332" s="2" t="s">
        <v>1100</v>
      </c>
      <c r="L332" s="3" t="n">
        <f aca="false">IF(OR(H332="",NOT(ISNUMBER(J332))),"",H332*J332)</f>
        <v>120</v>
      </c>
      <c r="M332" s="2" t="str">
        <f aca="false">IFERROR(INDEX(Prices_Flag,MATCH(F332,Prices_ID,0)),"")</f>
        <v>none</v>
      </c>
      <c r="N332" s="2"/>
      <c r="O332" s="0" t="s">
        <v>1155</v>
      </c>
      <c r="P332" s="8" t="s">
        <v>1156</v>
      </c>
      <c r="Q332" s="0" t="s">
        <v>27</v>
      </c>
    </row>
    <row r="333" customFormat="false" ht="17.15" hidden="false" customHeight="false" outlineLevel="0" collapsed="false">
      <c r="A333" s="2" t="s">
        <v>1656</v>
      </c>
      <c r="B333" s="2" t="s">
        <v>1657</v>
      </c>
      <c r="C333" s="2" t="s">
        <v>939</v>
      </c>
      <c r="D333" s="2" t="s">
        <v>1658</v>
      </c>
      <c r="E333" s="2" t="s">
        <v>1659</v>
      </c>
      <c r="F333" s="2" t="s">
        <v>947</v>
      </c>
      <c r="G333" s="2" t="str">
        <f aca="false">IFERROR(INDEX(Prices_Item,MATCH(F333,Prices_ID,0)),"ITEM NOT FOUND")</f>
        <v>Fabuloso antibacterial multipurpose cleaner 5 L</v>
      </c>
      <c r="H333" s="7" t="n">
        <v>0.15</v>
      </c>
      <c r="I333" s="2" t="s">
        <v>1660</v>
      </c>
      <c r="J333" s="3" t="n">
        <f aca="false">IFERROR(INDEX(Prices_Current,MATCH(F333,Prices_ID,0)),"")</f>
        <v>155</v>
      </c>
      <c r="K333" s="2" t="s">
        <v>1100</v>
      </c>
      <c r="L333" s="3" t="n">
        <f aca="false">IF(OR(H333="",NOT(ISNUMBER(J333))),"",H333*J333)</f>
        <v>23.25</v>
      </c>
      <c r="M333" s="2" t="str">
        <f aca="false">IFERROR(INDEX(Prices_Flag,MATCH(F333,Prices_ID,0)),"")</f>
        <v>none</v>
      </c>
      <c r="N333" s="2" t="s">
        <v>1661</v>
      </c>
      <c r="O333" s="0" t="s">
        <v>1662</v>
      </c>
      <c r="P333" s="8" t="s">
        <v>1663</v>
      </c>
      <c r="Q333" s="0" t="s">
        <v>27</v>
      </c>
    </row>
    <row r="334" customFormat="false" ht="17.15" hidden="false" customHeight="false" outlineLevel="0" collapsed="false">
      <c r="A334" s="2" t="s">
        <v>1664</v>
      </c>
      <c r="B334" s="2" t="s">
        <v>1657</v>
      </c>
      <c r="C334" s="2" t="s">
        <v>939</v>
      </c>
      <c r="D334" s="2" t="s">
        <v>1658</v>
      </c>
      <c r="E334" s="2" t="s">
        <v>1659</v>
      </c>
      <c r="F334" s="2" t="s">
        <v>961</v>
      </c>
      <c r="G334" s="2" t="str">
        <f aca="false">IFERROR(INDEX(Prices_Item,MATCH(F334,Prices_ID,0)),"ITEM NOT FOUND")</f>
        <v>Mr Músculo kitchen degreaser 650 ml</v>
      </c>
      <c r="H334" s="7" t="n">
        <v>0.4</v>
      </c>
      <c r="I334" s="2" t="s">
        <v>1660</v>
      </c>
      <c r="J334" s="3" t="n">
        <f aca="false">IFERROR(INDEX(Prices_Current,MATCH(F334,Prices_ID,0)),"")</f>
        <v>64</v>
      </c>
      <c r="K334" s="2" t="s">
        <v>1100</v>
      </c>
      <c r="L334" s="3" t="n">
        <f aca="false">IF(OR(H334="",NOT(ISNUMBER(J334))),"",H334*J334)</f>
        <v>25.6</v>
      </c>
      <c r="M334" s="2" t="str">
        <f aca="false">IFERROR(INDEX(Prices_Flag,MATCH(F334,Prices_ID,0)),"")</f>
        <v>none</v>
      </c>
      <c r="N334" s="2" t="s">
        <v>1661</v>
      </c>
      <c r="O334" s="0" t="s">
        <v>1662</v>
      </c>
      <c r="P334" s="8" t="s">
        <v>1663</v>
      </c>
      <c r="Q334" s="0" t="s">
        <v>27</v>
      </c>
    </row>
    <row r="335" customFormat="false" ht="17.15" hidden="false" customHeight="false" outlineLevel="0" collapsed="false">
      <c r="A335" s="2" t="s">
        <v>1665</v>
      </c>
      <c r="B335" s="2" t="s">
        <v>1657</v>
      </c>
      <c r="C335" s="2" t="s">
        <v>939</v>
      </c>
      <c r="D335" s="2" t="s">
        <v>1658</v>
      </c>
      <c r="E335" s="2" t="s">
        <v>1659</v>
      </c>
      <c r="F335" s="2" t="s">
        <v>972</v>
      </c>
      <c r="G335" s="2" t="str">
        <f aca="false">IFERROR(INDEX(Prices_Item,MATCH(F335,Prices_ID,0)),"ITEM NOT FOUND")</f>
        <v>Mr Músculo daily shower cleaner 650 ml</v>
      </c>
      <c r="H335" s="7" t="n">
        <v>0.4</v>
      </c>
      <c r="I335" s="2" t="s">
        <v>1660</v>
      </c>
      <c r="J335" s="3" t="n">
        <f aca="false">IFERROR(INDEX(Prices_Current,MATCH(F335,Prices_ID,0)),"")</f>
        <v>63</v>
      </c>
      <c r="K335" s="2" t="s">
        <v>1100</v>
      </c>
      <c r="L335" s="3" t="n">
        <f aca="false">IF(OR(H335="",NOT(ISNUMBER(J335))),"",H335*J335)</f>
        <v>25.2</v>
      </c>
      <c r="M335" s="2" t="str">
        <f aca="false">IFERROR(INDEX(Prices_Flag,MATCH(F335,Prices_ID,0)),"")</f>
        <v>none</v>
      </c>
      <c r="N335" s="2" t="s">
        <v>1661</v>
      </c>
      <c r="O335" s="0" t="s">
        <v>1662</v>
      </c>
      <c r="P335" s="8" t="s">
        <v>1663</v>
      </c>
      <c r="Q335" s="0" t="s">
        <v>27</v>
      </c>
    </row>
    <row r="336" customFormat="false" ht="17.15" hidden="false" customHeight="false" outlineLevel="0" collapsed="false">
      <c r="A336" s="2" t="s">
        <v>1666</v>
      </c>
      <c r="B336" s="2" t="s">
        <v>1657</v>
      </c>
      <c r="C336" s="2" t="s">
        <v>939</v>
      </c>
      <c r="D336" s="2" t="s">
        <v>1658</v>
      </c>
      <c r="E336" s="2" t="s">
        <v>1659</v>
      </c>
      <c r="F336" s="2" t="s">
        <v>981</v>
      </c>
      <c r="G336" s="2" t="str">
        <f aca="false">IFERROR(INDEX(Prices_Item,MATCH(F336,Prices_ID,0)),"ITEM NOT FOUND")</f>
        <v>Windex ammonia-free glass cleaner 500 ml</v>
      </c>
      <c r="H336" s="7" t="n">
        <v>0.5</v>
      </c>
      <c r="I336" s="2" t="s">
        <v>1660</v>
      </c>
      <c r="J336" s="3" t="n">
        <f aca="false">IFERROR(INDEX(Prices_Current,MATCH(F336,Prices_ID,0)),"")</f>
        <v>24</v>
      </c>
      <c r="K336" s="2" t="s">
        <v>1100</v>
      </c>
      <c r="L336" s="3" t="n">
        <f aca="false">IF(OR(H336="",NOT(ISNUMBER(J336))),"",H336*J336)</f>
        <v>12</v>
      </c>
      <c r="M336" s="2" t="str">
        <f aca="false">IFERROR(INDEX(Prices_Flag,MATCH(F336,Prices_ID,0)),"")</f>
        <v>none</v>
      </c>
      <c r="N336" s="2" t="s">
        <v>1661</v>
      </c>
      <c r="O336" s="0" t="s">
        <v>1662</v>
      </c>
      <c r="P336" s="8" t="s">
        <v>1663</v>
      </c>
      <c r="Q336" s="0" t="s">
        <v>27</v>
      </c>
    </row>
    <row r="337" customFormat="false" ht="17.15" hidden="false" customHeight="false" outlineLevel="0" collapsed="false">
      <c r="A337" s="2" t="s">
        <v>1667</v>
      </c>
      <c r="B337" s="2" t="s">
        <v>1657</v>
      </c>
      <c r="C337" s="2" t="s">
        <v>939</v>
      </c>
      <c r="D337" s="2" t="s">
        <v>1658</v>
      </c>
      <c r="E337" s="2" t="s">
        <v>1659</v>
      </c>
      <c r="F337" s="2" t="s">
        <v>991</v>
      </c>
      <c r="G337" s="2" t="str">
        <f aca="false">IFERROR(INDEX(Prices_Item,MATCH(F337,Prices_ID,0)),"ITEM NOT FOUND")</f>
        <v>Lysol multipurpose disinfectant 5 L</v>
      </c>
      <c r="H337" s="7" t="n">
        <v>0.1</v>
      </c>
      <c r="I337" s="2" t="s">
        <v>1660</v>
      </c>
      <c r="J337" s="3" t="n">
        <f aca="false">IFERROR(INDEX(Prices_Current,MATCH(F337,Prices_ID,0)),"")</f>
        <v>126</v>
      </c>
      <c r="K337" s="2" t="s">
        <v>1100</v>
      </c>
      <c r="L337" s="3" t="n">
        <f aca="false">IF(OR(H337="",NOT(ISNUMBER(J337))),"",H337*J337)</f>
        <v>12.6</v>
      </c>
      <c r="M337" s="2" t="str">
        <f aca="false">IFERROR(INDEX(Prices_Flag,MATCH(F337,Prices_ID,0)),"")</f>
        <v>none</v>
      </c>
      <c r="N337" s="2" t="s">
        <v>1661</v>
      </c>
      <c r="O337" s="0" t="s">
        <v>1662</v>
      </c>
      <c r="P337" s="8" t="s">
        <v>1663</v>
      </c>
      <c r="Q337" s="0" t="s">
        <v>27</v>
      </c>
    </row>
    <row r="338" customFormat="false" ht="17.15" hidden="false" customHeight="false" outlineLevel="0" collapsed="false">
      <c r="A338" s="2" t="s">
        <v>1668</v>
      </c>
      <c r="B338" s="2" t="s">
        <v>1657</v>
      </c>
      <c r="C338" s="2" t="s">
        <v>939</v>
      </c>
      <c r="D338" s="2" t="s">
        <v>1658</v>
      </c>
      <c r="E338" s="2" t="s">
        <v>1659</v>
      </c>
      <c r="F338" s="2" t="s">
        <v>986</v>
      </c>
      <c r="G338" s="2" t="str">
        <f aca="false">IFERROR(INDEX(Prices_Item,MATCH(F338,Prices_ID,0)),"ITEM NOT FOUND")</f>
        <v>Great Value large microfiber cloth</v>
      </c>
      <c r="H338" s="7" t="n">
        <v>2</v>
      </c>
      <c r="I338" s="2" t="s">
        <v>1660</v>
      </c>
      <c r="J338" s="3" t="n">
        <f aca="false">IFERROR(INDEX(Prices_Current,MATCH(F338,Prices_ID,0)),"")</f>
        <v>29</v>
      </c>
      <c r="K338" s="2" t="s">
        <v>1100</v>
      </c>
      <c r="L338" s="3" t="n">
        <f aca="false">IF(OR(H338="",NOT(ISNUMBER(J338))),"",H338*J338)</f>
        <v>58</v>
      </c>
      <c r="M338" s="2" t="str">
        <f aca="false">IFERROR(INDEX(Prices_Flag,MATCH(F338,Prices_ID,0)),"")</f>
        <v>none</v>
      </c>
      <c r="N338" s="2" t="s">
        <v>1661</v>
      </c>
      <c r="O338" s="0" t="s">
        <v>1662</v>
      </c>
      <c r="P338" s="8" t="s">
        <v>1663</v>
      </c>
      <c r="Q338" s="0" t="s">
        <v>27</v>
      </c>
    </row>
    <row r="339" customFormat="false" ht="17.15" hidden="false" customHeight="false" outlineLevel="0" collapsed="false">
      <c r="A339" s="2" t="s">
        <v>1669</v>
      </c>
      <c r="B339" s="2" t="s">
        <v>1657</v>
      </c>
      <c r="C339" s="2" t="s">
        <v>939</v>
      </c>
      <c r="D339" s="2" t="s">
        <v>1658</v>
      </c>
      <c r="E339" s="2" t="s">
        <v>1659</v>
      </c>
      <c r="F339" s="2" t="s">
        <v>996</v>
      </c>
      <c r="G339" s="2" t="str">
        <f aca="false">IFERROR(INDEX(Prices_Item,MATCH(F339,Prices_ID,0)),"ITEM NOT FOUND")</f>
        <v>Easy-Off oven cleaner paste 238 g</v>
      </c>
      <c r="H339" s="7" t="n">
        <v>1</v>
      </c>
      <c r="I339" s="2" t="s">
        <v>1670</v>
      </c>
      <c r="J339" s="3" t="n">
        <f aca="false">IFERROR(INDEX(Prices_Current,MATCH(F339,Prices_ID,0)),"")</f>
        <v>70</v>
      </c>
      <c r="K339" s="2" t="s">
        <v>1044</v>
      </c>
      <c r="L339" s="3" t="n">
        <f aca="false">IF(OR(H339="",NOT(ISNUMBER(J339))),"",H339*J339)</f>
        <v>70</v>
      </c>
      <c r="M339" s="2" t="str">
        <f aca="false">IFERROR(INDEX(Prices_Flag,MATCH(F339,Prices_ID,0)),"")</f>
        <v>none</v>
      </c>
      <c r="N339" s="2" t="s">
        <v>1671</v>
      </c>
      <c r="O339" s="0" t="s">
        <v>1662</v>
      </c>
      <c r="P339" s="8" t="s">
        <v>1663</v>
      </c>
      <c r="Q339" s="0" t="s">
        <v>27</v>
      </c>
    </row>
    <row r="340" customFormat="false" ht="17.15" hidden="false" customHeight="false" outlineLevel="0" collapsed="false">
      <c r="A340" s="2" t="s">
        <v>1672</v>
      </c>
      <c r="B340" s="2" t="s">
        <v>1657</v>
      </c>
      <c r="C340" s="2" t="s">
        <v>939</v>
      </c>
      <c r="D340" s="2" t="s">
        <v>1658</v>
      </c>
      <c r="E340" s="2" t="s">
        <v>1659</v>
      </c>
      <c r="F340" s="2" t="s">
        <v>991</v>
      </c>
      <c r="G340" s="2" t="str">
        <f aca="false">IFERROR(INDEX(Prices_Item,MATCH(F340,Prices_ID,0)),"ITEM NOT FOUND")</f>
        <v>Lysol multipurpose disinfectant 5 L</v>
      </c>
      <c r="H340" s="7" t="n">
        <v>0.1</v>
      </c>
      <c r="I340" s="2" t="s">
        <v>1673</v>
      </c>
      <c r="J340" s="3" t="n">
        <f aca="false">IFERROR(INDEX(Prices_Current,MATCH(F340,Prices_ID,0)),"")</f>
        <v>126</v>
      </c>
      <c r="K340" s="2" t="s">
        <v>1044</v>
      </c>
      <c r="L340" s="3" t="n">
        <f aca="false">IF(OR(H340="",NOT(ISNUMBER(J340))),"",H340*J340)</f>
        <v>12.6</v>
      </c>
      <c r="M340" s="2" t="str">
        <f aca="false">IFERROR(INDEX(Prices_Flag,MATCH(F340,Prices_ID,0)),"")</f>
        <v>none</v>
      </c>
      <c r="N340" s="2" t="s">
        <v>1671</v>
      </c>
      <c r="O340" s="0" t="s">
        <v>1662</v>
      </c>
      <c r="P340" s="8" t="s">
        <v>1663</v>
      </c>
      <c r="Q340" s="0" t="s">
        <v>27</v>
      </c>
    </row>
    <row r="341" customFormat="false" ht="17.15" hidden="false" customHeight="false" outlineLevel="0" collapsed="false">
      <c r="A341" s="2" t="s">
        <v>1674</v>
      </c>
      <c r="B341" s="2" t="s">
        <v>1657</v>
      </c>
      <c r="C341" s="2" t="s">
        <v>939</v>
      </c>
      <c r="D341" s="2" t="s">
        <v>1658</v>
      </c>
      <c r="E341" s="2" t="s">
        <v>1659</v>
      </c>
      <c r="F341" s="2" t="s">
        <v>938</v>
      </c>
      <c r="G341" s="2" t="str">
        <f aca="false">IFERROR(INDEX(Prices_Item,MATCH(F341,Prices_ID,0)),"ITEM NOT FOUND")</f>
        <v>Pinol El Original pine cleaner 5.1 L</v>
      </c>
      <c r="H341" s="7" t="n">
        <v>0.2</v>
      </c>
      <c r="I341" s="2" t="s">
        <v>1675</v>
      </c>
      <c r="J341" s="3" t="n">
        <f aca="false">IFERROR(INDEX(Prices_Current,MATCH(F341,Prices_ID,0)),"")</f>
        <v>115</v>
      </c>
      <c r="K341" s="2" t="s">
        <v>1044</v>
      </c>
      <c r="L341" s="3" t="n">
        <f aca="false">IF(OR(H341="",NOT(ISNUMBER(J341))),"",H341*J341)</f>
        <v>23</v>
      </c>
      <c r="M341" s="2" t="str">
        <f aca="false">IFERROR(INDEX(Prices_Flag,MATCH(F341,Prices_ID,0)),"")</f>
        <v>none</v>
      </c>
      <c r="N341" s="2" t="s">
        <v>1671</v>
      </c>
      <c r="O341" s="0" t="s">
        <v>1662</v>
      </c>
      <c r="P341" s="8" t="s">
        <v>1663</v>
      </c>
      <c r="Q341" s="0" t="s">
        <v>27</v>
      </c>
    </row>
    <row r="342" customFormat="false" ht="17.15" hidden="false" customHeight="false" outlineLevel="0" collapsed="false">
      <c r="A342" s="2" t="s">
        <v>1676</v>
      </c>
      <c r="B342" s="2" t="s">
        <v>1657</v>
      </c>
      <c r="C342" s="2" t="s">
        <v>939</v>
      </c>
      <c r="D342" s="2" t="s">
        <v>1658</v>
      </c>
      <c r="E342" s="2" t="s">
        <v>1659</v>
      </c>
      <c r="F342" s="2" t="s">
        <v>1008</v>
      </c>
      <c r="G342" s="2" t="str">
        <f aca="false">IFERROR(INDEX(Prices_Item,MATCH(F342,Prices_ID,0)),"ITEM NOT FOUND")</f>
        <v>Nature's Miracle enzymatic stain and odor cleaner 3.7 L</v>
      </c>
      <c r="H342" s="7" t="n">
        <v>0.1</v>
      </c>
      <c r="I342" s="2" t="s">
        <v>1677</v>
      </c>
      <c r="J342" s="3" t="n">
        <f aca="false">IFERROR(INDEX(Prices_Current,MATCH(F342,Prices_ID,0)),"")</f>
        <v>799</v>
      </c>
      <c r="K342" s="2" t="s">
        <v>1044</v>
      </c>
      <c r="L342" s="3" t="n">
        <f aca="false">IF(OR(H342="",NOT(ISNUMBER(J342))),"",H342*J342)</f>
        <v>79.9</v>
      </c>
      <c r="M342" s="2" t="str">
        <f aca="false">IFERROR(INDEX(Prices_Flag,MATCH(F342,Prices_ID,0)),"")</f>
        <v>none</v>
      </c>
      <c r="N342" s="2" t="s">
        <v>1671</v>
      </c>
      <c r="O342" s="0" t="s">
        <v>1662</v>
      </c>
      <c r="P342" s="8" t="s">
        <v>1663</v>
      </c>
      <c r="Q342" s="0" t="s">
        <v>27</v>
      </c>
    </row>
    <row r="343" customFormat="false" ht="17.15" hidden="false" customHeight="false" outlineLevel="0" collapsed="false">
      <c r="A343" s="2" t="s">
        <v>1678</v>
      </c>
      <c r="B343" s="2" t="s">
        <v>1657</v>
      </c>
      <c r="C343" s="2" t="s">
        <v>939</v>
      </c>
      <c r="D343" s="2" t="s">
        <v>1658</v>
      </c>
      <c r="E343" s="2" t="s">
        <v>1679</v>
      </c>
      <c r="F343" s="2" t="s">
        <v>947</v>
      </c>
      <c r="G343" s="2" t="str">
        <f aca="false">IFERROR(INDEX(Prices_Item,MATCH(F343,Prices_ID,0)),"ITEM NOT FOUND")</f>
        <v>Fabuloso antibacterial multipurpose cleaner 5 L</v>
      </c>
      <c r="H343" s="7" t="n">
        <v>0.225</v>
      </c>
      <c r="I343" s="2" t="s">
        <v>1680</v>
      </c>
      <c r="J343" s="3" t="n">
        <f aca="false">IFERROR(INDEX(Prices_Current,MATCH(F343,Prices_ID,0)),"")</f>
        <v>155</v>
      </c>
      <c r="K343" s="2" t="s">
        <v>1100</v>
      </c>
      <c r="L343" s="3" t="n">
        <f aca="false">IF(OR(H343="",NOT(ISNUMBER(J343))),"",H343*J343)</f>
        <v>34.875</v>
      </c>
      <c r="M343" s="2" t="str">
        <f aca="false">IFERROR(INDEX(Prices_Flag,MATCH(F343,Prices_ID,0)),"")</f>
        <v>none</v>
      </c>
      <c r="N343" s="2" t="s">
        <v>1661</v>
      </c>
      <c r="O343" s="0" t="s">
        <v>1662</v>
      </c>
      <c r="P343" s="8" t="s">
        <v>1663</v>
      </c>
      <c r="Q343" s="0" t="s">
        <v>27</v>
      </c>
    </row>
    <row r="344" customFormat="false" ht="17.15" hidden="false" customHeight="false" outlineLevel="0" collapsed="false">
      <c r="A344" s="2" t="s">
        <v>1681</v>
      </c>
      <c r="B344" s="2" t="s">
        <v>1657</v>
      </c>
      <c r="C344" s="2" t="s">
        <v>939</v>
      </c>
      <c r="D344" s="2" t="s">
        <v>1658</v>
      </c>
      <c r="E344" s="2" t="s">
        <v>1679</v>
      </c>
      <c r="F344" s="2" t="s">
        <v>961</v>
      </c>
      <c r="G344" s="2" t="str">
        <f aca="false">IFERROR(INDEX(Prices_Item,MATCH(F344,Prices_ID,0)),"ITEM NOT FOUND")</f>
        <v>Mr Músculo kitchen degreaser 650 ml</v>
      </c>
      <c r="H344" s="7" t="n">
        <v>0.6</v>
      </c>
      <c r="I344" s="2" t="s">
        <v>1680</v>
      </c>
      <c r="J344" s="3" t="n">
        <f aca="false">IFERROR(INDEX(Prices_Current,MATCH(F344,Prices_ID,0)),"")</f>
        <v>64</v>
      </c>
      <c r="K344" s="2" t="s">
        <v>1100</v>
      </c>
      <c r="L344" s="3" t="n">
        <f aca="false">IF(OR(H344="",NOT(ISNUMBER(J344))),"",H344*J344)</f>
        <v>38.4</v>
      </c>
      <c r="M344" s="2" t="str">
        <f aca="false">IFERROR(INDEX(Prices_Flag,MATCH(F344,Prices_ID,0)),"")</f>
        <v>none</v>
      </c>
      <c r="N344" s="2" t="s">
        <v>1661</v>
      </c>
      <c r="O344" s="0" t="s">
        <v>1662</v>
      </c>
      <c r="P344" s="8" t="s">
        <v>1663</v>
      </c>
      <c r="Q344" s="0" t="s">
        <v>27</v>
      </c>
    </row>
    <row r="345" customFormat="false" ht="17.15" hidden="false" customHeight="false" outlineLevel="0" collapsed="false">
      <c r="A345" s="2" t="s">
        <v>1682</v>
      </c>
      <c r="B345" s="2" t="s">
        <v>1657</v>
      </c>
      <c r="C345" s="2" t="s">
        <v>939</v>
      </c>
      <c r="D345" s="2" t="s">
        <v>1658</v>
      </c>
      <c r="E345" s="2" t="s">
        <v>1679</v>
      </c>
      <c r="F345" s="2" t="s">
        <v>972</v>
      </c>
      <c r="G345" s="2" t="str">
        <f aca="false">IFERROR(INDEX(Prices_Item,MATCH(F345,Prices_ID,0)),"ITEM NOT FOUND")</f>
        <v>Mr Músculo daily shower cleaner 650 ml</v>
      </c>
      <c r="H345" s="7" t="n">
        <v>0.6</v>
      </c>
      <c r="I345" s="2" t="s">
        <v>1680</v>
      </c>
      <c r="J345" s="3" t="n">
        <f aca="false">IFERROR(INDEX(Prices_Current,MATCH(F345,Prices_ID,0)),"")</f>
        <v>63</v>
      </c>
      <c r="K345" s="2" t="s">
        <v>1100</v>
      </c>
      <c r="L345" s="3" t="n">
        <f aca="false">IF(OR(H345="",NOT(ISNUMBER(J345))),"",H345*J345)</f>
        <v>37.8</v>
      </c>
      <c r="M345" s="2" t="str">
        <f aca="false">IFERROR(INDEX(Prices_Flag,MATCH(F345,Prices_ID,0)),"")</f>
        <v>none</v>
      </c>
      <c r="N345" s="2" t="s">
        <v>1661</v>
      </c>
      <c r="O345" s="0" t="s">
        <v>1662</v>
      </c>
      <c r="P345" s="8" t="s">
        <v>1663</v>
      </c>
      <c r="Q345" s="0" t="s">
        <v>27</v>
      </c>
    </row>
    <row r="346" customFormat="false" ht="17.15" hidden="false" customHeight="false" outlineLevel="0" collapsed="false">
      <c r="A346" s="2" t="s">
        <v>1683</v>
      </c>
      <c r="B346" s="2" t="s">
        <v>1657</v>
      </c>
      <c r="C346" s="2" t="s">
        <v>939</v>
      </c>
      <c r="D346" s="2" t="s">
        <v>1658</v>
      </c>
      <c r="E346" s="2" t="s">
        <v>1679</v>
      </c>
      <c r="F346" s="2" t="s">
        <v>981</v>
      </c>
      <c r="G346" s="2" t="str">
        <f aca="false">IFERROR(INDEX(Prices_Item,MATCH(F346,Prices_ID,0)),"ITEM NOT FOUND")</f>
        <v>Windex ammonia-free glass cleaner 500 ml</v>
      </c>
      <c r="H346" s="7" t="n">
        <v>0.75</v>
      </c>
      <c r="I346" s="2" t="s">
        <v>1680</v>
      </c>
      <c r="J346" s="3" t="n">
        <f aca="false">IFERROR(INDEX(Prices_Current,MATCH(F346,Prices_ID,0)),"")</f>
        <v>24</v>
      </c>
      <c r="K346" s="2" t="s">
        <v>1100</v>
      </c>
      <c r="L346" s="3" t="n">
        <f aca="false">IF(OR(H346="",NOT(ISNUMBER(J346))),"",H346*J346)</f>
        <v>18</v>
      </c>
      <c r="M346" s="2" t="str">
        <f aca="false">IFERROR(INDEX(Prices_Flag,MATCH(F346,Prices_ID,0)),"")</f>
        <v>none</v>
      </c>
      <c r="N346" s="2" t="s">
        <v>1661</v>
      </c>
      <c r="O346" s="0" t="s">
        <v>1662</v>
      </c>
      <c r="P346" s="8" t="s">
        <v>1663</v>
      </c>
      <c r="Q346" s="0" t="s">
        <v>27</v>
      </c>
    </row>
    <row r="347" customFormat="false" ht="17.15" hidden="false" customHeight="false" outlineLevel="0" collapsed="false">
      <c r="A347" s="2" t="s">
        <v>1684</v>
      </c>
      <c r="B347" s="2" t="s">
        <v>1657</v>
      </c>
      <c r="C347" s="2" t="s">
        <v>939</v>
      </c>
      <c r="D347" s="2" t="s">
        <v>1658</v>
      </c>
      <c r="E347" s="2" t="s">
        <v>1679</v>
      </c>
      <c r="F347" s="2" t="s">
        <v>991</v>
      </c>
      <c r="G347" s="2" t="str">
        <f aca="false">IFERROR(INDEX(Prices_Item,MATCH(F347,Prices_ID,0)),"ITEM NOT FOUND")</f>
        <v>Lysol multipurpose disinfectant 5 L</v>
      </c>
      <c r="H347" s="7" t="n">
        <v>0.15</v>
      </c>
      <c r="I347" s="2" t="s">
        <v>1680</v>
      </c>
      <c r="J347" s="3" t="n">
        <f aca="false">IFERROR(INDEX(Prices_Current,MATCH(F347,Prices_ID,0)),"")</f>
        <v>126</v>
      </c>
      <c r="K347" s="2" t="s">
        <v>1100</v>
      </c>
      <c r="L347" s="3" t="n">
        <f aca="false">IF(OR(H347="",NOT(ISNUMBER(J347))),"",H347*J347)</f>
        <v>18.9</v>
      </c>
      <c r="M347" s="2" t="str">
        <f aca="false">IFERROR(INDEX(Prices_Flag,MATCH(F347,Prices_ID,0)),"")</f>
        <v>none</v>
      </c>
      <c r="N347" s="2" t="s">
        <v>1661</v>
      </c>
      <c r="O347" s="0" t="s">
        <v>1662</v>
      </c>
      <c r="P347" s="8" t="s">
        <v>1663</v>
      </c>
      <c r="Q347" s="0" t="s">
        <v>27</v>
      </c>
    </row>
    <row r="348" customFormat="false" ht="17.15" hidden="false" customHeight="false" outlineLevel="0" collapsed="false">
      <c r="A348" s="2" t="s">
        <v>1685</v>
      </c>
      <c r="B348" s="2" t="s">
        <v>1657</v>
      </c>
      <c r="C348" s="2" t="s">
        <v>939</v>
      </c>
      <c r="D348" s="2" t="s">
        <v>1658</v>
      </c>
      <c r="E348" s="2" t="s">
        <v>1679</v>
      </c>
      <c r="F348" s="2" t="s">
        <v>986</v>
      </c>
      <c r="G348" s="2" t="str">
        <f aca="false">IFERROR(INDEX(Prices_Item,MATCH(F348,Prices_ID,0)),"ITEM NOT FOUND")</f>
        <v>Great Value large microfiber cloth</v>
      </c>
      <c r="H348" s="7" t="n">
        <v>3</v>
      </c>
      <c r="I348" s="2" t="s">
        <v>1680</v>
      </c>
      <c r="J348" s="3" t="n">
        <f aca="false">IFERROR(INDEX(Prices_Current,MATCH(F348,Prices_ID,0)),"")</f>
        <v>29</v>
      </c>
      <c r="K348" s="2" t="s">
        <v>1100</v>
      </c>
      <c r="L348" s="3" t="n">
        <f aca="false">IF(OR(H348="",NOT(ISNUMBER(J348))),"",H348*J348)</f>
        <v>87</v>
      </c>
      <c r="M348" s="2" t="str">
        <f aca="false">IFERROR(INDEX(Prices_Flag,MATCH(F348,Prices_ID,0)),"")</f>
        <v>none</v>
      </c>
      <c r="N348" s="2" t="s">
        <v>1661</v>
      </c>
      <c r="O348" s="0" t="s">
        <v>1662</v>
      </c>
      <c r="P348" s="8" t="s">
        <v>1663</v>
      </c>
      <c r="Q348" s="0" t="s">
        <v>27</v>
      </c>
    </row>
    <row r="349" customFormat="false" ht="17.15" hidden="false" customHeight="false" outlineLevel="0" collapsed="false">
      <c r="A349" s="2" t="s">
        <v>1686</v>
      </c>
      <c r="B349" s="2" t="s">
        <v>1657</v>
      </c>
      <c r="C349" s="2" t="s">
        <v>939</v>
      </c>
      <c r="D349" s="2" t="s">
        <v>1658</v>
      </c>
      <c r="E349" s="2" t="s">
        <v>1679</v>
      </c>
      <c r="F349" s="2" t="s">
        <v>996</v>
      </c>
      <c r="G349" s="2" t="str">
        <f aca="false">IFERROR(INDEX(Prices_Item,MATCH(F349,Prices_ID,0)),"ITEM NOT FOUND")</f>
        <v>Easy-Off oven cleaner paste 238 g</v>
      </c>
      <c r="H349" s="7" t="n">
        <v>1</v>
      </c>
      <c r="I349" s="2" t="s">
        <v>1670</v>
      </c>
      <c r="J349" s="3" t="n">
        <f aca="false">IFERROR(INDEX(Prices_Current,MATCH(F349,Prices_ID,0)),"")</f>
        <v>70</v>
      </c>
      <c r="K349" s="2" t="s">
        <v>1044</v>
      </c>
      <c r="L349" s="3" t="n">
        <f aca="false">IF(OR(H349="",NOT(ISNUMBER(J349))),"",H349*J349)</f>
        <v>70</v>
      </c>
      <c r="M349" s="2" t="str">
        <f aca="false">IFERROR(INDEX(Prices_Flag,MATCH(F349,Prices_ID,0)),"")</f>
        <v>none</v>
      </c>
      <c r="N349" s="2" t="s">
        <v>1671</v>
      </c>
      <c r="O349" s="0" t="s">
        <v>1662</v>
      </c>
      <c r="P349" s="8" t="s">
        <v>1663</v>
      </c>
      <c r="Q349" s="0" t="s">
        <v>27</v>
      </c>
    </row>
    <row r="350" customFormat="false" ht="17.15" hidden="false" customHeight="false" outlineLevel="0" collapsed="false">
      <c r="A350" s="2" t="s">
        <v>1687</v>
      </c>
      <c r="B350" s="2" t="s">
        <v>1657</v>
      </c>
      <c r="C350" s="2" t="s">
        <v>939</v>
      </c>
      <c r="D350" s="2" t="s">
        <v>1658</v>
      </c>
      <c r="E350" s="2" t="s">
        <v>1679</v>
      </c>
      <c r="F350" s="2" t="s">
        <v>991</v>
      </c>
      <c r="G350" s="2" t="str">
        <f aca="false">IFERROR(INDEX(Prices_Item,MATCH(F350,Prices_ID,0)),"ITEM NOT FOUND")</f>
        <v>Lysol multipurpose disinfectant 5 L</v>
      </c>
      <c r="H350" s="7" t="n">
        <v>0.1</v>
      </c>
      <c r="I350" s="2" t="s">
        <v>1673</v>
      </c>
      <c r="J350" s="3" t="n">
        <f aca="false">IFERROR(INDEX(Prices_Current,MATCH(F350,Prices_ID,0)),"")</f>
        <v>126</v>
      </c>
      <c r="K350" s="2" t="s">
        <v>1044</v>
      </c>
      <c r="L350" s="3" t="n">
        <f aca="false">IF(OR(H350="",NOT(ISNUMBER(J350))),"",H350*J350)</f>
        <v>12.6</v>
      </c>
      <c r="M350" s="2" t="str">
        <f aca="false">IFERROR(INDEX(Prices_Flag,MATCH(F350,Prices_ID,0)),"")</f>
        <v>none</v>
      </c>
      <c r="N350" s="2" t="s">
        <v>1671</v>
      </c>
      <c r="O350" s="0" t="s">
        <v>1662</v>
      </c>
      <c r="P350" s="8" t="s">
        <v>1663</v>
      </c>
      <c r="Q350" s="0" t="s">
        <v>27</v>
      </c>
    </row>
    <row r="351" customFormat="false" ht="17.15" hidden="false" customHeight="false" outlineLevel="0" collapsed="false">
      <c r="A351" s="2" t="s">
        <v>1688</v>
      </c>
      <c r="B351" s="2" t="s">
        <v>1657</v>
      </c>
      <c r="C351" s="2" t="s">
        <v>939</v>
      </c>
      <c r="D351" s="2" t="s">
        <v>1658</v>
      </c>
      <c r="E351" s="2" t="s">
        <v>1679</v>
      </c>
      <c r="F351" s="2" t="s">
        <v>938</v>
      </c>
      <c r="G351" s="2" t="str">
        <f aca="false">IFERROR(INDEX(Prices_Item,MATCH(F351,Prices_ID,0)),"ITEM NOT FOUND")</f>
        <v>Pinol El Original pine cleaner 5.1 L</v>
      </c>
      <c r="H351" s="7" t="n">
        <v>0.2</v>
      </c>
      <c r="I351" s="2" t="s">
        <v>1675</v>
      </c>
      <c r="J351" s="3" t="n">
        <f aca="false">IFERROR(INDEX(Prices_Current,MATCH(F351,Prices_ID,0)),"")</f>
        <v>115</v>
      </c>
      <c r="K351" s="2" t="s">
        <v>1044</v>
      </c>
      <c r="L351" s="3" t="n">
        <f aca="false">IF(OR(H351="",NOT(ISNUMBER(J351))),"",H351*J351)</f>
        <v>23</v>
      </c>
      <c r="M351" s="2" t="str">
        <f aca="false">IFERROR(INDEX(Prices_Flag,MATCH(F351,Prices_ID,0)),"")</f>
        <v>none</v>
      </c>
      <c r="N351" s="2" t="s">
        <v>1671</v>
      </c>
      <c r="O351" s="0" t="s">
        <v>1662</v>
      </c>
      <c r="P351" s="8" t="s">
        <v>1663</v>
      </c>
      <c r="Q351" s="0" t="s">
        <v>27</v>
      </c>
    </row>
    <row r="352" customFormat="false" ht="17.15" hidden="false" customHeight="false" outlineLevel="0" collapsed="false">
      <c r="A352" s="2" t="s">
        <v>1689</v>
      </c>
      <c r="B352" s="2" t="s">
        <v>1657</v>
      </c>
      <c r="C352" s="2" t="s">
        <v>939</v>
      </c>
      <c r="D352" s="2" t="s">
        <v>1658</v>
      </c>
      <c r="E352" s="2" t="s">
        <v>1679</v>
      </c>
      <c r="F352" s="2" t="s">
        <v>1008</v>
      </c>
      <c r="G352" s="2" t="str">
        <f aca="false">IFERROR(INDEX(Prices_Item,MATCH(F352,Prices_ID,0)),"ITEM NOT FOUND")</f>
        <v>Nature's Miracle enzymatic stain and odor cleaner 3.7 L</v>
      </c>
      <c r="H352" s="7" t="n">
        <v>0.1</v>
      </c>
      <c r="I352" s="2" t="s">
        <v>1677</v>
      </c>
      <c r="J352" s="3" t="n">
        <f aca="false">IFERROR(INDEX(Prices_Current,MATCH(F352,Prices_ID,0)),"")</f>
        <v>799</v>
      </c>
      <c r="K352" s="2" t="s">
        <v>1044</v>
      </c>
      <c r="L352" s="3" t="n">
        <f aca="false">IF(OR(H352="",NOT(ISNUMBER(J352))),"",H352*J352)</f>
        <v>79.9</v>
      </c>
      <c r="M352" s="2" t="str">
        <f aca="false">IFERROR(INDEX(Prices_Flag,MATCH(F352,Prices_ID,0)),"")</f>
        <v>none</v>
      </c>
      <c r="N352" s="2" t="s">
        <v>1671</v>
      </c>
      <c r="O352" s="0" t="s">
        <v>1662</v>
      </c>
      <c r="P352" s="8" t="s">
        <v>1663</v>
      </c>
      <c r="Q352" s="0" t="s">
        <v>27</v>
      </c>
    </row>
    <row r="353" customFormat="false" ht="17.15" hidden="false" customHeight="false" outlineLevel="0" collapsed="false">
      <c r="A353" s="2" t="s">
        <v>1690</v>
      </c>
      <c r="B353" s="2" t="s">
        <v>1657</v>
      </c>
      <c r="C353" s="2" t="s">
        <v>939</v>
      </c>
      <c r="D353" s="2" t="s">
        <v>1658</v>
      </c>
      <c r="E353" s="2" t="s">
        <v>1691</v>
      </c>
      <c r="F353" s="2" t="s">
        <v>947</v>
      </c>
      <c r="G353" s="2" t="str">
        <f aca="false">IFERROR(INDEX(Prices_Item,MATCH(F353,Prices_ID,0)),"ITEM NOT FOUND")</f>
        <v>Fabuloso antibacterial multipurpose cleaner 5 L</v>
      </c>
      <c r="H353" s="7" t="n">
        <v>0.3</v>
      </c>
      <c r="I353" s="2" t="s">
        <v>1692</v>
      </c>
      <c r="J353" s="3" t="n">
        <f aca="false">IFERROR(INDEX(Prices_Current,MATCH(F353,Prices_ID,0)),"")</f>
        <v>155</v>
      </c>
      <c r="K353" s="2" t="s">
        <v>1100</v>
      </c>
      <c r="L353" s="3" t="n">
        <f aca="false">IF(OR(H353="",NOT(ISNUMBER(J353))),"",H353*J353)</f>
        <v>46.5</v>
      </c>
      <c r="M353" s="2" t="str">
        <f aca="false">IFERROR(INDEX(Prices_Flag,MATCH(F353,Prices_ID,0)),"")</f>
        <v>none</v>
      </c>
      <c r="N353" s="2" t="s">
        <v>1661</v>
      </c>
      <c r="O353" s="0" t="s">
        <v>1662</v>
      </c>
      <c r="P353" s="8" t="s">
        <v>1663</v>
      </c>
      <c r="Q353" s="0" t="s">
        <v>27</v>
      </c>
    </row>
    <row r="354" customFormat="false" ht="17.15" hidden="false" customHeight="false" outlineLevel="0" collapsed="false">
      <c r="A354" s="2" t="s">
        <v>1693</v>
      </c>
      <c r="B354" s="2" t="s">
        <v>1657</v>
      </c>
      <c r="C354" s="2" t="s">
        <v>939</v>
      </c>
      <c r="D354" s="2" t="s">
        <v>1658</v>
      </c>
      <c r="E354" s="2" t="s">
        <v>1691</v>
      </c>
      <c r="F354" s="2" t="s">
        <v>961</v>
      </c>
      <c r="G354" s="2" t="str">
        <f aca="false">IFERROR(INDEX(Prices_Item,MATCH(F354,Prices_ID,0)),"ITEM NOT FOUND")</f>
        <v>Mr Músculo kitchen degreaser 650 ml</v>
      </c>
      <c r="H354" s="7" t="n">
        <v>0.8</v>
      </c>
      <c r="I354" s="2" t="s">
        <v>1692</v>
      </c>
      <c r="J354" s="3" t="n">
        <f aca="false">IFERROR(INDEX(Prices_Current,MATCH(F354,Prices_ID,0)),"")</f>
        <v>64</v>
      </c>
      <c r="K354" s="2" t="s">
        <v>1100</v>
      </c>
      <c r="L354" s="3" t="n">
        <f aca="false">IF(OR(H354="",NOT(ISNUMBER(J354))),"",H354*J354)</f>
        <v>51.2</v>
      </c>
      <c r="M354" s="2" t="str">
        <f aca="false">IFERROR(INDEX(Prices_Flag,MATCH(F354,Prices_ID,0)),"")</f>
        <v>none</v>
      </c>
      <c r="N354" s="2" t="s">
        <v>1661</v>
      </c>
      <c r="O354" s="0" t="s">
        <v>1662</v>
      </c>
      <c r="P354" s="8" t="s">
        <v>1663</v>
      </c>
      <c r="Q354" s="0" t="s">
        <v>27</v>
      </c>
    </row>
    <row r="355" customFormat="false" ht="17.15" hidden="false" customHeight="false" outlineLevel="0" collapsed="false">
      <c r="A355" s="2" t="s">
        <v>1694</v>
      </c>
      <c r="B355" s="2" t="s">
        <v>1657</v>
      </c>
      <c r="C355" s="2" t="s">
        <v>939</v>
      </c>
      <c r="D355" s="2" t="s">
        <v>1658</v>
      </c>
      <c r="E355" s="2" t="s">
        <v>1691</v>
      </c>
      <c r="F355" s="2" t="s">
        <v>972</v>
      </c>
      <c r="G355" s="2" t="str">
        <f aca="false">IFERROR(INDEX(Prices_Item,MATCH(F355,Prices_ID,0)),"ITEM NOT FOUND")</f>
        <v>Mr Músculo daily shower cleaner 650 ml</v>
      </c>
      <c r="H355" s="7" t="n">
        <v>0.8</v>
      </c>
      <c r="I355" s="2" t="s">
        <v>1692</v>
      </c>
      <c r="J355" s="3" t="n">
        <f aca="false">IFERROR(INDEX(Prices_Current,MATCH(F355,Prices_ID,0)),"")</f>
        <v>63</v>
      </c>
      <c r="K355" s="2" t="s">
        <v>1100</v>
      </c>
      <c r="L355" s="3" t="n">
        <f aca="false">IF(OR(H355="",NOT(ISNUMBER(J355))),"",H355*J355)</f>
        <v>50.4</v>
      </c>
      <c r="M355" s="2" t="str">
        <f aca="false">IFERROR(INDEX(Prices_Flag,MATCH(F355,Prices_ID,0)),"")</f>
        <v>none</v>
      </c>
      <c r="N355" s="2" t="s">
        <v>1661</v>
      </c>
      <c r="O355" s="0" t="s">
        <v>1662</v>
      </c>
      <c r="P355" s="8" t="s">
        <v>1663</v>
      </c>
      <c r="Q355" s="0" t="s">
        <v>27</v>
      </c>
    </row>
    <row r="356" customFormat="false" ht="17.15" hidden="false" customHeight="false" outlineLevel="0" collapsed="false">
      <c r="A356" s="2" t="s">
        <v>1695</v>
      </c>
      <c r="B356" s="2" t="s">
        <v>1657</v>
      </c>
      <c r="C356" s="2" t="s">
        <v>939</v>
      </c>
      <c r="D356" s="2" t="s">
        <v>1658</v>
      </c>
      <c r="E356" s="2" t="s">
        <v>1691</v>
      </c>
      <c r="F356" s="2" t="s">
        <v>981</v>
      </c>
      <c r="G356" s="2" t="str">
        <f aca="false">IFERROR(INDEX(Prices_Item,MATCH(F356,Prices_ID,0)),"ITEM NOT FOUND")</f>
        <v>Windex ammonia-free glass cleaner 500 ml</v>
      </c>
      <c r="H356" s="7" t="n">
        <v>1</v>
      </c>
      <c r="I356" s="2" t="s">
        <v>1692</v>
      </c>
      <c r="J356" s="3" t="n">
        <f aca="false">IFERROR(INDEX(Prices_Current,MATCH(F356,Prices_ID,0)),"")</f>
        <v>24</v>
      </c>
      <c r="K356" s="2" t="s">
        <v>1100</v>
      </c>
      <c r="L356" s="3" t="n">
        <f aca="false">IF(OR(H356="",NOT(ISNUMBER(J356))),"",H356*J356)</f>
        <v>24</v>
      </c>
      <c r="M356" s="2" t="str">
        <f aca="false">IFERROR(INDEX(Prices_Flag,MATCH(F356,Prices_ID,0)),"")</f>
        <v>none</v>
      </c>
      <c r="N356" s="2" t="s">
        <v>1661</v>
      </c>
      <c r="O356" s="0" t="s">
        <v>1662</v>
      </c>
      <c r="P356" s="8" t="s">
        <v>1663</v>
      </c>
      <c r="Q356" s="0" t="s">
        <v>27</v>
      </c>
    </row>
    <row r="357" customFormat="false" ht="17.15" hidden="false" customHeight="false" outlineLevel="0" collapsed="false">
      <c r="A357" s="2" t="s">
        <v>1696</v>
      </c>
      <c r="B357" s="2" t="s">
        <v>1657</v>
      </c>
      <c r="C357" s="2" t="s">
        <v>939</v>
      </c>
      <c r="D357" s="2" t="s">
        <v>1658</v>
      </c>
      <c r="E357" s="2" t="s">
        <v>1691</v>
      </c>
      <c r="F357" s="2" t="s">
        <v>991</v>
      </c>
      <c r="G357" s="2" t="str">
        <f aca="false">IFERROR(INDEX(Prices_Item,MATCH(F357,Prices_ID,0)),"ITEM NOT FOUND")</f>
        <v>Lysol multipurpose disinfectant 5 L</v>
      </c>
      <c r="H357" s="7" t="n">
        <v>0.2</v>
      </c>
      <c r="I357" s="2" t="s">
        <v>1692</v>
      </c>
      <c r="J357" s="3" t="n">
        <f aca="false">IFERROR(INDEX(Prices_Current,MATCH(F357,Prices_ID,0)),"")</f>
        <v>126</v>
      </c>
      <c r="K357" s="2" t="s">
        <v>1100</v>
      </c>
      <c r="L357" s="3" t="n">
        <f aca="false">IF(OR(H357="",NOT(ISNUMBER(J357))),"",H357*J357)</f>
        <v>25.2</v>
      </c>
      <c r="M357" s="2" t="str">
        <f aca="false">IFERROR(INDEX(Prices_Flag,MATCH(F357,Prices_ID,0)),"")</f>
        <v>none</v>
      </c>
      <c r="N357" s="2" t="s">
        <v>1661</v>
      </c>
      <c r="O357" s="0" t="s">
        <v>1662</v>
      </c>
      <c r="P357" s="8" t="s">
        <v>1663</v>
      </c>
      <c r="Q357" s="0" t="s">
        <v>27</v>
      </c>
    </row>
    <row r="358" customFormat="false" ht="17.15" hidden="false" customHeight="false" outlineLevel="0" collapsed="false">
      <c r="A358" s="2" t="s">
        <v>1697</v>
      </c>
      <c r="B358" s="2" t="s">
        <v>1657</v>
      </c>
      <c r="C358" s="2" t="s">
        <v>939</v>
      </c>
      <c r="D358" s="2" t="s">
        <v>1658</v>
      </c>
      <c r="E358" s="2" t="s">
        <v>1691</v>
      </c>
      <c r="F358" s="2" t="s">
        <v>986</v>
      </c>
      <c r="G358" s="2" t="str">
        <f aca="false">IFERROR(INDEX(Prices_Item,MATCH(F358,Prices_ID,0)),"ITEM NOT FOUND")</f>
        <v>Great Value large microfiber cloth</v>
      </c>
      <c r="H358" s="7" t="n">
        <v>4</v>
      </c>
      <c r="I358" s="2" t="s">
        <v>1692</v>
      </c>
      <c r="J358" s="3" t="n">
        <f aca="false">IFERROR(INDEX(Prices_Current,MATCH(F358,Prices_ID,0)),"")</f>
        <v>29</v>
      </c>
      <c r="K358" s="2" t="s">
        <v>1100</v>
      </c>
      <c r="L358" s="3" t="n">
        <f aca="false">IF(OR(H358="",NOT(ISNUMBER(J358))),"",H358*J358)</f>
        <v>116</v>
      </c>
      <c r="M358" s="2" t="str">
        <f aca="false">IFERROR(INDEX(Prices_Flag,MATCH(F358,Prices_ID,0)),"")</f>
        <v>none</v>
      </c>
      <c r="N358" s="2" t="s">
        <v>1661</v>
      </c>
      <c r="O358" s="0" t="s">
        <v>1662</v>
      </c>
      <c r="P358" s="8" t="s">
        <v>1663</v>
      </c>
      <c r="Q358" s="0" t="s">
        <v>27</v>
      </c>
    </row>
    <row r="359" customFormat="false" ht="17.15" hidden="false" customHeight="false" outlineLevel="0" collapsed="false">
      <c r="A359" s="2" t="s">
        <v>1698</v>
      </c>
      <c r="B359" s="2" t="s">
        <v>1657</v>
      </c>
      <c r="C359" s="2" t="s">
        <v>939</v>
      </c>
      <c r="D359" s="2" t="s">
        <v>1658</v>
      </c>
      <c r="E359" s="2" t="s">
        <v>1691</v>
      </c>
      <c r="F359" s="2" t="s">
        <v>996</v>
      </c>
      <c r="G359" s="2" t="str">
        <f aca="false">IFERROR(INDEX(Prices_Item,MATCH(F359,Prices_ID,0)),"ITEM NOT FOUND")</f>
        <v>Easy-Off oven cleaner paste 238 g</v>
      </c>
      <c r="H359" s="7" t="n">
        <v>1</v>
      </c>
      <c r="I359" s="2" t="s">
        <v>1670</v>
      </c>
      <c r="J359" s="3" t="n">
        <f aca="false">IFERROR(INDEX(Prices_Current,MATCH(F359,Prices_ID,0)),"")</f>
        <v>70</v>
      </c>
      <c r="K359" s="2" t="s">
        <v>1044</v>
      </c>
      <c r="L359" s="3" t="n">
        <f aca="false">IF(OR(H359="",NOT(ISNUMBER(J359))),"",H359*J359)</f>
        <v>70</v>
      </c>
      <c r="M359" s="2" t="str">
        <f aca="false">IFERROR(INDEX(Prices_Flag,MATCH(F359,Prices_ID,0)),"")</f>
        <v>none</v>
      </c>
      <c r="N359" s="2" t="s">
        <v>1671</v>
      </c>
      <c r="O359" s="0" t="s">
        <v>1662</v>
      </c>
      <c r="P359" s="8" t="s">
        <v>1663</v>
      </c>
      <c r="Q359" s="0" t="s">
        <v>27</v>
      </c>
    </row>
    <row r="360" customFormat="false" ht="17.15" hidden="false" customHeight="false" outlineLevel="0" collapsed="false">
      <c r="A360" s="2" t="s">
        <v>1699</v>
      </c>
      <c r="B360" s="2" t="s">
        <v>1657</v>
      </c>
      <c r="C360" s="2" t="s">
        <v>939</v>
      </c>
      <c r="D360" s="2" t="s">
        <v>1658</v>
      </c>
      <c r="E360" s="2" t="s">
        <v>1691</v>
      </c>
      <c r="F360" s="2" t="s">
        <v>991</v>
      </c>
      <c r="G360" s="2" t="str">
        <f aca="false">IFERROR(INDEX(Prices_Item,MATCH(F360,Prices_ID,0)),"ITEM NOT FOUND")</f>
        <v>Lysol multipurpose disinfectant 5 L</v>
      </c>
      <c r="H360" s="7" t="n">
        <v>0.1</v>
      </c>
      <c r="I360" s="2" t="s">
        <v>1673</v>
      </c>
      <c r="J360" s="3" t="n">
        <f aca="false">IFERROR(INDEX(Prices_Current,MATCH(F360,Prices_ID,0)),"")</f>
        <v>126</v>
      </c>
      <c r="K360" s="2" t="s">
        <v>1044</v>
      </c>
      <c r="L360" s="3" t="n">
        <f aca="false">IF(OR(H360="",NOT(ISNUMBER(J360))),"",H360*J360)</f>
        <v>12.6</v>
      </c>
      <c r="M360" s="2" t="str">
        <f aca="false">IFERROR(INDEX(Prices_Flag,MATCH(F360,Prices_ID,0)),"")</f>
        <v>none</v>
      </c>
      <c r="N360" s="2" t="s">
        <v>1671</v>
      </c>
      <c r="O360" s="0" t="s">
        <v>1662</v>
      </c>
      <c r="P360" s="8" t="s">
        <v>1663</v>
      </c>
      <c r="Q360" s="0" t="s">
        <v>27</v>
      </c>
    </row>
    <row r="361" customFormat="false" ht="17.15" hidden="false" customHeight="false" outlineLevel="0" collapsed="false">
      <c r="A361" s="2" t="s">
        <v>1700</v>
      </c>
      <c r="B361" s="2" t="s">
        <v>1657</v>
      </c>
      <c r="C361" s="2" t="s">
        <v>939</v>
      </c>
      <c r="D361" s="2" t="s">
        <v>1658</v>
      </c>
      <c r="E361" s="2" t="s">
        <v>1691</v>
      </c>
      <c r="F361" s="2" t="s">
        <v>938</v>
      </c>
      <c r="G361" s="2" t="str">
        <f aca="false">IFERROR(INDEX(Prices_Item,MATCH(F361,Prices_ID,0)),"ITEM NOT FOUND")</f>
        <v>Pinol El Original pine cleaner 5.1 L</v>
      </c>
      <c r="H361" s="7" t="n">
        <v>0.2</v>
      </c>
      <c r="I361" s="2" t="s">
        <v>1675</v>
      </c>
      <c r="J361" s="3" t="n">
        <f aca="false">IFERROR(INDEX(Prices_Current,MATCH(F361,Prices_ID,0)),"")</f>
        <v>115</v>
      </c>
      <c r="K361" s="2" t="s">
        <v>1044</v>
      </c>
      <c r="L361" s="3" t="n">
        <f aca="false">IF(OR(H361="",NOT(ISNUMBER(J361))),"",H361*J361)</f>
        <v>23</v>
      </c>
      <c r="M361" s="2" t="str">
        <f aca="false">IFERROR(INDEX(Prices_Flag,MATCH(F361,Prices_ID,0)),"")</f>
        <v>none</v>
      </c>
      <c r="N361" s="2" t="s">
        <v>1671</v>
      </c>
      <c r="O361" s="0" t="s">
        <v>1662</v>
      </c>
      <c r="P361" s="8" t="s">
        <v>1663</v>
      </c>
      <c r="Q361" s="0" t="s">
        <v>27</v>
      </c>
    </row>
    <row r="362" customFormat="false" ht="17.15" hidden="false" customHeight="false" outlineLevel="0" collapsed="false">
      <c r="A362" s="2" t="s">
        <v>1701</v>
      </c>
      <c r="B362" s="2" t="s">
        <v>1657</v>
      </c>
      <c r="C362" s="2" t="s">
        <v>939</v>
      </c>
      <c r="D362" s="2" t="s">
        <v>1658</v>
      </c>
      <c r="E362" s="2" t="s">
        <v>1691</v>
      </c>
      <c r="F362" s="2" t="s">
        <v>1008</v>
      </c>
      <c r="G362" s="2" t="str">
        <f aca="false">IFERROR(INDEX(Prices_Item,MATCH(F362,Prices_ID,0)),"ITEM NOT FOUND")</f>
        <v>Nature's Miracle enzymatic stain and odor cleaner 3.7 L</v>
      </c>
      <c r="H362" s="7" t="n">
        <v>0.1</v>
      </c>
      <c r="I362" s="2" t="s">
        <v>1677</v>
      </c>
      <c r="J362" s="3" t="n">
        <f aca="false">IFERROR(INDEX(Prices_Current,MATCH(F362,Prices_ID,0)),"")</f>
        <v>799</v>
      </c>
      <c r="K362" s="2" t="s">
        <v>1044</v>
      </c>
      <c r="L362" s="3" t="n">
        <f aca="false">IF(OR(H362="",NOT(ISNUMBER(J362))),"",H362*J362)</f>
        <v>79.9</v>
      </c>
      <c r="M362" s="2" t="str">
        <f aca="false">IFERROR(INDEX(Prices_Flag,MATCH(F362,Prices_ID,0)),"")</f>
        <v>none</v>
      </c>
      <c r="N362" s="2" t="s">
        <v>1671</v>
      </c>
      <c r="O362" s="0" t="s">
        <v>1662</v>
      </c>
      <c r="P362" s="8" t="s">
        <v>1663</v>
      </c>
      <c r="Q362" s="0" t="s">
        <v>27</v>
      </c>
    </row>
    <row r="363" customFormat="false" ht="17.15" hidden="false" customHeight="false" outlineLevel="0" collapsed="false">
      <c r="A363" s="2" t="s">
        <v>1702</v>
      </c>
      <c r="B363" s="2" t="s">
        <v>1703</v>
      </c>
      <c r="C363" s="2" t="s">
        <v>939</v>
      </c>
      <c r="D363" s="2" t="s">
        <v>1704</v>
      </c>
      <c r="E363" s="2" t="s">
        <v>1659</v>
      </c>
      <c r="F363" s="2" t="s">
        <v>947</v>
      </c>
      <c r="G363" s="2" t="str">
        <f aca="false">IFERROR(INDEX(Prices_Item,MATCH(F363,Prices_ID,0)),"ITEM NOT FOUND")</f>
        <v>Fabuloso antibacterial multipurpose cleaner 5 L</v>
      </c>
      <c r="H363" s="7" t="n">
        <v>0.225</v>
      </c>
      <c r="I363" s="2" t="s">
        <v>1705</v>
      </c>
      <c r="J363" s="3" t="n">
        <f aca="false">IFERROR(INDEX(Prices_Current,MATCH(F363,Prices_ID,0)),"")</f>
        <v>155</v>
      </c>
      <c r="K363" s="2" t="s">
        <v>1100</v>
      </c>
      <c r="L363" s="3" t="n">
        <f aca="false">IF(OR(H363="",NOT(ISNUMBER(J363))),"",H363*J363)</f>
        <v>34.875</v>
      </c>
      <c r="M363" s="2" t="str">
        <f aca="false">IFERROR(INDEX(Prices_Flag,MATCH(F363,Prices_ID,0)),"")</f>
        <v>none</v>
      </c>
      <c r="N363" s="2" t="s">
        <v>1661</v>
      </c>
      <c r="O363" s="0" t="s">
        <v>1706</v>
      </c>
      <c r="P363" s="8" t="s">
        <v>1707</v>
      </c>
      <c r="Q363" s="0" t="s">
        <v>27</v>
      </c>
    </row>
    <row r="364" customFormat="false" ht="17.15" hidden="false" customHeight="false" outlineLevel="0" collapsed="false">
      <c r="A364" s="2" t="s">
        <v>1708</v>
      </c>
      <c r="B364" s="2" t="s">
        <v>1703</v>
      </c>
      <c r="C364" s="2" t="s">
        <v>939</v>
      </c>
      <c r="D364" s="2" t="s">
        <v>1704</v>
      </c>
      <c r="E364" s="2" t="s">
        <v>1659</v>
      </c>
      <c r="F364" s="2" t="s">
        <v>961</v>
      </c>
      <c r="G364" s="2" t="str">
        <f aca="false">IFERROR(INDEX(Prices_Item,MATCH(F364,Prices_ID,0)),"ITEM NOT FOUND")</f>
        <v>Mr Músculo kitchen degreaser 650 ml</v>
      </c>
      <c r="H364" s="7" t="n">
        <v>0.6</v>
      </c>
      <c r="I364" s="2" t="s">
        <v>1705</v>
      </c>
      <c r="J364" s="3" t="n">
        <f aca="false">IFERROR(INDEX(Prices_Current,MATCH(F364,Prices_ID,0)),"")</f>
        <v>64</v>
      </c>
      <c r="K364" s="2" t="s">
        <v>1100</v>
      </c>
      <c r="L364" s="3" t="n">
        <f aca="false">IF(OR(H364="",NOT(ISNUMBER(J364))),"",H364*J364)</f>
        <v>38.4</v>
      </c>
      <c r="M364" s="2" t="str">
        <f aca="false">IFERROR(INDEX(Prices_Flag,MATCH(F364,Prices_ID,0)),"")</f>
        <v>none</v>
      </c>
      <c r="N364" s="2" t="s">
        <v>1661</v>
      </c>
      <c r="O364" s="0" t="s">
        <v>1706</v>
      </c>
      <c r="P364" s="8" t="s">
        <v>1707</v>
      </c>
      <c r="Q364" s="0" t="s">
        <v>27</v>
      </c>
    </row>
    <row r="365" customFormat="false" ht="17.15" hidden="false" customHeight="false" outlineLevel="0" collapsed="false">
      <c r="A365" s="2" t="s">
        <v>1709</v>
      </c>
      <c r="B365" s="2" t="s">
        <v>1703</v>
      </c>
      <c r="C365" s="2" t="s">
        <v>939</v>
      </c>
      <c r="D365" s="2" t="s">
        <v>1704</v>
      </c>
      <c r="E365" s="2" t="s">
        <v>1659</v>
      </c>
      <c r="F365" s="2" t="s">
        <v>972</v>
      </c>
      <c r="G365" s="2" t="str">
        <f aca="false">IFERROR(INDEX(Prices_Item,MATCH(F365,Prices_ID,0)),"ITEM NOT FOUND")</f>
        <v>Mr Músculo daily shower cleaner 650 ml</v>
      </c>
      <c r="H365" s="7" t="n">
        <v>0.6</v>
      </c>
      <c r="I365" s="2" t="s">
        <v>1705</v>
      </c>
      <c r="J365" s="3" t="n">
        <f aca="false">IFERROR(INDEX(Prices_Current,MATCH(F365,Prices_ID,0)),"")</f>
        <v>63</v>
      </c>
      <c r="K365" s="2" t="s">
        <v>1100</v>
      </c>
      <c r="L365" s="3" t="n">
        <f aca="false">IF(OR(H365="",NOT(ISNUMBER(J365))),"",H365*J365)</f>
        <v>37.8</v>
      </c>
      <c r="M365" s="2" t="str">
        <f aca="false">IFERROR(INDEX(Prices_Flag,MATCH(F365,Prices_ID,0)),"")</f>
        <v>none</v>
      </c>
      <c r="N365" s="2" t="s">
        <v>1661</v>
      </c>
      <c r="O365" s="0" t="s">
        <v>1706</v>
      </c>
      <c r="P365" s="8" t="s">
        <v>1707</v>
      </c>
      <c r="Q365" s="0" t="s">
        <v>27</v>
      </c>
    </row>
    <row r="366" customFormat="false" ht="17.15" hidden="false" customHeight="false" outlineLevel="0" collapsed="false">
      <c r="A366" s="2" t="s">
        <v>1710</v>
      </c>
      <c r="B366" s="2" t="s">
        <v>1703</v>
      </c>
      <c r="C366" s="2" t="s">
        <v>939</v>
      </c>
      <c r="D366" s="2" t="s">
        <v>1704</v>
      </c>
      <c r="E366" s="2" t="s">
        <v>1659</v>
      </c>
      <c r="F366" s="2" t="s">
        <v>981</v>
      </c>
      <c r="G366" s="2" t="str">
        <f aca="false">IFERROR(INDEX(Prices_Item,MATCH(F366,Prices_ID,0)),"ITEM NOT FOUND")</f>
        <v>Windex ammonia-free glass cleaner 500 ml</v>
      </c>
      <c r="H366" s="7" t="n">
        <v>0.75</v>
      </c>
      <c r="I366" s="2" t="s">
        <v>1705</v>
      </c>
      <c r="J366" s="3" t="n">
        <f aca="false">IFERROR(INDEX(Prices_Current,MATCH(F366,Prices_ID,0)),"")</f>
        <v>24</v>
      </c>
      <c r="K366" s="2" t="s">
        <v>1100</v>
      </c>
      <c r="L366" s="3" t="n">
        <f aca="false">IF(OR(H366="",NOT(ISNUMBER(J366))),"",H366*J366)</f>
        <v>18</v>
      </c>
      <c r="M366" s="2" t="str">
        <f aca="false">IFERROR(INDEX(Prices_Flag,MATCH(F366,Prices_ID,0)),"")</f>
        <v>none</v>
      </c>
      <c r="N366" s="2" t="s">
        <v>1661</v>
      </c>
      <c r="O366" s="0" t="s">
        <v>1706</v>
      </c>
      <c r="P366" s="8" t="s">
        <v>1707</v>
      </c>
      <c r="Q366" s="0" t="s">
        <v>27</v>
      </c>
    </row>
    <row r="367" customFormat="false" ht="17.15" hidden="false" customHeight="false" outlineLevel="0" collapsed="false">
      <c r="A367" s="2" t="s">
        <v>1711</v>
      </c>
      <c r="B367" s="2" t="s">
        <v>1703</v>
      </c>
      <c r="C367" s="2" t="s">
        <v>939</v>
      </c>
      <c r="D367" s="2" t="s">
        <v>1704</v>
      </c>
      <c r="E367" s="2" t="s">
        <v>1659</v>
      </c>
      <c r="F367" s="2" t="s">
        <v>991</v>
      </c>
      <c r="G367" s="2" t="str">
        <f aca="false">IFERROR(INDEX(Prices_Item,MATCH(F367,Prices_ID,0)),"ITEM NOT FOUND")</f>
        <v>Lysol multipurpose disinfectant 5 L</v>
      </c>
      <c r="H367" s="7" t="n">
        <v>0.15</v>
      </c>
      <c r="I367" s="2" t="s">
        <v>1705</v>
      </c>
      <c r="J367" s="3" t="n">
        <f aca="false">IFERROR(INDEX(Prices_Current,MATCH(F367,Prices_ID,0)),"")</f>
        <v>126</v>
      </c>
      <c r="K367" s="2" t="s">
        <v>1100</v>
      </c>
      <c r="L367" s="3" t="n">
        <f aca="false">IF(OR(H367="",NOT(ISNUMBER(J367))),"",H367*J367)</f>
        <v>18.9</v>
      </c>
      <c r="M367" s="2" t="str">
        <f aca="false">IFERROR(INDEX(Prices_Flag,MATCH(F367,Prices_ID,0)),"")</f>
        <v>none</v>
      </c>
      <c r="N367" s="2" t="s">
        <v>1661</v>
      </c>
      <c r="O367" s="0" t="s">
        <v>1706</v>
      </c>
      <c r="P367" s="8" t="s">
        <v>1707</v>
      </c>
      <c r="Q367" s="0" t="s">
        <v>27</v>
      </c>
    </row>
    <row r="368" customFormat="false" ht="17.15" hidden="false" customHeight="false" outlineLevel="0" collapsed="false">
      <c r="A368" s="2" t="s">
        <v>1712</v>
      </c>
      <c r="B368" s="2" t="s">
        <v>1703</v>
      </c>
      <c r="C368" s="2" t="s">
        <v>939</v>
      </c>
      <c r="D368" s="2" t="s">
        <v>1704</v>
      </c>
      <c r="E368" s="2" t="s">
        <v>1659</v>
      </c>
      <c r="F368" s="2" t="s">
        <v>986</v>
      </c>
      <c r="G368" s="2" t="str">
        <f aca="false">IFERROR(INDEX(Prices_Item,MATCH(F368,Prices_ID,0)),"ITEM NOT FOUND")</f>
        <v>Great Value large microfiber cloth</v>
      </c>
      <c r="H368" s="7" t="n">
        <v>3</v>
      </c>
      <c r="I368" s="2" t="s">
        <v>1705</v>
      </c>
      <c r="J368" s="3" t="n">
        <f aca="false">IFERROR(INDEX(Prices_Current,MATCH(F368,Prices_ID,0)),"")</f>
        <v>29</v>
      </c>
      <c r="K368" s="2" t="s">
        <v>1100</v>
      </c>
      <c r="L368" s="3" t="n">
        <f aca="false">IF(OR(H368="",NOT(ISNUMBER(J368))),"",H368*J368)</f>
        <v>87</v>
      </c>
      <c r="M368" s="2" t="str">
        <f aca="false">IFERROR(INDEX(Prices_Flag,MATCH(F368,Prices_ID,0)),"")</f>
        <v>none</v>
      </c>
      <c r="N368" s="2" t="s">
        <v>1661</v>
      </c>
      <c r="O368" s="0" t="s">
        <v>1706</v>
      </c>
      <c r="P368" s="8" t="s">
        <v>1707</v>
      </c>
      <c r="Q368" s="0" t="s">
        <v>27</v>
      </c>
    </row>
    <row r="369" customFormat="false" ht="17.15" hidden="false" customHeight="false" outlineLevel="0" collapsed="false">
      <c r="A369" s="2" t="s">
        <v>1713</v>
      </c>
      <c r="B369" s="2" t="s">
        <v>1703</v>
      </c>
      <c r="C369" s="2" t="s">
        <v>939</v>
      </c>
      <c r="D369" s="2" t="s">
        <v>1704</v>
      </c>
      <c r="E369" s="2" t="s">
        <v>1659</v>
      </c>
      <c r="F369" s="2" t="s">
        <v>996</v>
      </c>
      <c r="G369" s="2" t="str">
        <f aca="false">IFERROR(INDEX(Prices_Item,MATCH(F369,Prices_ID,0)),"ITEM NOT FOUND")</f>
        <v>Easy-Off oven cleaner paste 238 g</v>
      </c>
      <c r="H369" s="7" t="n">
        <v>1</v>
      </c>
      <c r="I369" s="2" t="s">
        <v>1670</v>
      </c>
      <c r="J369" s="3" t="n">
        <f aca="false">IFERROR(INDEX(Prices_Current,MATCH(F369,Prices_ID,0)),"")</f>
        <v>70</v>
      </c>
      <c r="K369" s="2" t="s">
        <v>1044</v>
      </c>
      <c r="L369" s="3" t="n">
        <f aca="false">IF(OR(H369="",NOT(ISNUMBER(J369))),"",H369*J369)</f>
        <v>70</v>
      </c>
      <c r="M369" s="2" t="str">
        <f aca="false">IFERROR(INDEX(Prices_Flag,MATCH(F369,Prices_ID,0)),"")</f>
        <v>none</v>
      </c>
      <c r="N369" s="2" t="s">
        <v>1671</v>
      </c>
      <c r="O369" s="0" t="s">
        <v>1706</v>
      </c>
      <c r="P369" s="8" t="s">
        <v>1707</v>
      </c>
      <c r="Q369" s="0" t="s">
        <v>27</v>
      </c>
    </row>
    <row r="370" customFormat="false" ht="17.15" hidden="false" customHeight="false" outlineLevel="0" collapsed="false">
      <c r="A370" s="2" t="s">
        <v>1714</v>
      </c>
      <c r="B370" s="2" t="s">
        <v>1703</v>
      </c>
      <c r="C370" s="2" t="s">
        <v>939</v>
      </c>
      <c r="D370" s="2" t="s">
        <v>1704</v>
      </c>
      <c r="E370" s="2" t="s">
        <v>1659</v>
      </c>
      <c r="F370" s="2" t="s">
        <v>991</v>
      </c>
      <c r="G370" s="2" t="str">
        <f aca="false">IFERROR(INDEX(Prices_Item,MATCH(F370,Prices_ID,0)),"ITEM NOT FOUND")</f>
        <v>Lysol multipurpose disinfectant 5 L</v>
      </c>
      <c r="H370" s="7" t="n">
        <v>0.1</v>
      </c>
      <c r="I370" s="2" t="s">
        <v>1673</v>
      </c>
      <c r="J370" s="3" t="n">
        <f aca="false">IFERROR(INDEX(Prices_Current,MATCH(F370,Prices_ID,0)),"")</f>
        <v>126</v>
      </c>
      <c r="K370" s="2" t="s">
        <v>1044</v>
      </c>
      <c r="L370" s="3" t="n">
        <f aca="false">IF(OR(H370="",NOT(ISNUMBER(J370))),"",H370*J370)</f>
        <v>12.6</v>
      </c>
      <c r="M370" s="2" t="str">
        <f aca="false">IFERROR(INDEX(Prices_Flag,MATCH(F370,Prices_ID,0)),"")</f>
        <v>none</v>
      </c>
      <c r="N370" s="2" t="s">
        <v>1671</v>
      </c>
      <c r="O370" s="0" t="s">
        <v>1706</v>
      </c>
      <c r="P370" s="8" t="s">
        <v>1707</v>
      </c>
      <c r="Q370" s="0" t="s">
        <v>27</v>
      </c>
    </row>
    <row r="371" customFormat="false" ht="17.15" hidden="false" customHeight="false" outlineLevel="0" collapsed="false">
      <c r="A371" s="2" t="s">
        <v>1715</v>
      </c>
      <c r="B371" s="2" t="s">
        <v>1703</v>
      </c>
      <c r="C371" s="2" t="s">
        <v>939</v>
      </c>
      <c r="D371" s="2" t="s">
        <v>1704</v>
      </c>
      <c r="E371" s="2" t="s">
        <v>1659</v>
      </c>
      <c r="F371" s="2" t="s">
        <v>938</v>
      </c>
      <c r="G371" s="2" t="str">
        <f aca="false">IFERROR(INDEX(Prices_Item,MATCH(F371,Prices_ID,0)),"ITEM NOT FOUND")</f>
        <v>Pinol El Original pine cleaner 5.1 L</v>
      </c>
      <c r="H371" s="7" t="n">
        <v>0.2</v>
      </c>
      <c r="I371" s="2" t="s">
        <v>1675</v>
      </c>
      <c r="J371" s="3" t="n">
        <f aca="false">IFERROR(INDEX(Prices_Current,MATCH(F371,Prices_ID,0)),"")</f>
        <v>115</v>
      </c>
      <c r="K371" s="2" t="s">
        <v>1044</v>
      </c>
      <c r="L371" s="3" t="n">
        <f aca="false">IF(OR(H371="",NOT(ISNUMBER(J371))),"",H371*J371)</f>
        <v>23</v>
      </c>
      <c r="M371" s="2" t="str">
        <f aca="false">IFERROR(INDEX(Prices_Flag,MATCH(F371,Prices_ID,0)),"")</f>
        <v>none</v>
      </c>
      <c r="N371" s="2" t="s">
        <v>1671</v>
      </c>
      <c r="O371" s="0" t="s">
        <v>1706</v>
      </c>
      <c r="P371" s="8" t="s">
        <v>1707</v>
      </c>
      <c r="Q371" s="0" t="s">
        <v>27</v>
      </c>
    </row>
    <row r="372" customFormat="false" ht="17.15" hidden="false" customHeight="false" outlineLevel="0" collapsed="false">
      <c r="A372" s="2" t="s">
        <v>1716</v>
      </c>
      <c r="B372" s="2" t="s">
        <v>1703</v>
      </c>
      <c r="C372" s="2" t="s">
        <v>939</v>
      </c>
      <c r="D372" s="2" t="s">
        <v>1704</v>
      </c>
      <c r="E372" s="2" t="s">
        <v>1659</v>
      </c>
      <c r="F372" s="2" t="s">
        <v>1008</v>
      </c>
      <c r="G372" s="2" t="str">
        <f aca="false">IFERROR(INDEX(Prices_Item,MATCH(F372,Prices_ID,0)),"ITEM NOT FOUND")</f>
        <v>Nature's Miracle enzymatic stain and odor cleaner 3.7 L</v>
      </c>
      <c r="H372" s="7" t="n">
        <v>0.1</v>
      </c>
      <c r="I372" s="2" t="s">
        <v>1677</v>
      </c>
      <c r="J372" s="3" t="n">
        <f aca="false">IFERROR(INDEX(Prices_Current,MATCH(F372,Prices_ID,0)),"")</f>
        <v>799</v>
      </c>
      <c r="K372" s="2" t="s">
        <v>1044</v>
      </c>
      <c r="L372" s="3" t="n">
        <f aca="false">IF(OR(H372="",NOT(ISNUMBER(J372))),"",H372*J372)</f>
        <v>79.9</v>
      </c>
      <c r="M372" s="2" t="str">
        <f aca="false">IFERROR(INDEX(Prices_Flag,MATCH(F372,Prices_ID,0)),"")</f>
        <v>none</v>
      </c>
      <c r="N372" s="2" t="s">
        <v>1671</v>
      </c>
      <c r="O372" s="0" t="s">
        <v>1706</v>
      </c>
      <c r="P372" s="8" t="s">
        <v>1707</v>
      </c>
      <c r="Q372" s="0" t="s">
        <v>27</v>
      </c>
    </row>
    <row r="373" customFormat="false" ht="17.15" hidden="false" customHeight="false" outlineLevel="0" collapsed="false">
      <c r="A373" s="2" t="s">
        <v>1717</v>
      </c>
      <c r="B373" s="2" t="s">
        <v>1703</v>
      </c>
      <c r="C373" s="2" t="s">
        <v>939</v>
      </c>
      <c r="D373" s="2" t="s">
        <v>1704</v>
      </c>
      <c r="E373" s="2" t="s">
        <v>1659</v>
      </c>
      <c r="F373" s="2" t="s">
        <v>1020</v>
      </c>
      <c r="G373" s="2" t="str">
        <f aca="false">IFERROR(INDEX(Prices_Item,MATCH(F373,Prices_ID,0)),"ITEM NOT FOUND")</f>
        <v>Mold / biohazard cleanup</v>
      </c>
      <c r="H373" s="7"/>
      <c r="I373" s="2" t="s">
        <v>1718</v>
      </c>
      <c r="J373" s="3" t="str">
        <f aca="false">IFERROR(INDEX(Prices_Current,MATCH(F373,Prices_ID,0)),"")</f>
        <v/>
      </c>
      <c r="K373" s="2" t="s">
        <v>1061</v>
      </c>
      <c r="L373" s="3" t="str">
        <f aca="false">IF(OR(H373="",NOT(ISNUMBER(J373))),"",H373*J373)</f>
        <v/>
      </c>
      <c r="M373" s="2" t="str">
        <f aca="false">IFERROR(INDEX(Prices_Flag,MATCH(F373,Prices_ID,0)),"")</f>
        <v>FLAGGED-human review</v>
      </c>
      <c r="N373" s="2" t="s">
        <v>1719</v>
      </c>
      <c r="O373" s="0" t="s">
        <v>1706</v>
      </c>
      <c r="P373" s="8" t="s">
        <v>1707</v>
      </c>
      <c r="Q373" s="0" t="s">
        <v>1044</v>
      </c>
    </row>
    <row r="374" customFormat="false" ht="17.15" hidden="false" customHeight="false" outlineLevel="0" collapsed="false">
      <c r="A374" s="2" t="s">
        <v>1720</v>
      </c>
      <c r="B374" s="2" t="s">
        <v>1703</v>
      </c>
      <c r="C374" s="2" t="s">
        <v>939</v>
      </c>
      <c r="D374" s="2" t="s">
        <v>1704</v>
      </c>
      <c r="E374" s="2" t="s">
        <v>1679</v>
      </c>
      <c r="F374" s="2" t="s">
        <v>947</v>
      </c>
      <c r="G374" s="2" t="str">
        <f aca="false">IFERROR(INDEX(Prices_Item,MATCH(F374,Prices_ID,0)),"ITEM NOT FOUND")</f>
        <v>Fabuloso antibacterial multipurpose cleaner 5 L</v>
      </c>
      <c r="H374" s="7" t="n">
        <v>0.3375</v>
      </c>
      <c r="I374" s="2" t="s">
        <v>1721</v>
      </c>
      <c r="J374" s="3" t="n">
        <f aca="false">IFERROR(INDEX(Prices_Current,MATCH(F374,Prices_ID,0)),"")</f>
        <v>155</v>
      </c>
      <c r="K374" s="2" t="s">
        <v>1100</v>
      </c>
      <c r="L374" s="3" t="n">
        <f aca="false">IF(OR(H374="",NOT(ISNUMBER(J374))),"",H374*J374)</f>
        <v>52.3125</v>
      </c>
      <c r="M374" s="2" t="str">
        <f aca="false">IFERROR(INDEX(Prices_Flag,MATCH(F374,Prices_ID,0)),"")</f>
        <v>none</v>
      </c>
      <c r="N374" s="2" t="s">
        <v>1661</v>
      </c>
      <c r="O374" s="0" t="s">
        <v>1706</v>
      </c>
      <c r="P374" s="8" t="s">
        <v>1707</v>
      </c>
      <c r="Q374" s="0" t="s">
        <v>27</v>
      </c>
    </row>
    <row r="375" customFormat="false" ht="17.15" hidden="false" customHeight="false" outlineLevel="0" collapsed="false">
      <c r="A375" s="2" t="s">
        <v>1722</v>
      </c>
      <c r="B375" s="2" t="s">
        <v>1703</v>
      </c>
      <c r="C375" s="2" t="s">
        <v>939</v>
      </c>
      <c r="D375" s="2" t="s">
        <v>1704</v>
      </c>
      <c r="E375" s="2" t="s">
        <v>1679</v>
      </c>
      <c r="F375" s="2" t="s">
        <v>961</v>
      </c>
      <c r="G375" s="2" t="str">
        <f aca="false">IFERROR(INDEX(Prices_Item,MATCH(F375,Prices_ID,0)),"ITEM NOT FOUND")</f>
        <v>Mr Músculo kitchen degreaser 650 ml</v>
      </c>
      <c r="H375" s="7" t="n">
        <v>0.9</v>
      </c>
      <c r="I375" s="2" t="s">
        <v>1721</v>
      </c>
      <c r="J375" s="3" t="n">
        <f aca="false">IFERROR(INDEX(Prices_Current,MATCH(F375,Prices_ID,0)),"")</f>
        <v>64</v>
      </c>
      <c r="K375" s="2" t="s">
        <v>1100</v>
      </c>
      <c r="L375" s="3" t="n">
        <f aca="false">IF(OR(H375="",NOT(ISNUMBER(J375))),"",H375*J375)</f>
        <v>57.6</v>
      </c>
      <c r="M375" s="2" t="str">
        <f aca="false">IFERROR(INDEX(Prices_Flag,MATCH(F375,Prices_ID,0)),"")</f>
        <v>none</v>
      </c>
      <c r="N375" s="2" t="s">
        <v>1661</v>
      </c>
      <c r="O375" s="0" t="s">
        <v>1706</v>
      </c>
      <c r="P375" s="8" t="s">
        <v>1707</v>
      </c>
      <c r="Q375" s="0" t="s">
        <v>27</v>
      </c>
    </row>
    <row r="376" customFormat="false" ht="17.15" hidden="false" customHeight="false" outlineLevel="0" collapsed="false">
      <c r="A376" s="2" t="s">
        <v>1723</v>
      </c>
      <c r="B376" s="2" t="s">
        <v>1703</v>
      </c>
      <c r="C376" s="2" t="s">
        <v>939</v>
      </c>
      <c r="D376" s="2" t="s">
        <v>1704</v>
      </c>
      <c r="E376" s="2" t="s">
        <v>1679</v>
      </c>
      <c r="F376" s="2" t="s">
        <v>972</v>
      </c>
      <c r="G376" s="2" t="str">
        <f aca="false">IFERROR(INDEX(Prices_Item,MATCH(F376,Prices_ID,0)),"ITEM NOT FOUND")</f>
        <v>Mr Músculo daily shower cleaner 650 ml</v>
      </c>
      <c r="H376" s="7" t="n">
        <v>0.9</v>
      </c>
      <c r="I376" s="2" t="s">
        <v>1721</v>
      </c>
      <c r="J376" s="3" t="n">
        <f aca="false">IFERROR(INDEX(Prices_Current,MATCH(F376,Prices_ID,0)),"")</f>
        <v>63</v>
      </c>
      <c r="K376" s="2" t="s">
        <v>1100</v>
      </c>
      <c r="L376" s="3" t="n">
        <f aca="false">IF(OR(H376="",NOT(ISNUMBER(J376))),"",H376*J376)</f>
        <v>56.7</v>
      </c>
      <c r="M376" s="2" t="str">
        <f aca="false">IFERROR(INDEX(Prices_Flag,MATCH(F376,Prices_ID,0)),"")</f>
        <v>none</v>
      </c>
      <c r="N376" s="2" t="s">
        <v>1661</v>
      </c>
      <c r="O376" s="0" t="s">
        <v>1706</v>
      </c>
      <c r="P376" s="8" t="s">
        <v>1707</v>
      </c>
      <c r="Q376" s="0" t="s">
        <v>27</v>
      </c>
    </row>
    <row r="377" customFormat="false" ht="17.15" hidden="false" customHeight="false" outlineLevel="0" collapsed="false">
      <c r="A377" s="2" t="s">
        <v>1724</v>
      </c>
      <c r="B377" s="2" t="s">
        <v>1703</v>
      </c>
      <c r="C377" s="2" t="s">
        <v>939</v>
      </c>
      <c r="D377" s="2" t="s">
        <v>1704</v>
      </c>
      <c r="E377" s="2" t="s">
        <v>1679</v>
      </c>
      <c r="F377" s="2" t="s">
        <v>981</v>
      </c>
      <c r="G377" s="2" t="str">
        <f aca="false">IFERROR(INDEX(Prices_Item,MATCH(F377,Prices_ID,0)),"ITEM NOT FOUND")</f>
        <v>Windex ammonia-free glass cleaner 500 ml</v>
      </c>
      <c r="H377" s="7" t="n">
        <v>1.125</v>
      </c>
      <c r="I377" s="2" t="s">
        <v>1721</v>
      </c>
      <c r="J377" s="3" t="n">
        <f aca="false">IFERROR(INDEX(Prices_Current,MATCH(F377,Prices_ID,0)),"")</f>
        <v>24</v>
      </c>
      <c r="K377" s="2" t="s">
        <v>1100</v>
      </c>
      <c r="L377" s="3" t="n">
        <f aca="false">IF(OR(H377="",NOT(ISNUMBER(J377))),"",H377*J377)</f>
        <v>27</v>
      </c>
      <c r="M377" s="2" t="str">
        <f aca="false">IFERROR(INDEX(Prices_Flag,MATCH(F377,Prices_ID,0)),"")</f>
        <v>none</v>
      </c>
      <c r="N377" s="2" t="s">
        <v>1661</v>
      </c>
      <c r="O377" s="0" t="s">
        <v>1706</v>
      </c>
      <c r="P377" s="8" t="s">
        <v>1707</v>
      </c>
      <c r="Q377" s="0" t="s">
        <v>27</v>
      </c>
    </row>
    <row r="378" customFormat="false" ht="17.15" hidden="false" customHeight="false" outlineLevel="0" collapsed="false">
      <c r="A378" s="2" t="s">
        <v>1725</v>
      </c>
      <c r="B378" s="2" t="s">
        <v>1703</v>
      </c>
      <c r="C378" s="2" t="s">
        <v>939</v>
      </c>
      <c r="D378" s="2" t="s">
        <v>1704</v>
      </c>
      <c r="E378" s="2" t="s">
        <v>1679</v>
      </c>
      <c r="F378" s="2" t="s">
        <v>991</v>
      </c>
      <c r="G378" s="2" t="str">
        <f aca="false">IFERROR(INDEX(Prices_Item,MATCH(F378,Prices_ID,0)),"ITEM NOT FOUND")</f>
        <v>Lysol multipurpose disinfectant 5 L</v>
      </c>
      <c r="H378" s="7" t="n">
        <v>0.225</v>
      </c>
      <c r="I378" s="2" t="s">
        <v>1721</v>
      </c>
      <c r="J378" s="3" t="n">
        <f aca="false">IFERROR(INDEX(Prices_Current,MATCH(F378,Prices_ID,0)),"")</f>
        <v>126</v>
      </c>
      <c r="K378" s="2" t="s">
        <v>1100</v>
      </c>
      <c r="L378" s="3" t="n">
        <f aca="false">IF(OR(H378="",NOT(ISNUMBER(J378))),"",H378*J378)</f>
        <v>28.35</v>
      </c>
      <c r="M378" s="2" t="str">
        <f aca="false">IFERROR(INDEX(Prices_Flag,MATCH(F378,Prices_ID,0)),"")</f>
        <v>none</v>
      </c>
      <c r="N378" s="2" t="s">
        <v>1661</v>
      </c>
      <c r="O378" s="0" t="s">
        <v>1706</v>
      </c>
      <c r="P378" s="8" t="s">
        <v>1707</v>
      </c>
      <c r="Q378" s="0" t="s">
        <v>27</v>
      </c>
    </row>
    <row r="379" customFormat="false" ht="17.15" hidden="false" customHeight="false" outlineLevel="0" collapsed="false">
      <c r="A379" s="2" t="s">
        <v>1726</v>
      </c>
      <c r="B379" s="2" t="s">
        <v>1703</v>
      </c>
      <c r="C379" s="2" t="s">
        <v>939</v>
      </c>
      <c r="D379" s="2" t="s">
        <v>1704</v>
      </c>
      <c r="E379" s="2" t="s">
        <v>1679</v>
      </c>
      <c r="F379" s="2" t="s">
        <v>986</v>
      </c>
      <c r="G379" s="2" t="str">
        <f aca="false">IFERROR(INDEX(Prices_Item,MATCH(F379,Prices_ID,0)),"ITEM NOT FOUND")</f>
        <v>Great Value large microfiber cloth</v>
      </c>
      <c r="H379" s="7" t="n">
        <v>4.5</v>
      </c>
      <c r="I379" s="2" t="s">
        <v>1721</v>
      </c>
      <c r="J379" s="3" t="n">
        <f aca="false">IFERROR(INDEX(Prices_Current,MATCH(F379,Prices_ID,0)),"")</f>
        <v>29</v>
      </c>
      <c r="K379" s="2" t="s">
        <v>1100</v>
      </c>
      <c r="L379" s="3" t="n">
        <f aca="false">IF(OR(H379="",NOT(ISNUMBER(J379))),"",H379*J379)</f>
        <v>130.5</v>
      </c>
      <c r="M379" s="2" t="str">
        <f aca="false">IFERROR(INDEX(Prices_Flag,MATCH(F379,Prices_ID,0)),"")</f>
        <v>none</v>
      </c>
      <c r="N379" s="2" t="s">
        <v>1661</v>
      </c>
      <c r="O379" s="0" t="s">
        <v>1706</v>
      </c>
      <c r="P379" s="8" t="s">
        <v>1707</v>
      </c>
      <c r="Q379" s="0" t="s">
        <v>27</v>
      </c>
    </row>
    <row r="380" customFormat="false" ht="17.15" hidden="false" customHeight="false" outlineLevel="0" collapsed="false">
      <c r="A380" s="2" t="s">
        <v>1727</v>
      </c>
      <c r="B380" s="2" t="s">
        <v>1703</v>
      </c>
      <c r="C380" s="2" t="s">
        <v>939</v>
      </c>
      <c r="D380" s="2" t="s">
        <v>1704</v>
      </c>
      <c r="E380" s="2" t="s">
        <v>1679</v>
      </c>
      <c r="F380" s="2" t="s">
        <v>996</v>
      </c>
      <c r="G380" s="2" t="str">
        <f aca="false">IFERROR(INDEX(Prices_Item,MATCH(F380,Prices_ID,0)),"ITEM NOT FOUND")</f>
        <v>Easy-Off oven cleaner paste 238 g</v>
      </c>
      <c r="H380" s="7" t="n">
        <v>1</v>
      </c>
      <c r="I380" s="2" t="s">
        <v>1670</v>
      </c>
      <c r="J380" s="3" t="n">
        <f aca="false">IFERROR(INDEX(Prices_Current,MATCH(F380,Prices_ID,0)),"")</f>
        <v>70</v>
      </c>
      <c r="K380" s="2" t="s">
        <v>1044</v>
      </c>
      <c r="L380" s="3" t="n">
        <f aca="false">IF(OR(H380="",NOT(ISNUMBER(J380))),"",H380*J380)</f>
        <v>70</v>
      </c>
      <c r="M380" s="2" t="str">
        <f aca="false">IFERROR(INDEX(Prices_Flag,MATCH(F380,Prices_ID,0)),"")</f>
        <v>none</v>
      </c>
      <c r="N380" s="2" t="s">
        <v>1671</v>
      </c>
      <c r="O380" s="0" t="s">
        <v>1706</v>
      </c>
      <c r="P380" s="8" t="s">
        <v>1707</v>
      </c>
      <c r="Q380" s="0" t="s">
        <v>27</v>
      </c>
    </row>
    <row r="381" customFormat="false" ht="17.15" hidden="false" customHeight="false" outlineLevel="0" collapsed="false">
      <c r="A381" s="2" t="s">
        <v>1728</v>
      </c>
      <c r="B381" s="2" t="s">
        <v>1703</v>
      </c>
      <c r="C381" s="2" t="s">
        <v>939</v>
      </c>
      <c r="D381" s="2" t="s">
        <v>1704</v>
      </c>
      <c r="E381" s="2" t="s">
        <v>1679</v>
      </c>
      <c r="F381" s="2" t="s">
        <v>991</v>
      </c>
      <c r="G381" s="2" t="str">
        <f aca="false">IFERROR(INDEX(Prices_Item,MATCH(F381,Prices_ID,0)),"ITEM NOT FOUND")</f>
        <v>Lysol multipurpose disinfectant 5 L</v>
      </c>
      <c r="H381" s="7" t="n">
        <v>0.1</v>
      </c>
      <c r="I381" s="2" t="s">
        <v>1673</v>
      </c>
      <c r="J381" s="3" t="n">
        <f aca="false">IFERROR(INDEX(Prices_Current,MATCH(F381,Prices_ID,0)),"")</f>
        <v>126</v>
      </c>
      <c r="K381" s="2" t="s">
        <v>1044</v>
      </c>
      <c r="L381" s="3" t="n">
        <f aca="false">IF(OR(H381="",NOT(ISNUMBER(J381))),"",H381*J381)</f>
        <v>12.6</v>
      </c>
      <c r="M381" s="2" t="str">
        <f aca="false">IFERROR(INDEX(Prices_Flag,MATCH(F381,Prices_ID,0)),"")</f>
        <v>none</v>
      </c>
      <c r="N381" s="2" t="s">
        <v>1671</v>
      </c>
      <c r="O381" s="0" t="s">
        <v>1706</v>
      </c>
      <c r="P381" s="8" t="s">
        <v>1707</v>
      </c>
      <c r="Q381" s="0" t="s">
        <v>27</v>
      </c>
    </row>
    <row r="382" customFormat="false" ht="17.15" hidden="false" customHeight="false" outlineLevel="0" collapsed="false">
      <c r="A382" s="2" t="s">
        <v>1729</v>
      </c>
      <c r="B382" s="2" t="s">
        <v>1703</v>
      </c>
      <c r="C382" s="2" t="s">
        <v>939</v>
      </c>
      <c r="D382" s="2" t="s">
        <v>1704</v>
      </c>
      <c r="E382" s="2" t="s">
        <v>1679</v>
      </c>
      <c r="F382" s="2" t="s">
        <v>938</v>
      </c>
      <c r="G382" s="2" t="str">
        <f aca="false">IFERROR(INDEX(Prices_Item,MATCH(F382,Prices_ID,0)),"ITEM NOT FOUND")</f>
        <v>Pinol El Original pine cleaner 5.1 L</v>
      </c>
      <c r="H382" s="7" t="n">
        <v>0.2</v>
      </c>
      <c r="I382" s="2" t="s">
        <v>1675</v>
      </c>
      <c r="J382" s="3" t="n">
        <f aca="false">IFERROR(INDEX(Prices_Current,MATCH(F382,Prices_ID,0)),"")</f>
        <v>115</v>
      </c>
      <c r="K382" s="2" t="s">
        <v>1044</v>
      </c>
      <c r="L382" s="3" t="n">
        <f aca="false">IF(OR(H382="",NOT(ISNUMBER(J382))),"",H382*J382)</f>
        <v>23</v>
      </c>
      <c r="M382" s="2" t="str">
        <f aca="false">IFERROR(INDEX(Prices_Flag,MATCH(F382,Prices_ID,0)),"")</f>
        <v>none</v>
      </c>
      <c r="N382" s="2" t="s">
        <v>1671</v>
      </c>
      <c r="O382" s="0" t="s">
        <v>1706</v>
      </c>
      <c r="P382" s="8" t="s">
        <v>1707</v>
      </c>
      <c r="Q382" s="0" t="s">
        <v>27</v>
      </c>
    </row>
    <row r="383" customFormat="false" ht="17.15" hidden="false" customHeight="false" outlineLevel="0" collapsed="false">
      <c r="A383" s="2" t="s">
        <v>1730</v>
      </c>
      <c r="B383" s="2" t="s">
        <v>1703</v>
      </c>
      <c r="C383" s="2" t="s">
        <v>939</v>
      </c>
      <c r="D383" s="2" t="s">
        <v>1704</v>
      </c>
      <c r="E383" s="2" t="s">
        <v>1679</v>
      </c>
      <c r="F383" s="2" t="s">
        <v>1008</v>
      </c>
      <c r="G383" s="2" t="str">
        <f aca="false">IFERROR(INDEX(Prices_Item,MATCH(F383,Prices_ID,0)),"ITEM NOT FOUND")</f>
        <v>Nature's Miracle enzymatic stain and odor cleaner 3.7 L</v>
      </c>
      <c r="H383" s="7" t="n">
        <v>0.1</v>
      </c>
      <c r="I383" s="2" t="s">
        <v>1677</v>
      </c>
      <c r="J383" s="3" t="n">
        <f aca="false">IFERROR(INDEX(Prices_Current,MATCH(F383,Prices_ID,0)),"")</f>
        <v>799</v>
      </c>
      <c r="K383" s="2" t="s">
        <v>1044</v>
      </c>
      <c r="L383" s="3" t="n">
        <f aca="false">IF(OR(H383="",NOT(ISNUMBER(J383))),"",H383*J383)</f>
        <v>79.9</v>
      </c>
      <c r="M383" s="2" t="str">
        <f aca="false">IFERROR(INDEX(Prices_Flag,MATCH(F383,Prices_ID,0)),"")</f>
        <v>none</v>
      </c>
      <c r="N383" s="2" t="s">
        <v>1671</v>
      </c>
      <c r="O383" s="0" t="s">
        <v>1706</v>
      </c>
      <c r="P383" s="8" t="s">
        <v>1707</v>
      </c>
      <c r="Q383" s="0" t="s">
        <v>27</v>
      </c>
    </row>
    <row r="384" customFormat="false" ht="17.15" hidden="false" customHeight="false" outlineLevel="0" collapsed="false">
      <c r="A384" s="2" t="s">
        <v>1731</v>
      </c>
      <c r="B384" s="2" t="s">
        <v>1703</v>
      </c>
      <c r="C384" s="2" t="s">
        <v>939</v>
      </c>
      <c r="D384" s="2" t="s">
        <v>1704</v>
      </c>
      <c r="E384" s="2" t="s">
        <v>1679</v>
      </c>
      <c r="F384" s="2" t="s">
        <v>1020</v>
      </c>
      <c r="G384" s="2" t="str">
        <f aca="false">IFERROR(INDEX(Prices_Item,MATCH(F384,Prices_ID,0)),"ITEM NOT FOUND")</f>
        <v>Mold / biohazard cleanup</v>
      </c>
      <c r="H384" s="7"/>
      <c r="I384" s="2" t="s">
        <v>1718</v>
      </c>
      <c r="J384" s="3" t="str">
        <f aca="false">IFERROR(INDEX(Prices_Current,MATCH(F384,Prices_ID,0)),"")</f>
        <v/>
      </c>
      <c r="K384" s="2" t="s">
        <v>1061</v>
      </c>
      <c r="L384" s="3" t="str">
        <f aca="false">IF(OR(H384="",NOT(ISNUMBER(J384))),"",H384*J384)</f>
        <v/>
      </c>
      <c r="M384" s="2" t="str">
        <f aca="false">IFERROR(INDEX(Prices_Flag,MATCH(F384,Prices_ID,0)),"")</f>
        <v>FLAGGED-human review</v>
      </c>
      <c r="N384" s="2" t="s">
        <v>1719</v>
      </c>
      <c r="O384" s="0" t="s">
        <v>1706</v>
      </c>
      <c r="P384" s="8" t="s">
        <v>1707</v>
      </c>
      <c r="Q384" s="0" t="s">
        <v>1044</v>
      </c>
    </row>
    <row r="385" customFormat="false" ht="17.15" hidden="false" customHeight="false" outlineLevel="0" collapsed="false">
      <c r="A385" s="2" t="s">
        <v>1732</v>
      </c>
      <c r="B385" s="2" t="s">
        <v>1703</v>
      </c>
      <c r="C385" s="2" t="s">
        <v>939</v>
      </c>
      <c r="D385" s="2" t="s">
        <v>1704</v>
      </c>
      <c r="E385" s="2" t="s">
        <v>1691</v>
      </c>
      <c r="F385" s="2" t="s">
        <v>947</v>
      </c>
      <c r="G385" s="2" t="str">
        <f aca="false">IFERROR(INDEX(Prices_Item,MATCH(F385,Prices_ID,0)),"ITEM NOT FOUND")</f>
        <v>Fabuloso antibacterial multipurpose cleaner 5 L</v>
      </c>
      <c r="H385" s="7" t="n">
        <v>0.45</v>
      </c>
      <c r="I385" s="2" t="s">
        <v>1733</v>
      </c>
      <c r="J385" s="3" t="n">
        <f aca="false">IFERROR(INDEX(Prices_Current,MATCH(F385,Prices_ID,0)),"")</f>
        <v>155</v>
      </c>
      <c r="K385" s="2" t="s">
        <v>1100</v>
      </c>
      <c r="L385" s="3" t="n">
        <f aca="false">IF(OR(H385="",NOT(ISNUMBER(J385))),"",H385*J385)</f>
        <v>69.75</v>
      </c>
      <c r="M385" s="2" t="str">
        <f aca="false">IFERROR(INDEX(Prices_Flag,MATCH(F385,Prices_ID,0)),"")</f>
        <v>none</v>
      </c>
      <c r="N385" s="2" t="s">
        <v>1661</v>
      </c>
      <c r="O385" s="0" t="s">
        <v>1706</v>
      </c>
      <c r="P385" s="8" t="s">
        <v>1707</v>
      </c>
      <c r="Q385" s="0" t="s">
        <v>27</v>
      </c>
    </row>
    <row r="386" customFormat="false" ht="17.15" hidden="false" customHeight="false" outlineLevel="0" collapsed="false">
      <c r="A386" s="2" t="s">
        <v>1734</v>
      </c>
      <c r="B386" s="2" t="s">
        <v>1703</v>
      </c>
      <c r="C386" s="2" t="s">
        <v>939</v>
      </c>
      <c r="D386" s="2" t="s">
        <v>1704</v>
      </c>
      <c r="E386" s="2" t="s">
        <v>1691</v>
      </c>
      <c r="F386" s="2" t="s">
        <v>961</v>
      </c>
      <c r="G386" s="2" t="str">
        <f aca="false">IFERROR(INDEX(Prices_Item,MATCH(F386,Prices_ID,0)),"ITEM NOT FOUND")</f>
        <v>Mr Músculo kitchen degreaser 650 ml</v>
      </c>
      <c r="H386" s="7" t="n">
        <v>1.2</v>
      </c>
      <c r="I386" s="2" t="s">
        <v>1733</v>
      </c>
      <c r="J386" s="3" t="n">
        <f aca="false">IFERROR(INDEX(Prices_Current,MATCH(F386,Prices_ID,0)),"")</f>
        <v>64</v>
      </c>
      <c r="K386" s="2" t="s">
        <v>1100</v>
      </c>
      <c r="L386" s="3" t="n">
        <f aca="false">IF(OR(H386="",NOT(ISNUMBER(J386))),"",H386*J386)</f>
        <v>76.8</v>
      </c>
      <c r="M386" s="2" t="str">
        <f aca="false">IFERROR(INDEX(Prices_Flag,MATCH(F386,Prices_ID,0)),"")</f>
        <v>none</v>
      </c>
      <c r="N386" s="2" t="s">
        <v>1661</v>
      </c>
      <c r="O386" s="0" t="s">
        <v>1706</v>
      </c>
      <c r="P386" s="8" t="s">
        <v>1707</v>
      </c>
      <c r="Q386" s="0" t="s">
        <v>27</v>
      </c>
    </row>
    <row r="387" customFormat="false" ht="17.15" hidden="false" customHeight="false" outlineLevel="0" collapsed="false">
      <c r="A387" s="2" t="s">
        <v>1735</v>
      </c>
      <c r="B387" s="2" t="s">
        <v>1703</v>
      </c>
      <c r="C387" s="2" t="s">
        <v>939</v>
      </c>
      <c r="D387" s="2" t="s">
        <v>1704</v>
      </c>
      <c r="E387" s="2" t="s">
        <v>1691</v>
      </c>
      <c r="F387" s="2" t="s">
        <v>972</v>
      </c>
      <c r="G387" s="2" t="str">
        <f aca="false">IFERROR(INDEX(Prices_Item,MATCH(F387,Prices_ID,0)),"ITEM NOT FOUND")</f>
        <v>Mr Músculo daily shower cleaner 650 ml</v>
      </c>
      <c r="H387" s="7" t="n">
        <v>1.2</v>
      </c>
      <c r="I387" s="2" t="s">
        <v>1733</v>
      </c>
      <c r="J387" s="3" t="n">
        <f aca="false">IFERROR(INDEX(Prices_Current,MATCH(F387,Prices_ID,0)),"")</f>
        <v>63</v>
      </c>
      <c r="K387" s="2" t="s">
        <v>1100</v>
      </c>
      <c r="L387" s="3" t="n">
        <f aca="false">IF(OR(H387="",NOT(ISNUMBER(J387))),"",H387*J387)</f>
        <v>75.6</v>
      </c>
      <c r="M387" s="2" t="str">
        <f aca="false">IFERROR(INDEX(Prices_Flag,MATCH(F387,Prices_ID,0)),"")</f>
        <v>none</v>
      </c>
      <c r="N387" s="2" t="s">
        <v>1661</v>
      </c>
      <c r="O387" s="0" t="s">
        <v>1706</v>
      </c>
      <c r="P387" s="8" t="s">
        <v>1707</v>
      </c>
      <c r="Q387" s="0" t="s">
        <v>27</v>
      </c>
    </row>
    <row r="388" customFormat="false" ht="17.15" hidden="false" customHeight="false" outlineLevel="0" collapsed="false">
      <c r="A388" s="2" t="s">
        <v>1736</v>
      </c>
      <c r="B388" s="2" t="s">
        <v>1703</v>
      </c>
      <c r="C388" s="2" t="s">
        <v>939</v>
      </c>
      <c r="D388" s="2" t="s">
        <v>1704</v>
      </c>
      <c r="E388" s="2" t="s">
        <v>1691</v>
      </c>
      <c r="F388" s="2" t="s">
        <v>981</v>
      </c>
      <c r="G388" s="2" t="str">
        <f aca="false">IFERROR(INDEX(Prices_Item,MATCH(F388,Prices_ID,0)),"ITEM NOT FOUND")</f>
        <v>Windex ammonia-free glass cleaner 500 ml</v>
      </c>
      <c r="H388" s="7" t="n">
        <v>1.5</v>
      </c>
      <c r="I388" s="2" t="s">
        <v>1733</v>
      </c>
      <c r="J388" s="3" t="n">
        <f aca="false">IFERROR(INDEX(Prices_Current,MATCH(F388,Prices_ID,0)),"")</f>
        <v>24</v>
      </c>
      <c r="K388" s="2" t="s">
        <v>1100</v>
      </c>
      <c r="L388" s="3" t="n">
        <f aca="false">IF(OR(H388="",NOT(ISNUMBER(J388))),"",H388*J388)</f>
        <v>36</v>
      </c>
      <c r="M388" s="2" t="str">
        <f aca="false">IFERROR(INDEX(Prices_Flag,MATCH(F388,Prices_ID,0)),"")</f>
        <v>none</v>
      </c>
      <c r="N388" s="2" t="s">
        <v>1661</v>
      </c>
      <c r="O388" s="0" t="s">
        <v>1706</v>
      </c>
      <c r="P388" s="8" t="s">
        <v>1707</v>
      </c>
      <c r="Q388" s="0" t="s">
        <v>27</v>
      </c>
    </row>
    <row r="389" customFormat="false" ht="17.15" hidden="false" customHeight="false" outlineLevel="0" collapsed="false">
      <c r="A389" s="2" t="s">
        <v>1737</v>
      </c>
      <c r="B389" s="2" t="s">
        <v>1703</v>
      </c>
      <c r="C389" s="2" t="s">
        <v>939</v>
      </c>
      <c r="D389" s="2" t="s">
        <v>1704</v>
      </c>
      <c r="E389" s="2" t="s">
        <v>1691</v>
      </c>
      <c r="F389" s="2" t="s">
        <v>991</v>
      </c>
      <c r="G389" s="2" t="str">
        <f aca="false">IFERROR(INDEX(Prices_Item,MATCH(F389,Prices_ID,0)),"ITEM NOT FOUND")</f>
        <v>Lysol multipurpose disinfectant 5 L</v>
      </c>
      <c r="H389" s="7" t="n">
        <v>0.3</v>
      </c>
      <c r="I389" s="2" t="s">
        <v>1733</v>
      </c>
      <c r="J389" s="3" t="n">
        <f aca="false">IFERROR(INDEX(Prices_Current,MATCH(F389,Prices_ID,0)),"")</f>
        <v>126</v>
      </c>
      <c r="K389" s="2" t="s">
        <v>1100</v>
      </c>
      <c r="L389" s="3" t="n">
        <f aca="false">IF(OR(H389="",NOT(ISNUMBER(J389))),"",H389*J389)</f>
        <v>37.8</v>
      </c>
      <c r="M389" s="2" t="str">
        <f aca="false">IFERROR(INDEX(Prices_Flag,MATCH(F389,Prices_ID,0)),"")</f>
        <v>none</v>
      </c>
      <c r="N389" s="2" t="s">
        <v>1661</v>
      </c>
      <c r="O389" s="0" t="s">
        <v>1706</v>
      </c>
      <c r="P389" s="8" t="s">
        <v>1707</v>
      </c>
      <c r="Q389" s="0" t="s">
        <v>27</v>
      </c>
    </row>
    <row r="390" customFormat="false" ht="17.15" hidden="false" customHeight="false" outlineLevel="0" collapsed="false">
      <c r="A390" s="2" t="s">
        <v>1738</v>
      </c>
      <c r="B390" s="2" t="s">
        <v>1703</v>
      </c>
      <c r="C390" s="2" t="s">
        <v>939</v>
      </c>
      <c r="D390" s="2" t="s">
        <v>1704</v>
      </c>
      <c r="E390" s="2" t="s">
        <v>1691</v>
      </c>
      <c r="F390" s="2" t="s">
        <v>986</v>
      </c>
      <c r="G390" s="2" t="str">
        <f aca="false">IFERROR(INDEX(Prices_Item,MATCH(F390,Prices_ID,0)),"ITEM NOT FOUND")</f>
        <v>Great Value large microfiber cloth</v>
      </c>
      <c r="H390" s="7" t="n">
        <v>6</v>
      </c>
      <c r="I390" s="2" t="s">
        <v>1733</v>
      </c>
      <c r="J390" s="3" t="n">
        <f aca="false">IFERROR(INDEX(Prices_Current,MATCH(F390,Prices_ID,0)),"")</f>
        <v>29</v>
      </c>
      <c r="K390" s="2" t="s">
        <v>1100</v>
      </c>
      <c r="L390" s="3" t="n">
        <f aca="false">IF(OR(H390="",NOT(ISNUMBER(J390))),"",H390*J390)</f>
        <v>174</v>
      </c>
      <c r="M390" s="2" t="str">
        <f aca="false">IFERROR(INDEX(Prices_Flag,MATCH(F390,Prices_ID,0)),"")</f>
        <v>none</v>
      </c>
      <c r="N390" s="2" t="s">
        <v>1661</v>
      </c>
      <c r="O390" s="0" t="s">
        <v>1706</v>
      </c>
      <c r="P390" s="8" t="s">
        <v>1707</v>
      </c>
      <c r="Q390" s="0" t="s">
        <v>27</v>
      </c>
    </row>
    <row r="391" customFormat="false" ht="17.15" hidden="false" customHeight="false" outlineLevel="0" collapsed="false">
      <c r="A391" s="2" t="s">
        <v>1739</v>
      </c>
      <c r="B391" s="2" t="s">
        <v>1703</v>
      </c>
      <c r="C391" s="2" t="s">
        <v>939</v>
      </c>
      <c r="D391" s="2" t="s">
        <v>1704</v>
      </c>
      <c r="E391" s="2" t="s">
        <v>1691</v>
      </c>
      <c r="F391" s="2" t="s">
        <v>996</v>
      </c>
      <c r="G391" s="2" t="str">
        <f aca="false">IFERROR(INDEX(Prices_Item,MATCH(F391,Prices_ID,0)),"ITEM NOT FOUND")</f>
        <v>Easy-Off oven cleaner paste 238 g</v>
      </c>
      <c r="H391" s="7" t="n">
        <v>1</v>
      </c>
      <c r="I391" s="2" t="s">
        <v>1670</v>
      </c>
      <c r="J391" s="3" t="n">
        <f aca="false">IFERROR(INDEX(Prices_Current,MATCH(F391,Prices_ID,0)),"")</f>
        <v>70</v>
      </c>
      <c r="K391" s="2" t="s">
        <v>1044</v>
      </c>
      <c r="L391" s="3" t="n">
        <f aca="false">IF(OR(H391="",NOT(ISNUMBER(J391))),"",H391*J391)</f>
        <v>70</v>
      </c>
      <c r="M391" s="2" t="str">
        <f aca="false">IFERROR(INDEX(Prices_Flag,MATCH(F391,Prices_ID,0)),"")</f>
        <v>none</v>
      </c>
      <c r="N391" s="2" t="s">
        <v>1671</v>
      </c>
      <c r="O391" s="0" t="s">
        <v>1706</v>
      </c>
      <c r="P391" s="8" t="s">
        <v>1707</v>
      </c>
      <c r="Q391" s="0" t="s">
        <v>27</v>
      </c>
    </row>
    <row r="392" customFormat="false" ht="17.15" hidden="false" customHeight="false" outlineLevel="0" collapsed="false">
      <c r="A392" s="2" t="s">
        <v>1740</v>
      </c>
      <c r="B392" s="2" t="s">
        <v>1703</v>
      </c>
      <c r="C392" s="2" t="s">
        <v>939</v>
      </c>
      <c r="D392" s="2" t="s">
        <v>1704</v>
      </c>
      <c r="E392" s="2" t="s">
        <v>1691</v>
      </c>
      <c r="F392" s="2" t="s">
        <v>991</v>
      </c>
      <c r="G392" s="2" t="str">
        <f aca="false">IFERROR(INDEX(Prices_Item,MATCH(F392,Prices_ID,0)),"ITEM NOT FOUND")</f>
        <v>Lysol multipurpose disinfectant 5 L</v>
      </c>
      <c r="H392" s="7" t="n">
        <v>0.1</v>
      </c>
      <c r="I392" s="2" t="s">
        <v>1673</v>
      </c>
      <c r="J392" s="3" t="n">
        <f aca="false">IFERROR(INDEX(Prices_Current,MATCH(F392,Prices_ID,0)),"")</f>
        <v>126</v>
      </c>
      <c r="K392" s="2" t="s">
        <v>1044</v>
      </c>
      <c r="L392" s="3" t="n">
        <f aca="false">IF(OR(H392="",NOT(ISNUMBER(J392))),"",H392*J392)</f>
        <v>12.6</v>
      </c>
      <c r="M392" s="2" t="str">
        <f aca="false">IFERROR(INDEX(Prices_Flag,MATCH(F392,Prices_ID,0)),"")</f>
        <v>none</v>
      </c>
      <c r="N392" s="2" t="s">
        <v>1671</v>
      </c>
      <c r="O392" s="0" t="s">
        <v>1706</v>
      </c>
      <c r="P392" s="8" t="s">
        <v>1707</v>
      </c>
      <c r="Q392" s="0" t="s">
        <v>27</v>
      </c>
    </row>
    <row r="393" customFormat="false" ht="17.15" hidden="false" customHeight="false" outlineLevel="0" collapsed="false">
      <c r="A393" s="2" t="s">
        <v>1741</v>
      </c>
      <c r="B393" s="2" t="s">
        <v>1703</v>
      </c>
      <c r="C393" s="2" t="s">
        <v>939</v>
      </c>
      <c r="D393" s="2" t="s">
        <v>1704</v>
      </c>
      <c r="E393" s="2" t="s">
        <v>1691</v>
      </c>
      <c r="F393" s="2" t="s">
        <v>938</v>
      </c>
      <c r="G393" s="2" t="str">
        <f aca="false">IFERROR(INDEX(Prices_Item,MATCH(F393,Prices_ID,0)),"ITEM NOT FOUND")</f>
        <v>Pinol El Original pine cleaner 5.1 L</v>
      </c>
      <c r="H393" s="7" t="n">
        <v>0.2</v>
      </c>
      <c r="I393" s="2" t="s">
        <v>1675</v>
      </c>
      <c r="J393" s="3" t="n">
        <f aca="false">IFERROR(INDEX(Prices_Current,MATCH(F393,Prices_ID,0)),"")</f>
        <v>115</v>
      </c>
      <c r="K393" s="2" t="s">
        <v>1044</v>
      </c>
      <c r="L393" s="3" t="n">
        <f aca="false">IF(OR(H393="",NOT(ISNUMBER(J393))),"",H393*J393)</f>
        <v>23</v>
      </c>
      <c r="M393" s="2" t="str">
        <f aca="false">IFERROR(INDEX(Prices_Flag,MATCH(F393,Prices_ID,0)),"")</f>
        <v>none</v>
      </c>
      <c r="N393" s="2" t="s">
        <v>1671</v>
      </c>
      <c r="O393" s="0" t="s">
        <v>1706</v>
      </c>
      <c r="P393" s="8" t="s">
        <v>1707</v>
      </c>
      <c r="Q393" s="0" t="s">
        <v>27</v>
      </c>
    </row>
    <row r="394" customFormat="false" ht="17.15" hidden="false" customHeight="false" outlineLevel="0" collapsed="false">
      <c r="A394" s="2" t="s">
        <v>1742</v>
      </c>
      <c r="B394" s="2" t="s">
        <v>1703</v>
      </c>
      <c r="C394" s="2" t="s">
        <v>939</v>
      </c>
      <c r="D394" s="2" t="s">
        <v>1704</v>
      </c>
      <c r="E394" s="2" t="s">
        <v>1691</v>
      </c>
      <c r="F394" s="2" t="s">
        <v>1008</v>
      </c>
      <c r="G394" s="2" t="str">
        <f aca="false">IFERROR(INDEX(Prices_Item,MATCH(F394,Prices_ID,0)),"ITEM NOT FOUND")</f>
        <v>Nature's Miracle enzymatic stain and odor cleaner 3.7 L</v>
      </c>
      <c r="H394" s="7" t="n">
        <v>0.1</v>
      </c>
      <c r="I394" s="2" t="s">
        <v>1677</v>
      </c>
      <c r="J394" s="3" t="n">
        <f aca="false">IFERROR(INDEX(Prices_Current,MATCH(F394,Prices_ID,0)),"")</f>
        <v>799</v>
      </c>
      <c r="K394" s="2" t="s">
        <v>1044</v>
      </c>
      <c r="L394" s="3" t="n">
        <f aca="false">IF(OR(H394="",NOT(ISNUMBER(J394))),"",H394*J394)</f>
        <v>79.9</v>
      </c>
      <c r="M394" s="2" t="str">
        <f aca="false">IFERROR(INDEX(Prices_Flag,MATCH(F394,Prices_ID,0)),"")</f>
        <v>none</v>
      </c>
      <c r="N394" s="2" t="s">
        <v>1671</v>
      </c>
      <c r="O394" s="0" t="s">
        <v>1706</v>
      </c>
      <c r="P394" s="8" t="s">
        <v>1707</v>
      </c>
      <c r="Q394" s="0" t="s">
        <v>27</v>
      </c>
    </row>
    <row r="395" customFormat="false" ht="17.15" hidden="false" customHeight="false" outlineLevel="0" collapsed="false">
      <c r="A395" s="2" t="s">
        <v>1743</v>
      </c>
      <c r="B395" s="2" t="s">
        <v>1703</v>
      </c>
      <c r="C395" s="2" t="s">
        <v>939</v>
      </c>
      <c r="D395" s="2" t="s">
        <v>1704</v>
      </c>
      <c r="E395" s="2" t="s">
        <v>1691</v>
      </c>
      <c r="F395" s="2" t="s">
        <v>1020</v>
      </c>
      <c r="G395" s="2" t="str">
        <f aca="false">IFERROR(INDEX(Prices_Item,MATCH(F395,Prices_ID,0)),"ITEM NOT FOUND")</f>
        <v>Mold / biohazard cleanup</v>
      </c>
      <c r="H395" s="7"/>
      <c r="I395" s="2" t="s">
        <v>1718</v>
      </c>
      <c r="J395" s="3" t="str">
        <f aca="false">IFERROR(INDEX(Prices_Current,MATCH(F395,Prices_ID,0)),"")</f>
        <v/>
      </c>
      <c r="K395" s="2" t="s">
        <v>1061</v>
      </c>
      <c r="L395" s="3" t="str">
        <f aca="false">IF(OR(H395="",NOT(ISNUMBER(J395))),"",H395*J395)</f>
        <v/>
      </c>
      <c r="M395" s="2" t="str">
        <f aca="false">IFERROR(INDEX(Prices_Flag,MATCH(F395,Prices_ID,0)),"")</f>
        <v>FLAGGED-human review</v>
      </c>
      <c r="N395" s="2" t="s">
        <v>1719</v>
      </c>
      <c r="O395" s="0" t="s">
        <v>1706</v>
      </c>
      <c r="P395" s="8" t="s">
        <v>1707</v>
      </c>
      <c r="Q395" s="0" t="s">
        <v>1044</v>
      </c>
    </row>
    <row r="396" customFormat="false" ht="17.15" hidden="false" customHeight="false" outlineLevel="0" collapsed="false">
      <c r="A396" s="2" t="s">
        <v>1744</v>
      </c>
      <c r="B396" s="2" t="s">
        <v>1745</v>
      </c>
      <c r="C396" s="2" t="s">
        <v>939</v>
      </c>
      <c r="D396" s="2" t="s">
        <v>1746</v>
      </c>
      <c r="E396" s="2" t="s">
        <v>1659</v>
      </c>
      <c r="F396" s="2" t="s">
        <v>947</v>
      </c>
      <c r="G396" s="2" t="str">
        <f aca="false">IFERROR(INDEX(Prices_Item,MATCH(F396,Prices_ID,0)),"ITEM NOT FOUND")</f>
        <v>Fabuloso antibacterial multipurpose cleaner 5 L</v>
      </c>
      <c r="H396" s="7" t="n">
        <v>0.225</v>
      </c>
      <c r="I396" s="2" t="s">
        <v>1705</v>
      </c>
      <c r="J396" s="3" t="n">
        <f aca="false">IFERROR(INDEX(Prices_Current,MATCH(F396,Prices_ID,0)),"")</f>
        <v>155</v>
      </c>
      <c r="K396" s="2" t="s">
        <v>1100</v>
      </c>
      <c r="L396" s="3" t="n">
        <f aca="false">IF(OR(H396="",NOT(ISNUMBER(J396))),"",H396*J396)</f>
        <v>34.875</v>
      </c>
      <c r="M396" s="2" t="str">
        <f aca="false">IFERROR(INDEX(Prices_Flag,MATCH(F396,Prices_ID,0)),"")</f>
        <v>none</v>
      </c>
      <c r="N396" s="2" t="s">
        <v>1661</v>
      </c>
      <c r="O396" s="0" t="s">
        <v>1747</v>
      </c>
      <c r="P396" s="8" t="s">
        <v>1748</v>
      </c>
      <c r="Q396" s="0" t="s">
        <v>27</v>
      </c>
    </row>
    <row r="397" customFormat="false" ht="17.15" hidden="false" customHeight="false" outlineLevel="0" collapsed="false">
      <c r="A397" s="2" t="s">
        <v>1749</v>
      </c>
      <c r="B397" s="2" t="s">
        <v>1745</v>
      </c>
      <c r="C397" s="2" t="s">
        <v>939</v>
      </c>
      <c r="D397" s="2" t="s">
        <v>1746</v>
      </c>
      <c r="E397" s="2" t="s">
        <v>1659</v>
      </c>
      <c r="F397" s="2" t="s">
        <v>961</v>
      </c>
      <c r="G397" s="2" t="str">
        <f aca="false">IFERROR(INDEX(Prices_Item,MATCH(F397,Prices_ID,0)),"ITEM NOT FOUND")</f>
        <v>Mr Músculo kitchen degreaser 650 ml</v>
      </c>
      <c r="H397" s="7" t="n">
        <v>0.6</v>
      </c>
      <c r="I397" s="2" t="s">
        <v>1705</v>
      </c>
      <c r="J397" s="3" t="n">
        <f aca="false">IFERROR(INDEX(Prices_Current,MATCH(F397,Prices_ID,0)),"")</f>
        <v>64</v>
      </c>
      <c r="K397" s="2" t="s">
        <v>1100</v>
      </c>
      <c r="L397" s="3" t="n">
        <f aca="false">IF(OR(H397="",NOT(ISNUMBER(J397))),"",H397*J397)</f>
        <v>38.4</v>
      </c>
      <c r="M397" s="2" t="str">
        <f aca="false">IFERROR(INDEX(Prices_Flag,MATCH(F397,Prices_ID,0)),"")</f>
        <v>none</v>
      </c>
      <c r="N397" s="2" t="s">
        <v>1661</v>
      </c>
      <c r="O397" s="0" t="s">
        <v>1747</v>
      </c>
      <c r="P397" s="8" t="s">
        <v>1748</v>
      </c>
      <c r="Q397" s="0" t="s">
        <v>27</v>
      </c>
    </row>
    <row r="398" customFormat="false" ht="17.15" hidden="false" customHeight="false" outlineLevel="0" collapsed="false">
      <c r="A398" s="2" t="s">
        <v>1750</v>
      </c>
      <c r="B398" s="2" t="s">
        <v>1745</v>
      </c>
      <c r="C398" s="2" t="s">
        <v>939</v>
      </c>
      <c r="D398" s="2" t="s">
        <v>1746</v>
      </c>
      <c r="E398" s="2" t="s">
        <v>1659</v>
      </c>
      <c r="F398" s="2" t="s">
        <v>972</v>
      </c>
      <c r="G398" s="2" t="str">
        <f aca="false">IFERROR(INDEX(Prices_Item,MATCH(F398,Prices_ID,0)),"ITEM NOT FOUND")</f>
        <v>Mr Músculo daily shower cleaner 650 ml</v>
      </c>
      <c r="H398" s="7" t="n">
        <v>0.6</v>
      </c>
      <c r="I398" s="2" t="s">
        <v>1705</v>
      </c>
      <c r="J398" s="3" t="n">
        <f aca="false">IFERROR(INDEX(Prices_Current,MATCH(F398,Prices_ID,0)),"")</f>
        <v>63</v>
      </c>
      <c r="K398" s="2" t="s">
        <v>1100</v>
      </c>
      <c r="L398" s="3" t="n">
        <f aca="false">IF(OR(H398="",NOT(ISNUMBER(J398))),"",H398*J398)</f>
        <v>37.8</v>
      </c>
      <c r="M398" s="2" t="str">
        <f aca="false">IFERROR(INDEX(Prices_Flag,MATCH(F398,Prices_ID,0)),"")</f>
        <v>none</v>
      </c>
      <c r="N398" s="2" t="s">
        <v>1661</v>
      </c>
      <c r="O398" s="0" t="s">
        <v>1747</v>
      </c>
      <c r="P398" s="8" t="s">
        <v>1748</v>
      </c>
      <c r="Q398" s="0" t="s">
        <v>27</v>
      </c>
    </row>
    <row r="399" customFormat="false" ht="17.15" hidden="false" customHeight="false" outlineLevel="0" collapsed="false">
      <c r="A399" s="2" t="s">
        <v>1751</v>
      </c>
      <c r="B399" s="2" t="s">
        <v>1745</v>
      </c>
      <c r="C399" s="2" t="s">
        <v>939</v>
      </c>
      <c r="D399" s="2" t="s">
        <v>1746</v>
      </c>
      <c r="E399" s="2" t="s">
        <v>1659</v>
      </c>
      <c r="F399" s="2" t="s">
        <v>981</v>
      </c>
      <c r="G399" s="2" t="str">
        <f aca="false">IFERROR(INDEX(Prices_Item,MATCH(F399,Prices_ID,0)),"ITEM NOT FOUND")</f>
        <v>Windex ammonia-free glass cleaner 500 ml</v>
      </c>
      <c r="H399" s="7" t="n">
        <v>0.75</v>
      </c>
      <c r="I399" s="2" t="s">
        <v>1705</v>
      </c>
      <c r="J399" s="3" t="n">
        <f aca="false">IFERROR(INDEX(Prices_Current,MATCH(F399,Prices_ID,0)),"")</f>
        <v>24</v>
      </c>
      <c r="K399" s="2" t="s">
        <v>1100</v>
      </c>
      <c r="L399" s="3" t="n">
        <f aca="false">IF(OR(H399="",NOT(ISNUMBER(J399))),"",H399*J399)</f>
        <v>18</v>
      </c>
      <c r="M399" s="2" t="str">
        <f aca="false">IFERROR(INDEX(Prices_Flag,MATCH(F399,Prices_ID,0)),"")</f>
        <v>none</v>
      </c>
      <c r="N399" s="2" t="s">
        <v>1661</v>
      </c>
      <c r="O399" s="0" t="s">
        <v>1747</v>
      </c>
      <c r="P399" s="8" t="s">
        <v>1748</v>
      </c>
      <c r="Q399" s="0" t="s">
        <v>27</v>
      </c>
    </row>
    <row r="400" customFormat="false" ht="17.15" hidden="false" customHeight="false" outlineLevel="0" collapsed="false">
      <c r="A400" s="2" t="s">
        <v>1752</v>
      </c>
      <c r="B400" s="2" t="s">
        <v>1745</v>
      </c>
      <c r="C400" s="2" t="s">
        <v>939</v>
      </c>
      <c r="D400" s="2" t="s">
        <v>1746</v>
      </c>
      <c r="E400" s="2" t="s">
        <v>1659</v>
      </c>
      <c r="F400" s="2" t="s">
        <v>991</v>
      </c>
      <c r="G400" s="2" t="str">
        <f aca="false">IFERROR(INDEX(Prices_Item,MATCH(F400,Prices_ID,0)),"ITEM NOT FOUND")</f>
        <v>Lysol multipurpose disinfectant 5 L</v>
      </c>
      <c r="H400" s="7" t="n">
        <v>0.15</v>
      </c>
      <c r="I400" s="2" t="s">
        <v>1705</v>
      </c>
      <c r="J400" s="3" t="n">
        <f aca="false">IFERROR(INDEX(Prices_Current,MATCH(F400,Prices_ID,0)),"")</f>
        <v>126</v>
      </c>
      <c r="K400" s="2" t="s">
        <v>1100</v>
      </c>
      <c r="L400" s="3" t="n">
        <f aca="false">IF(OR(H400="",NOT(ISNUMBER(J400))),"",H400*J400)</f>
        <v>18.9</v>
      </c>
      <c r="M400" s="2" t="str">
        <f aca="false">IFERROR(INDEX(Prices_Flag,MATCH(F400,Prices_ID,0)),"")</f>
        <v>none</v>
      </c>
      <c r="N400" s="2" t="s">
        <v>1661</v>
      </c>
      <c r="O400" s="0" t="s">
        <v>1747</v>
      </c>
      <c r="P400" s="8" t="s">
        <v>1748</v>
      </c>
      <c r="Q400" s="0" t="s">
        <v>27</v>
      </c>
    </row>
    <row r="401" customFormat="false" ht="17.15" hidden="false" customHeight="false" outlineLevel="0" collapsed="false">
      <c r="A401" s="2" t="s">
        <v>1753</v>
      </c>
      <c r="B401" s="2" t="s">
        <v>1745</v>
      </c>
      <c r="C401" s="2" t="s">
        <v>939</v>
      </c>
      <c r="D401" s="2" t="s">
        <v>1746</v>
      </c>
      <c r="E401" s="2" t="s">
        <v>1659</v>
      </c>
      <c r="F401" s="2" t="s">
        <v>986</v>
      </c>
      <c r="G401" s="2" t="str">
        <f aca="false">IFERROR(INDEX(Prices_Item,MATCH(F401,Prices_ID,0)),"ITEM NOT FOUND")</f>
        <v>Great Value large microfiber cloth</v>
      </c>
      <c r="H401" s="7" t="n">
        <v>3</v>
      </c>
      <c r="I401" s="2" t="s">
        <v>1705</v>
      </c>
      <c r="J401" s="3" t="n">
        <f aca="false">IFERROR(INDEX(Prices_Current,MATCH(F401,Prices_ID,0)),"")</f>
        <v>29</v>
      </c>
      <c r="K401" s="2" t="s">
        <v>1100</v>
      </c>
      <c r="L401" s="3" t="n">
        <f aca="false">IF(OR(H401="",NOT(ISNUMBER(J401))),"",H401*J401)</f>
        <v>87</v>
      </c>
      <c r="M401" s="2" t="str">
        <f aca="false">IFERROR(INDEX(Prices_Flag,MATCH(F401,Prices_ID,0)),"")</f>
        <v>none</v>
      </c>
      <c r="N401" s="2" t="s">
        <v>1661</v>
      </c>
      <c r="O401" s="0" t="s">
        <v>1747</v>
      </c>
      <c r="P401" s="8" t="s">
        <v>1748</v>
      </c>
      <c r="Q401" s="0" t="s">
        <v>27</v>
      </c>
    </row>
    <row r="402" customFormat="false" ht="17.15" hidden="false" customHeight="false" outlineLevel="0" collapsed="false">
      <c r="A402" s="2" t="s">
        <v>1754</v>
      </c>
      <c r="B402" s="2" t="s">
        <v>1745</v>
      </c>
      <c r="C402" s="2" t="s">
        <v>939</v>
      </c>
      <c r="D402" s="2" t="s">
        <v>1746</v>
      </c>
      <c r="E402" s="2" t="s">
        <v>1659</v>
      </c>
      <c r="F402" s="2" t="s">
        <v>996</v>
      </c>
      <c r="G402" s="2" t="str">
        <f aca="false">IFERROR(INDEX(Prices_Item,MATCH(F402,Prices_ID,0)),"ITEM NOT FOUND")</f>
        <v>Easy-Off oven cleaner paste 238 g</v>
      </c>
      <c r="H402" s="7" t="n">
        <v>1</v>
      </c>
      <c r="I402" s="2" t="s">
        <v>1670</v>
      </c>
      <c r="J402" s="3" t="n">
        <f aca="false">IFERROR(INDEX(Prices_Current,MATCH(F402,Prices_ID,0)),"")</f>
        <v>70</v>
      </c>
      <c r="K402" s="2" t="s">
        <v>1044</v>
      </c>
      <c r="L402" s="3" t="n">
        <f aca="false">IF(OR(H402="",NOT(ISNUMBER(J402))),"",H402*J402)</f>
        <v>70</v>
      </c>
      <c r="M402" s="2" t="str">
        <f aca="false">IFERROR(INDEX(Prices_Flag,MATCH(F402,Prices_ID,0)),"")</f>
        <v>none</v>
      </c>
      <c r="N402" s="2" t="s">
        <v>1671</v>
      </c>
      <c r="O402" s="0" t="s">
        <v>1747</v>
      </c>
      <c r="P402" s="8" t="s">
        <v>1748</v>
      </c>
      <c r="Q402" s="0" t="s">
        <v>27</v>
      </c>
    </row>
    <row r="403" customFormat="false" ht="17.15" hidden="false" customHeight="false" outlineLevel="0" collapsed="false">
      <c r="A403" s="2" t="s">
        <v>1755</v>
      </c>
      <c r="B403" s="2" t="s">
        <v>1745</v>
      </c>
      <c r="C403" s="2" t="s">
        <v>939</v>
      </c>
      <c r="D403" s="2" t="s">
        <v>1746</v>
      </c>
      <c r="E403" s="2" t="s">
        <v>1659</v>
      </c>
      <c r="F403" s="2" t="s">
        <v>991</v>
      </c>
      <c r="G403" s="2" t="str">
        <f aca="false">IFERROR(INDEX(Prices_Item,MATCH(F403,Prices_ID,0)),"ITEM NOT FOUND")</f>
        <v>Lysol multipurpose disinfectant 5 L</v>
      </c>
      <c r="H403" s="7" t="n">
        <v>0.1</v>
      </c>
      <c r="I403" s="2" t="s">
        <v>1673</v>
      </c>
      <c r="J403" s="3" t="n">
        <f aca="false">IFERROR(INDEX(Prices_Current,MATCH(F403,Prices_ID,0)),"")</f>
        <v>126</v>
      </c>
      <c r="K403" s="2" t="s">
        <v>1044</v>
      </c>
      <c r="L403" s="3" t="n">
        <f aca="false">IF(OR(H403="",NOT(ISNUMBER(J403))),"",H403*J403)</f>
        <v>12.6</v>
      </c>
      <c r="M403" s="2" t="str">
        <f aca="false">IFERROR(INDEX(Prices_Flag,MATCH(F403,Prices_ID,0)),"")</f>
        <v>none</v>
      </c>
      <c r="N403" s="2" t="s">
        <v>1671</v>
      </c>
      <c r="O403" s="0" t="s">
        <v>1747</v>
      </c>
      <c r="P403" s="8" t="s">
        <v>1748</v>
      </c>
      <c r="Q403" s="0" t="s">
        <v>27</v>
      </c>
    </row>
    <row r="404" customFormat="false" ht="17.15" hidden="false" customHeight="false" outlineLevel="0" collapsed="false">
      <c r="A404" s="2" t="s">
        <v>1756</v>
      </c>
      <c r="B404" s="2" t="s">
        <v>1745</v>
      </c>
      <c r="C404" s="2" t="s">
        <v>939</v>
      </c>
      <c r="D404" s="2" t="s">
        <v>1746</v>
      </c>
      <c r="E404" s="2" t="s">
        <v>1659</v>
      </c>
      <c r="F404" s="2" t="s">
        <v>938</v>
      </c>
      <c r="G404" s="2" t="str">
        <f aca="false">IFERROR(INDEX(Prices_Item,MATCH(F404,Prices_ID,0)),"ITEM NOT FOUND")</f>
        <v>Pinol El Original pine cleaner 5.1 L</v>
      </c>
      <c r="H404" s="7" t="n">
        <v>0.2</v>
      </c>
      <c r="I404" s="2" t="s">
        <v>1675</v>
      </c>
      <c r="J404" s="3" t="n">
        <f aca="false">IFERROR(INDEX(Prices_Current,MATCH(F404,Prices_ID,0)),"")</f>
        <v>115</v>
      </c>
      <c r="K404" s="2" t="s">
        <v>1044</v>
      </c>
      <c r="L404" s="3" t="n">
        <f aca="false">IF(OR(H404="",NOT(ISNUMBER(J404))),"",H404*J404)</f>
        <v>23</v>
      </c>
      <c r="M404" s="2" t="str">
        <f aca="false">IFERROR(INDEX(Prices_Flag,MATCH(F404,Prices_ID,0)),"")</f>
        <v>none</v>
      </c>
      <c r="N404" s="2" t="s">
        <v>1671</v>
      </c>
      <c r="O404" s="0" t="s">
        <v>1747</v>
      </c>
      <c r="P404" s="8" t="s">
        <v>1748</v>
      </c>
      <c r="Q404" s="0" t="s">
        <v>27</v>
      </c>
    </row>
    <row r="405" customFormat="false" ht="17.15" hidden="false" customHeight="false" outlineLevel="0" collapsed="false">
      <c r="A405" s="2" t="s">
        <v>1757</v>
      </c>
      <c r="B405" s="2" t="s">
        <v>1745</v>
      </c>
      <c r="C405" s="2" t="s">
        <v>939</v>
      </c>
      <c r="D405" s="2" t="s">
        <v>1746</v>
      </c>
      <c r="E405" s="2" t="s">
        <v>1659</v>
      </c>
      <c r="F405" s="2" t="s">
        <v>1008</v>
      </c>
      <c r="G405" s="2" t="str">
        <f aca="false">IFERROR(INDEX(Prices_Item,MATCH(F405,Prices_ID,0)),"ITEM NOT FOUND")</f>
        <v>Nature's Miracle enzymatic stain and odor cleaner 3.7 L</v>
      </c>
      <c r="H405" s="7" t="n">
        <v>0.1</v>
      </c>
      <c r="I405" s="2" t="s">
        <v>1677</v>
      </c>
      <c r="J405" s="3" t="n">
        <f aca="false">IFERROR(INDEX(Prices_Current,MATCH(F405,Prices_ID,0)),"")</f>
        <v>799</v>
      </c>
      <c r="K405" s="2" t="s">
        <v>1044</v>
      </c>
      <c r="L405" s="3" t="n">
        <f aca="false">IF(OR(H405="",NOT(ISNUMBER(J405))),"",H405*J405)</f>
        <v>79.9</v>
      </c>
      <c r="M405" s="2" t="str">
        <f aca="false">IFERROR(INDEX(Prices_Flag,MATCH(F405,Prices_ID,0)),"")</f>
        <v>none</v>
      </c>
      <c r="N405" s="2" t="s">
        <v>1671</v>
      </c>
      <c r="O405" s="0" t="s">
        <v>1747</v>
      </c>
      <c r="P405" s="8" t="s">
        <v>1748</v>
      </c>
      <c r="Q405" s="0" t="s">
        <v>27</v>
      </c>
    </row>
    <row r="406" customFormat="false" ht="17.15" hidden="false" customHeight="false" outlineLevel="0" collapsed="false">
      <c r="A406" s="2" t="s">
        <v>1758</v>
      </c>
      <c r="B406" s="2" t="s">
        <v>1745</v>
      </c>
      <c r="C406" s="2" t="s">
        <v>939</v>
      </c>
      <c r="D406" s="2" t="s">
        <v>1746</v>
      </c>
      <c r="E406" s="2" t="s">
        <v>1659</v>
      </c>
      <c r="F406" s="2" t="s">
        <v>1020</v>
      </c>
      <c r="G406" s="2" t="str">
        <f aca="false">IFERROR(INDEX(Prices_Item,MATCH(F406,Prices_ID,0)),"ITEM NOT FOUND")</f>
        <v>Mold / biohazard cleanup</v>
      </c>
      <c r="H406" s="7"/>
      <c r="I406" s="2" t="s">
        <v>1718</v>
      </c>
      <c r="J406" s="3" t="str">
        <f aca="false">IFERROR(INDEX(Prices_Current,MATCH(F406,Prices_ID,0)),"")</f>
        <v/>
      </c>
      <c r="K406" s="2" t="s">
        <v>1061</v>
      </c>
      <c r="L406" s="3" t="str">
        <f aca="false">IF(OR(H406="",NOT(ISNUMBER(J406))),"",H406*J406)</f>
        <v/>
      </c>
      <c r="M406" s="2" t="str">
        <f aca="false">IFERROR(INDEX(Prices_Flag,MATCH(F406,Prices_ID,0)),"")</f>
        <v>FLAGGED-human review</v>
      </c>
      <c r="N406" s="2" t="s">
        <v>1719</v>
      </c>
      <c r="O406" s="0" t="s">
        <v>1747</v>
      </c>
      <c r="P406" s="8" t="s">
        <v>1748</v>
      </c>
      <c r="Q406" s="0" t="s">
        <v>1044</v>
      </c>
    </row>
    <row r="407" customFormat="false" ht="17.15" hidden="false" customHeight="false" outlineLevel="0" collapsed="false">
      <c r="A407" s="2" t="s">
        <v>1759</v>
      </c>
      <c r="B407" s="2" t="s">
        <v>1745</v>
      </c>
      <c r="C407" s="2" t="s">
        <v>939</v>
      </c>
      <c r="D407" s="2" t="s">
        <v>1746</v>
      </c>
      <c r="E407" s="2" t="s">
        <v>1679</v>
      </c>
      <c r="F407" s="2" t="s">
        <v>947</v>
      </c>
      <c r="G407" s="2" t="str">
        <f aca="false">IFERROR(INDEX(Prices_Item,MATCH(F407,Prices_ID,0)),"ITEM NOT FOUND")</f>
        <v>Fabuloso antibacterial multipurpose cleaner 5 L</v>
      </c>
      <c r="H407" s="7" t="n">
        <v>0.3375</v>
      </c>
      <c r="I407" s="2" t="s">
        <v>1721</v>
      </c>
      <c r="J407" s="3" t="n">
        <f aca="false">IFERROR(INDEX(Prices_Current,MATCH(F407,Prices_ID,0)),"")</f>
        <v>155</v>
      </c>
      <c r="K407" s="2" t="s">
        <v>1100</v>
      </c>
      <c r="L407" s="3" t="n">
        <f aca="false">IF(OR(H407="",NOT(ISNUMBER(J407))),"",H407*J407)</f>
        <v>52.3125</v>
      </c>
      <c r="M407" s="2" t="str">
        <f aca="false">IFERROR(INDEX(Prices_Flag,MATCH(F407,Prices_ID,0)),"")</f>
        <v>none</v>
      </c>
      <c r="N407" s="2" t="s">
        <v>1661</v>
      </c>
      <c r="O407" s="0" t="s">
        <v>1747</v>
      </c>
      <c r="P407" s="8" t="s">
        <v>1748</v>
      </c>
      <c r="Q407" s="0" t="s">
        <v>27</v>
      </c>
    </row>
    <row r="408" customFormat="false" ht="17.15" hidden="false" customHeight="false" outlineLevel="0" collapsed="false">
      <c r="A408" s="2" t="s">
        <v>1760</v>
      </c>
      <c r="B408" s="2" t="s">
        <v>1745</v>
      </c>
      <c r="C408" s="2" t="s">
        <v>939</v>
      </c>
      <c r="D408" s="2" t="s">
        <v>1746</v>
      </c>
      <c r="E408" s="2" t="s">
        <v>1679</v>
      </c>
      <c r="F408" s="2" t="s">
        <v>961</v>
      </c>
      <c r="G408" s="2" t="str">
        <f aca="false">IFERROR(INDEX(Prices_Item,MATCH(F408,Prices_ID,0)),"ITEM NOT FOUND")</f>
        <v>Mr Músculo kitchen degreaser 650 ml</v>
      </c>
      <c r="H408" s="7" t="n">
        <v>0.9</v>
      </c>
      <c r="I408" s="2" t="s">
        <v>1721</v>
      </c>
      <c r="J408" s="3" t="n">
        <f aca="false">IFERROR(INDEX(Prices_Current,MATCH(F408,Prices_ID,0)),"")</f>
        <v>64</v>
      </c>
      <c r="K408" s="2" t="s">
        <v>1100</v>
      </c>
      <c r="L408" s="3" t="n">
        <f aca="false">IF(OR(H408="",NOT(ISNUMBER(J408))),"",H408*J408)</f>
        <v>57.6</v>
      </c>
      <c r="M408" s="2" t="str">
        <f aca="false">IFERROR(INDEX(Prices_Flag,MATCH(F408,Prices_ID,0)),"")</f>
        <v>none</v>
      </c>
      <c r="N408" s="2" t="s">
        <v>1661</v>
      </c>
      <c r="O408" s="0" t="s">
        <v>1747</v>
      </c>
      <c r="P408" s="8" t="s">
        <v>1748</v>
      </c>
      <c r="Q408" s="0" t="s">
        <v>27</v>
      </c>
    </row>
    <row r="409" customFormat="false" ht="17.15" hidden="false" customHeight="false" outlineLevel="0" collapsed="false">
      <c r="A409" s="2" t="s">
        <v>1761</v>
      </c>
      <c r="B409" s="2" t="s">
        <v>1745</v>
      </c>
      <c r="C409" s="2" t="s">
        <v>939</v>
      </c>
      <c r="D409" s="2" t="s">
        <v>1746</v>
      </c>
      <c r="E409" s="2" t="s">
        <v>1679</v>
      </c>
      <c r="F409" s="2" t="s">
        <v>972</v>
      </c>
      <c r="G409" s="2" t="str">
        <f aca="false">IFERROR(INDEX(Prices_Item,MATCH(F409,Prices_ID,0)),"ITEM NOT FOUND")</f>
        <v>Mr Músculo daily shower cleaner 650 ml</v>
      </c>
      <c r="H409" s="7" t="n">
        <v>0.9</v>
      </c>
      <c r="I409" s="2" t="s">
        <v>1721</v>
      </c>
      <c r="J409" s="3" t="n">
        <f aca="false">IFERROR(INDEX(Prices_Current,MATCH(F409,Prices_ID,0)),"")</f>
        <v>63</v>
      </c>
      <c r="K409" s="2" t="s">
        <v>1100</v>
      </c>
      <c r="L409" s="3" t="n">
        <f aca="false">IF(OR(H409="",NOT(ISNUMBER(J409))),"",H409*J409)</f>
        <v>56.7</v>
      </c>
      <c r="M409" s="2" t="str">
        <f aca="false">IFERROR(INDEX(Prices_Flag,MATCH(F409,Prices_ID,0)),"")</f>
        <v>none</v>
      </c>
      <c r="N409" s="2" t="s">
        <v>1661</v>
      </c>
      <c r="O409" s="0" t="s">
        <v>1747</v>
      </c>
      <c r="P409" s="8" t="s">
        <v>1748</v>
      </c>
      <c r="Q409" s="0" t="s">
        <v>27</v>
      </c>
    </row>
    <row r="410" customFormat="false" ht="17.15" hidden="false" customHeight="false" outlineLevel="0" collapsed="false">
      <c r="A410" s="2" t="s">
        <v>1762</v>
      </c>
      <c r="B410" s="2" t="s">
        <v>1745</v>
      </c>
      <c r="C410" s="2" t="s">
        <v>939</v>
      </c>
      <c r="D410" s="2" t="s">
        <v>1746</v>
      </c>
      <c r="E410" s="2" t="s">
        <v>1679</v>
      </c>
      <c r="F410" s="2" t="s">
        <v>981</v>
      </c>
      <c r="G410" s="2" t="str">
        <f aca="false">IFERROR(INDEX(Prices_Item,MATCH(F410,Prices_ID,0)),"ITEM NOT FOUND")</f>
        <v>Windex ammonia-free glass cleaner 500 ml</v>
      </c>
      <c r="H410" s="7" t="n">
        <v>1.125</v>
      </c>
      <c r="I410" s="2" t="s">
        <v>1721</v>
      </c>
      <c r="J410" s="3" t="n">
        <f aca="false">IFERROR(INDEX(Prices_Current,MATCH(F410,Prices_ID,0)),"")</f>
        <v>24</v>
      </c>
      <c r="K410" s="2" t="s">
        <v>1100</v>
      </c>
      <c r="L410" s="3" t="n">
        <f aca="false">IF(OR(H410="",NOT(ISNUMBER(J410))),"",H410*J410)</f>
        <v>27</v>
      </c>
      <c r="M410" s="2" t="str">
        <f aca="false">IFERROR(INDEX(Prices_Flag,MATCH(F410,Prices_ID,0)),"")</f>
        <v>none</v>
      </c>
      <c r="N410" s="2" t="s">
        <v>1661</v>
      </c>
      <c r="O410" s="0" t="s">
        <v>1747</v>
      </c>
      <c r="P410" s="8" t="s">
        <v>1748</v>
      </c>
      <c r="Q410" s="0" t="s">
        <v>27</v>
      </c>
    </row>
    <row r="411" customFormat="false" ht="17.15" hidden="false" customHeight="false" outlineLevel="0" collapsed="false">
      <c r="A411" s="2" t="s">
        <v>1763</v>
      </c>
      <c r="B411" s="2" t="s">
        <v>1745</v>
      </c>
      <c r="C411" s="2" t="s">
        <v>939</v>
      </c>
      <c r="D411" s="2" t="s">
        <v>1746</v>
      </c>
      <c r="E411" s="2" t="s">
        <v>1679</v>
      </c>
      <c r="F411" s="2" t="s">
        <v>991</v>
      </c>
      <c r="G411" s="2" t="str">
        <f aca="false">IFERROR(INDEX(Prices_Item,MATCH(F411,Prices_ID,0)),"ITEM NOT FOUND")</f>
        <v>Lysol multipurpose disinfectant 5 L</v>
      </c>
      <c r="H411" s="7" t="n">
        <v>0.225</v>
      </c>
      <c r="I411" s="2" t="s">
        <v>1721</v>
      </c>
      <c r="J411" s="3" t="n">
        <f aca="false">IFERROR(INDEX(Prices_Current,MATCH(F411,Prices_ID,0)),"")</f>
        <v>126</v>
      </c>
      <c r="K411" s="2" t="s">
        <v>1100</v>
      </c>
      <c r="L411" s="3" t="n">
        <f aca="false">IF(OR(H411="",NOT(ISNUMBER(J411))),"",H411*J411)</f>
        <v>28.35</v>
      </c>
      <c r="M411" s="2" t="str">
        <f aca="false">IFERROR(INDEX(Prices_Flag,MATCH(F411,Prices_ID,0)),"")</f>
        <v>none</v>
      </c>
      <c r="N411" s="2" t="s">
        <v>1661</v>
      </c>
      <c r="O411" s="0" t="s">
        <v>1747</v>
      </c>
      <c r="P411" s="8" t="s">
        <v>1748</v>
      </c>
      <c r="Q411" s="0" t="s">
        <v>27</v>
      </c>
    </row>
    <row r="412" customFormat="false" ht="17.15" hidden="false" customHeight="false" outlineLevel="0" collapsed="false">
      <c r="A412" s="2" t="s">
        <v>1764</v>
      </c>
      <c r="B412" s="2" t="s">
        <v>1745</v>
      </c>
      <c r="C412" s="2" t="s">
        <v>939</v>
      </c>
      <c r="D412" s="2" t="s">
        <v>1746</v>
      </c>
      <c r="E412" s="2" t="s">
        <v>1679</v>
      </c>
      <c r="F412" s="2" t="s">
        <v>986</v>
      </c>
      <c r="G412" s="2" t="str">
        <f aca="false">IFERROR(INDEX(Prices_Item,MATCH(F412,Prices_ID,0)),"ITEM NOT FOUND")</f>
        <v>Great Value large microfiber cloth</v>
      </c>
      <c r="H412" s="7" t="n">
        <v>4.5</v>
      </c>
      <c r="I412" s="2" t="s">
        <v>1721</v>
      </c>
      <c r="J412" s="3" t="n">
        <f aca="false">IFERROR(INDEX(Prices_Current,MATCH(F412,Prices_ID,0)),"")</f>
        <v>29</v>
      </c>
      <c r="K412" s="2" t="s">
        <v>1100</v>
      </c>
      <c r="L412" s="3" t="n">
        <f aca="false">IF(OR(H412="",NOT(ISNUMBER(J412))),"",H412*J412)</f>
        <v>130.5</v>
      </c>
      <c r="M412" s="2" t="str">
        <f aca="false">IFERROR(INDEX(Prices_Flag,MATCH(F412,Prices_ID,0)),"")</f>
        <v>none</v>
      </c>
      <c r="N412" s="2" t="s">
        <v>1661</v>
      </c>
      <c r="O412" s="0" t="s">
        <v>1747</v>
      </c>
      <c r="P412" s="8" t="s">
        <v>1748</v>
      </c>
      <c r="Q412" s="0" t="s">
        <v>27</v>
      </c>
    </row>
    <row r="413" customFormat="false" ht="17.15" hidden="false" customHeight="false" outlineLevel="0" collapsed="false">
      <c r="A413" s="2" t="s">
        <v>1765</v>
      </c>
      <c r="B413" s="2" t="s">
        <v>1745</v>
      </c>
      <c r="C413" s="2" t="s">
        <v>939</v>
      </c>
      <c r="D413" s="2" t="s">
        <v>1746</v>
      </c>
      <c r="E413" s="2" t="s">
        <v>1679</v>
      </c>
      <c r="F413" s="2" t="s">
        <v>996</v>
      </c>
      <c r="G413" s="2" t="str">
        <f aca="false">IFERROR(INDEX(Prices_Item,MATCH(F413,Prices_ID,0)),"ITEM NOT FOUND")</f>
        <v>Easy-Off oven cleaner paste 238 g</v>
      </c>
      <c r="H413" s="7" t="n">
        <v>1</v>
      </c>
      <c r="I413" s="2" t="s">
        <v>1670</v>
      </c>
      <c r="J413" s="3" t="n">
        <f aca="false">IFERROR(INDEX(Prices_Current,MATCH(F413,Prices_ID,0)),"")</f>
        <v>70</v>
      </c>
      <c r="K413" s="2" t="s">
        <v>1044</v>
      </c>
      <c r="L413" s="3" t="n">
        <f aca="false">IF(OR(H413="",NOT(ISNUMBER(J413))),"",H413*J413)</f>
        <v>70</v>
      </c>
      <c r="M413" s="2" t="str">
        <f aca="false">IFERROR(INDEX(Prices_Flag,MATCH(F413,Prices_ID,0)),"")</f>
        <v>none</v>
      </c>
      <c r="N413" s="2" t="s">
        <v>1671</v>
      </c>
      <c r="O413" s="0" t="s">
        <v>1747</v>
      </c>
      <c r="P413" s="8" t="s">
        <v>1748</v>
      </c>
      <c r="Q413" s="0" t="s">
        <v>27</v>
      </c>
    </row>
    <row r="414" customFormat="false" ht="17.15" hidden="false" customHeight="false" outlineLevel="0" collapsed="false">
      <c r="A414" s="2" t="s">
        <v>1766</v>
      </c>
      <c r="B414" s="2" t="s">
        <v>1745</v>
      </c>
      <c r="C414" s="2" t="s">
        <v>939</v>
      </c>
      <c r="D414" s="2" t="s">
        <v>1746</v>
      </c>
      <c r="E414" s="2" t="s">
        <v>1679</v>
      </c>
      <c r="F414" s="2" t="s">
        <v>991</v>
      </c>
      <c r="G414" s="2" t="str">
        <f aca="false">IFERROR(INDEX(Prices_Item,MATCH(F414,Prices_ID,0)),"ITEM NOT FOUND")</f>
        <v>Lysol multipurpose disinfectant 5 L</v>
      </c>
      <c r="H414" s="7" t="n">
        <v>0.1</v>
      </c>
      <c r="I414" s="2" t="s">
        <v>1673</v>
      </c>
      <c r="J414" s="3" t="n">
        <f aca="false">IFERROR(INDEX(Prices_Current,MATCH(F414,Prices_ID,0)),"")</f>
        <v>126</v>
      </c>
      <c r="K414" s="2" t="s">
        <v>1044</v>
      </c>
      <c r="L414" s="3" t="n">
        <f aca="false">IF(OR(H414="",NOT(ISNUMBER(J414))),"",H414*J414)</f>
        <v>12.6</v>
      </c>
      <c r="M414" s="2" t="str">
        <f aca="false">IFERROR(INDEX(Prices_Flag,MATCH(F414,Prices_ID,0)),"")</f>
        <v>none</v>
      </c>
      <c r="N414" s="2" t="s">
        <v>1671</v>
      </c>
      <c r="O414" s="0" t="s">
        <v>1747</v>
      </c>
      <c r="P414" s="8" t="s">
        <v>1748</v>
      </c>
      <c r="Q414" s="0" t="s">
        <v>27</v>
      </c>
    </row>
    <row r="415" customFormat="false" ht="17.15" hidden="false" customHeight="false" outlineLevel="0" collapsed="false">
      <c r="A415" s="2" t="s">
        <v>1767</v>
      </c>
      <c r="B415" s="2" t="s">
        <v>1745</v>
      </c>
      <c r="C415" s="2" t="s">
        <v>939</v>
      </c>
      <c r="D415" s="2" t="s">
        <v>1746</v>
      </c>
      <c r="E415" s="2" t="s">
        <v>1679</v>
      </c>
      <c r="F415" s="2" t="s">
        <v>938</v>
      </c>
      <c r="G415" s="2" t="str">
        <f aca="false">IFERROR(INDEX(Prices_Item,MATCH(F415,Prices_ID,0)),"ITEM NOT FOUND")</f>
        <v>Pinol El Original pine cleaner 5.1 L</v>
      </c>
      <c r="H415" s="7" t="n">
        <v>0.2</v>
      </c>
      <c r="I415" s="2" t="s">
        <v>1675</v>
      </c>
      <c r="J415" s="3" t="n">
        <f aca="false">IFERROR(INDEX(Prices_Current,MATCH(F415,Prices_ID,0)),"")</f>
        <v>115</v>
      </c>
      <c r="K415" s="2" t="s">
        <v>1044</v>
      </c>
      <c r="L415" s="3" t="n">
        <f aca="false">IF(OR(H415="",NOT(ISNUMBER(J415))),"",H415*J415)</f>
        <v>23</v>
      </c>
      <c r="M415" s="2" t="str">
        <f aca="false">IFERROR(INDEX(Prices_Flag,MATCH(F415,Prices_ID,0)),"")</f>
        <v>none</v>
      </c>
      <c r="N415" s="2" t="s">
        <v>1671</v>
      </c>
      <c r="O415" s="0" t="s">
        <v>1747</v>
      </c>
      <c r="P415" s="8" t="s">
        <v>1748</v>
      </c>
      <c r="Q415" s="0" t="s">
        <v>27</v>
      </c>
    </row>
    <row r="416" customFormat="false" ht="17.15" hidden="false" customHeight="false" outlineLevel="0" collapsed="false">
      <c r="A416" s="2" t="s">
        <v>1768</v>
      </c>
      <c r="B416" s="2" t="s">
        <v>1745</v>
      </c>
      <c r="C416" s="2" t="s">
        <v>939</v>
      </c>
      <c r="D416" s="2" t="s">
        <v>1746</v>
      </c>
      <c r="E416" s="2" t="s">
        <v>1679</v>
      </c>
      <c r="F416" s="2" t="s">
        <v>1008</v>
      </c>
      <c r="G416" s="2" t="str">
        <f aca="false">IFERROR(INDEX(Prices_Item,MATCH(F416,Prices_ID,0)),"ITEM NOT FOUND")</f>
        <v>Nature's Miracle enzymatic stain and odor cleaner 3.7 L</v>
      </c>
      <c r="H416" s="7" t="n">
        <v>0.1</v>
      </c>
      <c r="I416" s="2" t="s">
        <v>1677</v>
      </c>
      <c r="J416" s="3" t="n">
        <f aca="false">IFERROR(INDEX(Prices_Current,MATCH(F416,Prices_ID,0)),"")</f>
        <v>799</v>
      </c>
      <c r="K416" s="2" t="s">
        <v>1044</v>
      </c>
      <c r="L416" s="3" t="n">
        <f aca="false">IF(OR(H416="",NOT(ISNUMBER(J416))),"",H416*J416)</f>
        <v>79.9</v>
      </c>
      <c r="M416" s="2" t="str">
        <f aca="false">IFERROR(INDEX(Prices_Flag,MATCH(F416,Prices_ID,0)),"")</f>
        <v>none</v>
      </c>
      <c r="N416" s="2" t="s">
        <v>1671</v>
      </c>
      <c r="O416" s="0" t="s">
        <v>1747</v>
      </c>
      <c r="P416" s="8" t="s">
        <v>1748</v>
      </c>
      <c r="Q416" s="0" t="s">
        <v>27</v>
      </c>
    </row>
    <row r="417" customFormat="false" ht="17.15" hidden="false" customHeight="false" outlineLevel="0" collapsed="false">
      <c r="A417" s="2" t="s">
        <v>1769</v>
      </c>
      <c r="B417" s="2" t="s">
        <v>1745</v>
      </c>
      <c r="C417" s="2" t="s">
        <v>939</v>
      </c>
      <c r="D417" s="2" t="s">
        <v>1746</v>
      </c>
      <c r="E417" s="2" t="s">
        <v>1679</v>
      </c>
      <c r="F417" s="2" t="s">
        <v>1020</v>
      </c>
      <c r="G417" s="2" t="str">
        <f aca="false">IFERROR(INDEX(Prices_Item,MATCH(F417,Prices_ID,0)),"ITEM NOT FOUND")</f>
        <v>Mold / biohazard cleanup</v>
      </c>
      <c r="H417" s="7"/>
      <c r="I417" s="2" t="s">
        <v>1718</v>
      </c>
      <c r="J417" s="3" t="str">
        <f aca="false">IFERROR(INDEX(Prices_Current,MATCH(F417,Prices_ID,0)),"")</f>
        <v/>
      </c>
      <c r="K417" s="2" t="s">
        <v>1061</v>
      </c>
      <c r="L417" s="3" t="str">
        <f aca="false">IF(OR(H417="",NOT(ISNUMBER(J417))),"",H417*J417)</f>
        <v/>
      </c>
      <c r="M417" s="2" t="str">
        <f aca="false">IFERROR(INDEX(Prices_Flag,MATCH(F417,Prices_ID,0)),"")</f>
        <v>FLAGGED-human review</v>
      </c>
      <c r="N417" s="2" t="s">
        <v>1719</v>
      </c>
      <c r="O417" s="0" t="s">
        <v>1747</v>
      </c>
      <c r="P417" s="8" t="s">
        <v>1748</v>
      </c>
      <c r="Q417" s="0" t="s">
        <v>1044</v>
      </c>
    </row>
    <row r="418" customFormat="false" ht="17.15" hidden="false" customHeight="false" outlineLevel="0" collapsed="false">
      <c r="A418" s="2" t="s">
        <v>1770</v>
      </c>
      <c r="B418" s="2" t="s">
        <v>1745</v>
      </c>
      <c r="C418" s="2" t="s">
        <v>939</v>
      </c>
      <c r="D418" s="2" t="s">
        <v>1746</v>
      </c>
      <c r="E418" s="2" t="s">
        <v>1691</v>
      </c>
      <c r="F418" s="2" t="s">
        <v>947</v>
      </c>
      <c r="G418" s="2" t="str">
        <f aca="false">IFERROR(INDEX(Prices_Item,MATCH(F418,Prices_ID,0)),"ITEM NOT FOUND")</f>
        <v>Fabuloso antibacterial multipurpose cleaner 5 L</v>
      </c>
      <c r="H418" s="7" t="n">
        <v>0.45</v>
      </c>
      <c r="I418" s="2" t="s">
        <v>1733</v>
      </c>
      <c r="J418" s="3" t="n">
        <f aca="false">IFERROR(INDEX(Prices_Current,MATCH(F418,Prices_ID,0)),"")</f>
        <v>155</v>
      </c>
      <c r="K418" s="2" t="s">
        <v>1100</v>
      </c>
      <c r="L418" s="3" t="n">
        <f aca="false">IF(OR(H418="",NOT(ISNUMBER(J418))),"",H418*J418)</f>
        <v>69.75</v>
      </c>
      <c r="M418" s="2" t="str">
        <f aca="false">IFERROR(INDEX(Prices_Flag,MATCH(F418,Prices_ID,0)),"")</f>
        <v>none</v>
      </c>
      <c r="N418" s="2" t="s">
        <v>1661</v>
      </c>
      <c r="O418" s="0" t="s">
        <v>1747</v>
      </c>
      <c r="P418" s="8" t="s">
        <v>1748</v>
      </c>
      <c r="Q418" s="0" t="s">
        <v>27</v>
      </c>
    </row>
    <row r="419" customFormat="false" ht="17.15" hidden="false" customHeight="false" outlineLevel="0" collapsed="false">
      <c r="A419" s="2" t="s">
        <v>1771</v>
      </c>
      <c r="B419" s="2" t="s">
        <v>1745</v>
      </c>
      <c r="C419" s="2" t="s">
        <v>939</v>
      </c>
      <c r="D419" s="2" t="s">
        <v>1746</v>
      </c>
      <c r="E419" s="2" t="s">
        <v>1691</v>
      </c>
      <c r="F419" s="2" t="s">
        <v>961</v>
      </c>
      <c r="G419" s="2" t="str">
        <f aca="false">IFERROR(INDEX(Prices_Item,MATCH(F419,Prices_ID,0)),"ITEM NOT FOUND")</f>
        <v>Mr Músculo kitchen degreaser 650 ml</v>
      </c>
      <c r="H419" s="7" t="n">
        <v>1.2</v>
      </c>
      <c r="I419" s="2" t="s">
        <v>1733</v>
      </c>
      <c r="J419" s="3" t="n">
        <f aca="false">IFERROR(INDEX(Prices_Current,MATCH(F419,Prices_ID,0)),"")</f>
        <v>64</v>
      </c>
      <c r="K419" s="2" t="s">
        <v>1100</v>
      </c>
      <c r="L419" s="3" t="n">
        <f aca="false">IF(OR(H419="",NOT(ISNUMBER(J419))),"",H419*J419)</f>
        <v>76.8</v>
      </c>
      <c r="M419" s="2" t="str">
        <f aca="false">IFERROR(INDEX(Prices_Flag,MATCH(F419,Prices_ID,0)),"")</f>
        <v>none</v>
      </c>
      <c r="N419" s="2" t="s">
        <v>1661</v>
      </c>
      <c r="O419" s="0" t="s">
        <v>1747</v>
      </c>
      <c r="P419" s="8" t="s">
        <v>1748</v>
      </c>
      <c r="Q419" s="0" t="s">
        <v>27</v>
      </c>
    </row>
    <row r="420" customFormat="false" ht="17.15" hidden="false" customHeight="false" outlineLevel="0" collapsed="false">
      <c r="A420" s="2" t="s">
        <v>1772</v>
      </c>
      <c r="B420" s="2" t="s">
        <v>1745</v>
      </c>
      <c r="C420" s="2" t="s">
        <v>939</v>
      </c>
      <c r="D420" s="2" t="s">
        <v>1746</v>
      </c>
      <c r="E420" s="2" t="s">
        <v>1691</v>
      </c>
      <c r="F420" s="2" t="s">
        <v>972</v>
      </c>
      <c r="G420" s="2" t="str">
        <f aca="false">IFERROR(INDEX(Prices_Item,MATCH(F420,Prices_ID,0)),"ITEM NOT FOUND")</f>
        <v>Mr Músculo daily shower cleaner 650 ml</v>
      </c>
      <c r="H420" s="7" t="n">
        <v>1.2</v>
      </c>
      <c r="I420" s="2" t="s">
        <v>1733</v>
      </c>
      <c r="J420" s="3" t="n">
        <f aca="false">IFERROR(INDEX(Prices_Current,MATCH(F420,Prices_ID,0)),"")</f>
        <v>63</v>
      </c>
      <c r="K420" s="2" t="s">
        <v>1100</v>
      </c>
      <c r="L420" s="3" t="n">
        <f aca="false">IF(OR(H420="",NOT(ISNUMBER(J420))),"",H420*J420)</f>
        <v>75.6</v>
      </c>
      <c r="M420" s="2" t="str">
        <f aca="false">IFERROR(INDEX(Prices_Flag,MATCH(F420,Prices_ID,0)),"")</f>
        <v>none</v>
      </c>
      <c r="N420" s="2" t="s">
        <v>1661</v>
      </c>
      <c r="O420" s="0" t="s">
        <v>1747</v>
      </c>
      <c r="P420" s="8" t="s">
        <v>1748</v>
      </c>
      <c r="Q420" s="0" t="s">
        <v>27</v>
      </c>
    </row>
    <row r="421" customFormat="false" ht="17.15" hidden="false" customHeight="false" outlineLevel="0" collapsed="false">
      <c r="A421" s="2" t="s">
        <v>1773</v>
      </c>
      <c r="B421" s="2" t="s">
        <v>1745</v>
      </c>
      <c r="C421" s="2" t="s">
        <v>939</v>
      </c>
      <c r="D421" s="2" t="s">
        <v>1746</v>
      </c>
      <c r="E421" s="2" t="s">
        <v>1691</v>
      </c>
      <c r="F421" s="2" t="s">
        <v>981</v>
      </c>
      <c r="G421" s="2" t="str">
        <f aca="false">IFERROR(INDEX(Prices_Item,MATCH(F421,Prices_ID,0)),"ITEM NOT FOUND")</f>
        <v>Windex ammonia-free glass cleaner 500 ml</v>
      </c>
      <c r="H421" s="7" t="n">
        <v>1.5</v>
      </c>
      <c r="I421" s="2" t="s">
        <v>1733</v>
      </c>
      <c r="J421" s="3" t="n">
        <f aca="false">IFERROR(INDEX(Prices_Current,MATCH(F421,Prices_ID,0)),"")</f>
        <v>24</v>
      </c>
      <c r="K421" s="2" t="s">
        <v>1100</v>
      </c>
      <c r="L421" s="3" t="n">
        <f aca="false">IF(OR(H421="",NOT(ISNUMBER(J421))),"",H421*J421)</f>
        <v>36</v>
      </c>
      <c r="M421" s="2" t="str">
        <f aca="false">IFERROR(INDEX(Prices_Flag,MATCH(F421,Prices_ID,0)),"")</f>
        <v>none</v>
      </c>
      <c r="N421" s="2" t="s">
        <v>1661</v>
      </c>
      <c r="O421" s="0" t="s">
        <v>1747</v>
      </c>
      <c r="P421" s="8" t="s">
        <v>1748</v>
      </c>
      <c r="Q421" s="0" t="s">
        <v>27</v>
      </c>
    </row>
    <row r="422" customFormat="false" ht="17.15" hidden="false" customHeight="false" outlineLevel="0" collapsed="false">
      <c r="A422" s="2" t="s">
        <v>1774</v>
      </c>
      <c r="B422" s="2" t="s">
        <v>1745</v>
      </c>
      <c r="C422" s="2" t="s">
        <v>939</v>
      </c>
      <c r="D422" s="2" t="s">
        <v>1746</v>
      </c>
      <c r="E422" s="2" t="s">
        <v>1691</v>
      </c>
      <c r="F422" s="2" t="s">
        <v>991</v>
      </c>
      <c r="G422" s="2" t="str">
        <f aca="false">IFERROR(INDEX(Prices_Item,MATCH(F422,Prices_ID,0)),"ITEM NOT FOUND")</f>
        <v>Lysol multipurpose disinfectant 5 L</v>
      </c>
      <c r="H422" s="7" t="n">
        <v>0.3</v>
      </c>
      <c r="I422" s="2" t="s">
        <v>1733</v>
      </c>
      <c r="J422" s="3" t="n">
        <f aca="false">IFERROR(INDEX(Prices_Current,MATCH(F422,Prices_ID,0)),"")</f>
        <v>126</v>
      </c>
      <c r="K422" s="2" t="s">
        <v>1100</v>
      </c>
      <c r="L422" s="3" t="n">
        <f aca="false">IF(OR(H422="",NOT(ISNUMBER(J422))),"",H422*J422)</f>
        <v>37.8</v>
      </c>
      <c r="M422" s="2" t="str">
        <f aca="false">IFERROR(INDEX(Prices_Flag,MATCH(F422,Prices_ID,0)),"")</f>
        <v>none</v>
      </c>
      <c r="N422" s="2" t="s">
        <v>1661</v>
      </c>
      <c r="O422" s="0" t="s">
        <v>1747</v>
      </c>
      <c r="P422" s="8" t="s">
        <v>1748</v>
      </c>
      <c r="Q422" s="0" t="s">
        <v>27</v>
      </c>
    </row>
    <row r="423" customFormat="false" ht="17.15" hidden="false" customHeight="false" outlineLevel="0" collapsed="false">
      <c r="A423" s="2" t="s">
        <v>1775</v>
      </c>
      <c r="B423" s="2" t="s">
        <v>1745</v>
      </c>
      <c r="C423" s="2" t="s">
        <v>939</v>
      </c>
      <c r="D423" s="2" t="s">
        <v>1746</v>
      </c>
      <c r="E423" s="2" t="s">
        <v>1691</v>
      </c>
      <c r="F423" s="2" t="s">
        <v>986</v>
      </c>
      <c r="G423" s="2" t="str">
        <f aca="false">IFERROR(INDEX(Prices_Item,MATCH(F423,Prices_ID,0)),"ITEM NOT FOUND")</f>
        <v>Great Value large microfiber cloth</v>
      </c>
      <c r="H423" s="7" t="n">
        <v>6</v>
      </c>
      <c r="I423" s="2" t="s">
        <v>1733</v>
      </c>
      <c r="J423" s="3" t="n">
        <f aca="false">IFERROR(INDEX(Prices_Current,MATCH(F423,Prices_ID,0)),"")</f>
        <v>29</v>
      </c>
      <c r="K423" s="2" t="s">
        <v>1100</v>
      </c>
      <c r="L423" s="3" t="n">
        <f aca="false">IF(OR(H423="",NOT(ISNUMBER(J423))),"",H423*J423)</f>
        <v>174</v>
      </c>
      <c r="M423" s="2" t="str">
        <f aca="false">IFERROR(INDEX(Prices_Flag,MATCH(F423,Prices_ID,0)),"")</f>
        <v>none</v>
      </c>
      <c r="N423" s="2" t="s">
        <v>1661</v>
      </c>
      <c r="O423" s="0" t="s">
        <v>1747</v>
      </c>
      <c r="P423" s="8" t="s">
        <v>1748</v>
      </c>
      <c r="Q423" s="0" t="s">
        <v>27</v>
      </c>
    </row>
    <row r="424" customFormat="false" ht="17.15" hidden="false" customHeight="false" outlineLevel="0" collapsed="false">
      <c r="A424" s="2" t="s">
        <v>1776</v>
      </c>
      <c r="B424" s="2" t="s">
        <v>1745</v>
      </c>
      <c r="C424" s="2" t="s">
        <v>939</v>
      </c>
      <c r="D424" s="2" t="s">
        <v>1746</v>
      </c>
      <c r="E424" s="2" t="s">
        <v>1691</v>
      </c>
      <c r="F424" s="2" t="s">
        <v>996</v>
      </c>
      <c r="G424" s="2" t="str">
        <f aca="false">IFERROR(INDEX(Prices_Item,MATCH(F424,Prices_ID,0)),"ITEM NOT FOUND")</f>
        <v>Easy-Off oven cleaner paste 238 g</v>
      </c>
      <c r="H424" s="7" t="n">
        <v>1</v>
      </c>
      <c r="I424" s="2" t="s">
        <v>1670</v>
      </c>
      <c r="J424" s="3" t="n">
        <f aca="false">IFERROR(INDEX(Prices_Current,MATCH(F424,Prices_ID,0)),"")</f>
        <v>70</v>
      </c>
      <c r="K424" s="2" t="s">
        <v>1044</v>
      </c>
      <c r="L424" s="3" t="n">
        <f aca="false">IF(OR(H424="",NOT(ISNUMBER(J424))),"",H424*J424)</f>
        <v>70</v>
      </c>
      <c r="M424" s="2" t="str">
        <f aca="false">IFERROR(INDEX(Prices_Flag,MATCH(F424,Prices_ID,0)),"")</f>
        <v>none</v>
      </c>
      <c r="N424" s="2" t="s">
        <v>1671</v>
      </c>
      <c r="O424" s="0" t="s">
        <v>1747</v>
      </c>
      <c r="P424" s="8" t="s">
        <v>1748</v>
      </c>
      <c r="Q424" s="0" t="s">
        <v>27</v>
      </c>
    </row>
    <row r="425" customFormat="false" ht="17.15" hidden="false" customHeight="false" outlineLevel="0" collapsed="false">
      <c r="A425" s="2" t="s">
        <v>1777</v>
      </c>
      <c r="B425" s="2" t="s">
        <v>1745</v>
      </c>
      <c r="C425" s="2" t="s">
        <v>939</v>
      </c>
      <c r="D425" s="2" t="s">
        <v>1746</v>
      </c>
      <c r="E425" s="2" t="s">
        <v>1691</v>
      </c>
      <c r="F425" s="2" t="s">
        <v>991</v>
      </c>
      <c r="G425" s="2" t="str">
        <f aca="false">IFERROR(INDEX(Prices_Item,MATCH(F425,Prices_ID,0)),"ITEM NOT FOUND")</f>
        <v>Lysol multipurpose disinfectant 5 L</v>
      </c>
      <c r="H425" s="7" t="n">
        <v>0.1</v>
      </c>
      <c r="I425" s="2" t="s">
        <v>1673</v>
      </c>
      <c r="J425" s="3" t="n">
        <f aca="false">IFERROR(INDEX(Prices_Current,MATCH(F425,Prices_ID,0)),"")</f>
        <v>126</v>
      </c>
      <c r="K425" s="2" t="s">
        <v>1044</v>
      </c>
      <c r="L425" s="3" t="n">
        <f aca="false">IF(OR(H425="",NOT(ISNUMBER(J425))),"",H425*J425)</f>
        <v>12.6</v>
      </c>
      <c r="M425" s="2" t="str">
        <f aca="false">IFERROR(INDEX(Prices_Flag,MATCH(F425,Prices_ID,0)),"")</f>
        <v>none</v>
      </c>
      <c r="N425" s="2" t="s">
        <v>1671</v>
      </c>
      <c r="O425" s="0" t="s">
        <v>1747</v>
      </c>
      <c r="P425" s="8" t="s">
        <v>1748</v>
      </c>
      <c r="Q425" s="0" t="s">
        <v>27</v>
      </c>
    </row>
    <row r="426" customFormat="false" ht="17.15" hidden="false" customHeight="false" outlineLevel="0" collapsed="false">
      <c r="A426" s="2" t="s">
        <v>1778</v>
      </c>
      <c r="B426" s="2" t="s">
        <v>1745</v>
      </c>
      <c r="C426" s="2" t="s">
        <v>939</v>
      </c>
      <c r="D426" s="2" t="s">
        <v>1746</v>
      </c>
      <c r="E426" s="2" t="s">
        <v>1691</v>
      </c>
      <c r="F426" s="2" t="s">
        <v>938</v>
      </c>
      <c r="G426" s="2" t="str">
        <f aca="false">IFERROR(INDEX(Prices_Item,MATCH(F426,Prices_ID,0)),"ITEM NOT FOUND")</f>
        <v>Pinol El Original pine cleaner 5.1 L</v>
      </c>
      <c r="H426" s="7" t="n">
        <v>0.2</v>
      </c>
      <c r="I426" s="2" t="s">
        <v>1675</v>
      </c>
      <c r="J426" s="3" t="n">
        <f aca="false">IFERROR(INDEX(Prices_Current,MATCH(F426,Prices_ID,0)),"")</f>
        <v>115</v>
      </c>
      <c r="K426" s="2" t="s">
        <v>1044</v>
      </c>
      <c r="L426" s="3" t="n">
        <f aca="false">IF(OR(H426="",NOT(ISNUMBER(J426))),"",H426*J426)</f>
        <v>23</v>
      </c>
      <c r="M426" s="2" t="str">
        <f aca="false">IFERROR(INDEX(Prices_Flag,MATCH(F426,Prices_ID,0)),"")</f>
        <v>none</v>
      </c>
      <c r="N426" s="2" t="s">
        <v>1671</v>
      </c>
      <c r="O426" s="0" t="s">
        <v>1747</v>
      </c>
      <c r="P426" s="8" t="s">
        <v>1748</v>
      </c>
      <c r="Q426" s="0" t="s">
        <v>27</v>
      </c>
    </row>
    <row r="427" customFormat="false" ht="17.15" hidden="false" customHeight="false" outlineLevel="0" collapsed="false">
      <c r="A427" s="2" t="s">
        <v>1779</v>
      </c>
      <c r="B427" s="2" t="s">
        <v>1745</v>
      </c>
      <c r="C427" s="2" t="s">
        <v>939</v>
      </c>
      <c r="D427" s="2" t="s">
        <v>1746</v>
      </c>
      <c r="E427" s="2" t="s">
        <v>1691</v>
      </c>
      <c r="F427" s="2" t="s">
        <v>1008</v>
      </c>
      <c r="G427" s="2" t="str">
        <f aca="false">IFERROR(INDEX(Prices_Item,MATCH(F427,Prices_ID,0)),"ITEM NOT FOUND")</f>
        <v>Nature's Miracle enzymatic stain and odor cleaner 3.7 L</v>
      </c>
      <c r="H427" s="7" t="n">
        <v>0.1</v>
      </c>
      <c r="I427" s="2" t="s">
        <v>1677</v>
      </c>
      <c r="J427" s="3" t="n">
        <f aca="false">IFERROR(INDEX(Prices_Current,MATCH(F427,Prices_ID,0)),"")</f>
        <v>799</v>
      </c>
      <c r="K427" s="2" t="s">
        <v>1044</v>
      </c>
      <c r="L427" s="3" t="n">
        <f aca="false">IF(OR(H427="",NOT(ISNUMBER(J427))),"",H427*J427)</f>
        <v>79.9</v>
      </c>
      <c r="M427" s="2" t="str">
        <f aca="false">IFERROR(INDEX(Prices_Flag,MATCH(F427,Prices_ID,0)),"")</f>
        <v>none</v>
      </c>
      <c r="N427" s="2" t="s">
        <v>1671</v>
      </c>
      <c r="O427" s="0" t="s">
        <v>1747</v>
      </c>
      <c r="P427" s="8" t="s">
        <v>1748</v>
      </c>
      <c r="Q427" s="0" t="s">
        <v>27</v>
      </c>
    </row>
    <row r="428" customFormat="false" ht="17.15" hidden="false" customHeight="false" outlineLevel="0" collapsed="false">
      <c r="A428" s="2" t="s">
        <v>1780</v>
      </c>
      <c r="B428" s="2" t="s">
        <v>1745</v>
      </c>
      <c r="C428" s="2" t="s">
        <v>939</v>
      </c>
      <c r="D428" s="2" t="s">
        <v>1746</v>
      </c>
      <c r="E428" s="2" t="s">
        <v>1691</v>
      </c>
      <c r="F428" s="2" t="s">
        <v>1020</v>
      </c>
      <c r="G428" s="2" t="str">
        <f aca="false">IFERROR(INDEX(Prices_Item,MATCH(F428,Prices_ID,0)),"ITEM NOT FOUND")</f>
        <v>Mold / biohazard cleanup</v>
      </c>
      <c r="H428" s="7"/>
      <c r="I428" s="2" t="s">
        <v>1718</v>
      </c>
      <c r="J428" s="3" t="str">
        <f aca="false">IFERROR(INDEX(Prices_Current,MATCH(F428,Prices_ID,0)),"")</f>
        <v/>
      </c>
      <c r="K428" s="2" t="s">
        <v>1061</v>
      </c>
      <c r="L428" s="3" t="str">
        <f aca="false">IF(OR(H428="",NOT(ISNUMBER(J428))),"",H428*J428)</f>
        <v/>
      </c>
      <c r="M428" s="2" t="str">
        <f aca="false">IFERROR(INDEX(Prices_Flag,MATCH(F428,Prices_ID,0)),"")</f>
        <v>FLAGGED-human review</v>
      </c>
      <c r="N428" s="2" t="s">
        <v>1719</v>
      </c>
      <c r="O428" s="0" t="s">
        <v>1747</v>
      </c>
      <c r="P428" s="8" t="s">
        <v>1748</v>
      </c>
      <c r="Q428" s="0" t="s">
        <v>1044</v>
      </c>
    </row>
    <row r="429" customFormat="false" ht="17.15" hidden="false" customHeight="false" outlineLevel="0" collapsed="false">
      <c r="A429" s="2" t="s">
        <v>1781</v>
      </c>
      <c r="B429" s="2" t="s">
        <v>1782</v>
      </c>
      <c r="C429" s="2" t="s">
        <v>939</v>
      </c>
      <c r="D429" s="2" t="s">
        <v>1783</v>
      </c>
      <c r="E429" s="2" t="s">
        <v>1659</v>
      </c>
      <c r="F429" s="2" t="s">
        <v>947</v>
      </c>
      <c r="G429" s="2" t="str">
        <f aca="false">IFERROR(INDEX(Prices_Item,MATCH(F429,Prices_ID,0)),"ITEM NOT FOUND")</f>
        <v>Fabuloso antibacterial multipurpose cleaner 5 L</v>
      </c>
      <c r="H429" s="7" t="n">
        <v>0.3</v>
      </c>
      <c r="I429" s="2" t="s">
        <v>1784</v>
      </c>
      <c r="J429" s="3" t="n">
        <f aca="false">IFERROR(INDEX(Prices_Current,MATCH(F429,Prices_ID,0)),"")</f>
        <v>155</v>
      </c>
      <c r="K429" s="2" t="s">
        <v>1100</v>
      </c>
      <c r="L429" s="3" t="n">
        <f aca="false">IF(OR(H429="",NOT(ISNUMBER(J429))),"",H429*J429)</f>
        <v>46.5</v>
      </c>
      <c r="M429" s="2" t="str">
        <f aca="false">IFERROR(INDEX(Prices_Flag,MATCH(F429,Prices_ID,0)),"")</f>
        <v>none</v>
      </c>
      <c r="N429" s="2" t="s">
        <v>1661</v>
      </c>
      <c r="O429" s="0" t="s">
        <v>1785</v>
      </c>
      <c r="P429" s="8" t="s">
        <v>1786</v>
      </c>
      <c r="Q429" s="0" t="s">
        <v>27</v>
      </c>
    </row>
    <row r="430" customFormat="false" ht="17.15" hidden="false" customHeight="false" outlineLevel="0" collapsed="false">
      <c r="A430" s="2" t="s">
        <v>1787</v>
      </c>
      <c r="B430" s="2" t="s">
        <v>1782</v>
      </c>
      <c r="C430" s="2" t="s">
        <v>939</v>
      </c>
      <c r="D430" s="2" t="s">
        <v>1783</v>
      </c>
      <c r="E430" s="2" t="s">
        <v>1659</v>
      </c>
      <c r="F430" s="2" t="s">
        <v>961</v>
      </c>
      <c r="G430" s="2" t="str">
        <f aca="false">IFERROR(INDEX(Prices_Item,MATCH(F430,Prices_ID,0)),"ITEM NOT FOUND")</f>
        <v>Mr Músculo kitchen degreaser 650 ml</v>
      </c>
      <c r="H430" s="7" t="n">
        <v>0.8</v>
      </c>
      <c r="I430" s="2" t="s">
        <v>1784</v>
      </c>
      <c r="J430" s="3" t="n">
        <f aca="false">IFERROR(INDEX(Prices_Current,MATCH(F430,Prices_ID,0)),"")</f>
        <v>64</v>
      </c>
      <c r="K430" s="2" t="s">
        <v>1100</v>
      </c>
      <c r="L430" s="3" t="n">
        <f aca="false">IF(OR(H430="",NOT(ISNUMBER(J430))),"",H430*J430)</f>
        <v>51.2</v>
      </c>
      <c r="M430" s="2" t="str">
        <f aca="false">IFERROR(INDEX(Prices_Flag,MATCH(F430,Prices_ID,0)),"")</f>
        <v>none</v>
      </c>
      <c r="N430" s="2" t="s">
        <v>1661</v>
      </c>
      <c r="O430" s="0" t="s">
        <v>1785</v>
      </c>
      <c r="P430" s="8" t="s">
        <v>1786</v>
      </c>
      <c r="Q430" s="0" t="s">
        <v>27</v>
      </c>
    </row>
    <row r="431" customFormat="false" ht="17.15" hidden="false" customHeight="false" outlineLevel="0" collapsed="false">
      <c r="A431" s="2" t="s">
        <v>1788</v>
      </c>
      <c r="B431" s="2" t="s">
        <v>1782</v>
      </c>
      <c r="C431" s="2" t="s">
        <v>939</v>
      </c>
      <c r="D431" s="2" t="s">
        <v>1783</v>
      </c>
      <c r="E431" s="2" t="s">
        <v>1659</v>
      </c>
      <c r="F431" s="2" t="s">
        <v>972</v>
      </c>
      <c r="G431" s="2" t="str">
        <f aca="false">IFERROR(INDEX(Prices_Item,MATCH(F431,Prices_ID,0)),"ITEM NOT FOUND")</f>
        <v>Mr Músculo daily shower cleaner 650 ml</v>
      </c>
      <c r="H431" s="7" t="n">
        <v>0.8</v>
      </c>
      <c r="I431" s="2" t="s">
        <v>1784</v>
      </c>
      <c r="J431" s="3" t="n">
        <f aca="false">IFERROR(INDEX(Prices_Current,MATCH(F431,Prices_ID,0)),"")</f>
        <v>63</v>
      </c>
      <c r="K431" s="2" t="s">
        <v>1100</v>
      </c>
      <c r="L431" s="3" t="n">
        <f aca="false">IF(OR(H431="",NOT(ISNUMBER(J431))),"",H431*J431)</f>
        <v>50.4</v>
      </c>
      <c r="M431" s="2" t="str">
        <f aca="false">IFERROR(INDEX(Prices_Flag,MATCH(F431,Prices_ID,0)),"")</f>
        <v>none</v>
      </c>
      <c r="N431" s="2" t="s">
        <v>1661</v>
      </c>
      <c r="O431" s="0" t="s">
        <v>1785</v>
      </c>
      <c r="P431" s="8" t="s">
        <v>1786</v>
      </c>
      <c r="Q431" s="0" t="s">
        <v>27</v>
      </c>
    </row>
    <row r="432" customFormat="false" ht="17.15" hidden="false" customHeight="false" outlineLevel="0" collapsed="false">
      <c r="A432" s="2" t="s">
        <v>1789</v>
      </c>
      <c r="B432" s="2" t="s">
        <v>1782</v>
      </c>
      <c r="C432" s="2" t="s">
        <v>939</v>
      </c>
      <c r="D432" s="2" t="s">
        <v>1783</v>
      </c>
      <c r="E432" s="2" t="s">
        <v>1659</v>
      </c>
      <c r="F432" s="2" t="s">
        <v>981</v>
      </c>
      <c r="G432" s="2" t="str">
        <f aca="false">IFERROR(INDEX(Prices_Item,MATCH(F432,Prices_ID,0)),"ITEM NOT FOUND")</f>
        <v>Windex ammonia-free glass cleaner 500 ml</v>
      </c>
      <c r="H432" s="7" t="n">
        <v>1</v>
      </c>
      <c r="I432" s="2" t="s">
        <v>1784</v>
      </c>
      <c r="J432" s="3" t="n">
        <f aca="false">IFERROR(INDEX(Prices_Current,MATCH(F432,Prices_ID,0)),"")</f>
        <v>24</v>
      </c>
      <c r="K432" s="2" t="s">
        <v>1100</v>
      </c>
      <c r="L432" s="3" t="n">
        <f aca="false">IF(OR(H432="",NOT(ISNUMBER(J432))),"",H432*J432)</f>
        <v>24</v>
      </c>
      <c r="M432" s="2" t="str">
        <f aca="false">IFERROR(INDEX(Prices_Flag,MATCH(F432,Prices_ID,0)),"")</f>
        <v>none</v>
      </c>
      <c r="N432" s="2" t="s">
        <v>1661</v>
      </c>
      <c r="O432" s="0" t="s">
        <v>1785</v>
      </c>
      <c r="P432" s="8" t="s">
        <v>1786</v>
      </c>
      <c r="Q432" s="0" t="s">
        <v>27</v>
      </c>
    </row>
    <row r="433" customFormat="false" ht="17.15" hidden="false" customHeight="false" outlineLevel="0" collapsed="false">
      <c r="A433" s="2" t="s">
        <v>1790</v>
      </c>
      <c r="B433" s="2" t="s">
        <v>1782</v>
      </c>
      <c r="C433" s="2" t="s">
        <v>939</v>
      </c>
      <c r="D433" s="2" t="s">
        <v>1783</v>
      </c>
      <c r="E433" s="2" t="s">
        <v>1659</v>
      </c>
      <c r="F433" s="2" t="s">
        <v>991</v>
      </c>
      <c r="G433" s="2" t="str">
        <f aca="false">IFERROR(INDEX(Prices_Item,MATCH(F433,Prices_ID,0)),"ITEM NOT FOUND")</f>
        <v>Lysol multipurpose disinfectant 5 L</v>
      </c>
      <c r="H433" s="7" t="n">
        <v>0.2</v>
      </c>
      <c r="I433" s="2" t="s">
        <v>1784</v>
      </c>
      <c r="J433" s="3" t="n">
        <f aca="false">IFERROR(INDEX(Prices_Current,MATCH(F433,Prices_ID,0)),"")</f>
        <v>126</v>
      </c>
      <c r="K433" s="2" t="s">
        <v>1100</v>
      </c>
      <c r="L433" s="3" t="n">
        <f aca="false">IF(OR(H433="",NOT(ISNUMBER(J433))),"",H433*J433)</f>
        <v>25.2</v>
      </c>
      <c r="M433" s="2" t="str">
        <f aca="false">IFERROR(INDEX(Prices_Flag,MATCH(F433,Prices_ID,0)),"")</f>
        <v>none</v>
      </c>
      <c r="N433" s="2" t="s">
        <v>1661</v>
      </c>
      <c r="O433" s="0" t="s">
        <v>1785</v>
      </c>
      <c r="P433" s="8" t="s">
        <v>1786</v>
      </c>
      <c r="Q433" s="0" t="s">
        <v>27</v>
      </c>
    </row>
    <row r="434" customFormat="false" ht="17.15" hidden="false" customHeight="false" outlineLevel="0" collapsed="false">
      <c r="A434" s="2" t="s">
        <v>1791</v>
      </c>
      <c r="B434" s="2" t="s">
        <v>1782</v>
      </c>
      <c r="C434" s="2" t="s">
        <v>939</v>
      </c>
      <c r="D434" s="2" t="s">
        <v>1783</v>
      </c>
      <c r="E434" s="2" t="s">
        <v>1659</v>
      </c>
      <c r="F434" s="2" t="s">
        <v>986</v>
      </c>
      <c r="G434" s="2" t="str">
        <f aca="false">IFERROR(INDEX(Prices_Item,MATCH(F434,Prices_ID,0)),"ITEM NOT FOUND")</f>
        <v>Great Value large microfiber cloth</v>
      </c>
      <c r="H434" s="7" t="n">
        <v>4</v>
      </c>
      <c r="I434" s="2" t="s">
        <v>1784</v>
      </c>
      <c r="J434" s="3" t="n">
        <f aca="false">IFERROR(INDEX(Prices_Current,MATCH(F434,Prices_ID,0)),"")</f>
        <v>29</v>
      </c>
      <c r="K434" s="2" t="s">
        <v>1100</v>
      </c>
      <c r="L434" s="3" t="n">
        <f aca="false">IF(OR(H434="",NOT(ISNUMBER(J434))),"",H434*J434)</f>
        <v>116</v>
      </c>
      <c r="M434" s="2" t="str">
        <f aca="false">IFERROR(INDEX(Prices_Flag,MATCH(F434,Prices_ID,0)),"")</f>
        <v>none</v>
      </c>
      <c r="N434" s="2" t="s">
        <v>1661</v>
      </c>
      <c r="O434" s="0" t="s">
        <v>1785</v>
      </c>
      <c r="P434" s="8" t="s">
        <v>1786</v>
      </c>
      <c r="Q434" s="0" t="s">
        <v>27</v>
      </c>
    </row>
    <row r="435" customFormat="false" ht="17.15" hidden="false" customHeight="false" outlineLevel="0" collapsed="false">
      <c r="A435" s="2" t="s">
        <v>1792</v>
      </c>
      <c r="B435" s="2" t="s">
        <v>1782</v>
      </c>
      <c r="C435" s="2" t="s">
        <v>939</v>
      </c>
      <c r="D435" s="2" t="s">
        <v>1783</v>
      </c>
      <c r="E435" s="2" t="s">
        <v>1659</v>
      </c>
      <c r="F435" s="2" t="s">
        <v>1020</v>
      </c>
      <c r="G435" s="2" t="str">
        <f aca="false">IFERROR(INDEX(Prices_Item,MATCH(F435,Prices_ID,0)),"ITEM NOT FOUND")</f>
        <v>Mold / biohazard cleanup</v>
      </c>
      <c r="H435" s="7"/>
      <c r="I435" s="2" t="s">
        <v>1718</v>
      </c>
      <c r="J435" s="3" t="str">
        <f aca="false">IFERROR(INDEX(Prices_Current,MATCH(F435,Prices_ID,0)),"")</f>
        <v/>
      </c>
      <c r="K435" s="2" t="s">
        <v>1061</v>
      </c>
      <c r="L435" s="3" t="str">
        <f aca="false">IF(OR(H435="",NOT(ISNUMBER(J435))),"",H435*J435)</f>
        <v/>
      </c>
      <c r="M435" s="2" t="str">
        <f aca="false">IFERROR(INDEX(Prices_Flag,MATCH(F435,Prices_ID,0)),"")</f>
        <v>FLAGGED-human review</v>
      </c>
      <c r="N435" s="2" t="s">
        <v>1719</v>
      </c>
      <c r="O435" s="0" t="s">
        <v>1785</v>
      </c>
      <c r="P435" s="8" t="s">
        <v>1786</v>
      </c>
      <c r="Q435" s="0" t="s">
        <v>1044</v>
      </c>
    </row>
    <row r="436" customFormat="false" ht="17.15" hidden="false" customHeight="false" outlineLevel="0" collapsed="false">
      <c r="A436" s="2" t="s">
        <v>1793</v>
      </c>
      <c r="B436" s="2" t="s">
        <v>1782</v>
      </c>
      <c r="C436" s="2" t="s">
        <v>939</v>
      </c>
      <c r="D436" s="2" t="s">
        <v>1783</v>
      </c>
      <c r="E436" s="2" t="s">
        <v>1679</v>
      </c>
      <c r="F436" s="2" t="s">
        <v>947</v>
      </c>
      <c r="G436" s="2" t="str">
        <f aca="false">IFERROR(INDEX(Prices_Item,MATCH(F436,Prices_ID,0)),"ITEM NOT FOUND")</f>
        <v>Fabuloso antibacterial multipurpose cleaner 5 L</v>
      </c>
      <c r="H436" s="7" t="n">
        <v>0.45</v>
      </c>
      <c r="I436" s="2" t="s">
        <v>1794</v>
      </c>
      <c r="J436" s="3" t="n">
        <f aca="false">IFERROR(INDEX(Prices_Current,MATCH(F436,Prices_ID,0)),"")</f>
        <v>155</v>
      </c>
      <c r="K436" s="2" t="s">
        <v>1100</v>
      </c>
      <c r="L436" s="3" t="n">
        <f aca="false">IF(OR(H436="",NOT(ISNUMBER(J436))),"",H436*J436)</f>
        <v>69.75</v>
      </c>
      <c r="M436" s="2" t="str">
        <f aca="false">IFERROR(INDEX(Prices_Flag,MATCH(F436,Prices_ID,0)),"")</f>
        <v>none</v>
      </c>
      <c r="N436" s="2" t="s">
        <v>1661</v>
      </c>
      <c r="O436" s="0" t="s">
        <v>1785</v>
      </c>
      <c r="P436" s="8" t="s">
        <v>1786</v>
      </c>
      <c r="Q436" s="0" t="s">
        <v>27</v>
      </c>
    </row>
    <row r="437" customFormat="false" ht="17.15" hidden="false" customHeight="false" outlineLevel="0" collapsed="false">
      <c r="A437" s="2" t="s">
        <v>1795</v>
      </c>
      <c r="B437" s="2" t="s">
        <v>1782</v>
      </c>
      <c r="C437" s="2" t="s">
        <v>939</v>
      </c>
      <c r="D437" s="2" t="s">
        <v>1783</v>
      </c>
      <c r="E437" s="2" t="s">
        <v>1679</v>
      </c>
      <c r="F437" s="2" t="s">
        <v>961</v>
      </c>
      <c r="G437" s="2" t="str">
        <f aca="false">IFERROR(INDEX(Prices_Item,MATCH(F437,Prices_ID,0)),"ITEM NOT FOUND")</f>
        <v>Mr Músculo kitchen degreaser 650 ml</v>
      </c>
      <c r="H437" s="7" t="n">
        <v>1.2</v>
      </c>
      <c r="I437" s="2" t="s">
        <v>1794</v>
      </c>
      <c r="J437" s="3" t="n">
        <f aca="false">IFERROR(INDEX(Prices_Current,MATCH(F437,Prices_ID,0)),"")</f>
        <v>64</v>
      </c>
      <c r="K437" s="2" t="s">
        <v>1100</v>
      </c>
      <c r="L437" s="3" t="n">
        <f aca="false">IF(OR(H437="",NOT(ISNUMBER(J437))),"",H437*J437)</f>
        <v>76.8</v>
      </c>
      <c r="M437" s="2" t="str">
        <f aca="false">IFERROR(INDEX(Prices_Flag,MATCH(F437,Prices_ID,0)),"")</f>
        <v>none</v>
      </c>
      <c r="N437" s="2" t="s">
        <v>1661</v>
      </c>
      <c r="O437" s="0" t="s">
        <v>1785</v>
      </c>
      <c r="P437" s="8" t="s">
        <v>1786</v>
      </c>
      <c r="Q437" s="0" t="s">
        <v>27</v>
      </c>
    </row>
    <row r="438" customFormat="false" ht="17.15" hidden="false" customHeight="false" outlineLevel="0" collapsed="false">
      <c r="A438" s="2" t="s">
        <v>1796</v>
      </c>
      <c r="B438" s="2" t="s">
        <v>1782</v>
      </c>
      <c r="C438" s="2" t="s">
        <v>939</v>
      </c>
      <c r="D438" s="2" t="s">
        <v>1783</v>
      </c>
      <c r="E438" s="2" t="s">
        <v>1679</v>
      </c>
      <c r="F438" s="2" t="s">
        <v>972</v>
      </c>
      <c r="G438" s="2" t="str">
        <f aca="false">IFERROR(INDEX(Prices_Item,MATCH(F438,Prices_ID,0)),"ITEM NOT FOUND")</f>
        <v>Mr Músculo daily shower cleaner 650 ml</v>
      </c>
      <c r="H438" s="7" t="n">
        <v>1.2</v>
      </c>
      <c r="I438" s="2" t="s">
        <v>1794</v>
      </c>
      <c r="J438" s="3" t="n">
        <f aca="false">IFERROR(INDEX(Prices_Current,MATCH(F438,Prices_ID,0)),"")</f>
        <v>63</v>
      </c>
      <c r="K438" s="2" t="s">
        <v>1100</v>
      </c>
      <c r="L438" s="3" t="n">
        <f aca="false">IF(OR(H438="",NOT(ISNUMBER(J438))),"",H438*J438)</f>
        <v>75.6</v>
      </c>
      <c r="M438" s="2" t="str">
        <f aca="false">IFERROR(INDEX(Prices_Flag,MATCH(F438,Prices_ID,0)),"")</f>
        <v>none</v>
      </c>
      <c r="N438" s="2" t="s">
        <v>1661</v>
      </c>
      <c r="O438" s="0" t="s">
        <v>1785</v>
      </c>
      <c r="P438" s="8" t="s">
        <v>1786</v>
      </c>
      <c r="Q438" s="0" t="s">
        <v>27</v>
      </c>
    </row>
    <row r="439" customFormat="false" ht="17.15" hidden="false" customHeight="false" outlineLevel="0" collapsed="false">
      <c r="A439" s="2" t="s">
        <v>1797</v>
      </c>
      <c r="B439" s="2" t="s">
        <v>1782</v>
      </c>
      <c r="C439" s="2" t="s">
        <v>939</v>
      </c>
      <c r="D439" s="2" t="s">
        <v>1783</v>
      </c>
      <c r="E439" s="2" t="s">
        <v>1679</v>
      </c>
      <c r="F439" s="2" t="s">
        <v>981</v>
      </c>
      <c r="G439" s="2" t="str">
        <f aca="false">IFERROR(INDEX(Prices_Item,MATCH(F439,Prices_ID,0)),"ITEM NOT FOUND")</f>
        <v>Windex ammonia-free glass cleaner 500 ml</v>
      </c>
      <c r="H439" s="7" t="n">
        <v>1.5</v>
      </c>
      <c r="I439" s="2" t="s">
        <v>1794</v>
      </c>
      <c r="J439" s="3" t="n">
        <f aca="false">IFERROR(INDEX(Prices_Current,MATCH(F439,Prices_ID,0)),"")</f>
        <v>24</v>
      </c>
      <c r="K439" s="2" t="s">
        <v>1100</v>
      </c>
      <c r="L439" s="3" t="n">
        <f aca="false">IF(OR(H439="",NOT(ISNUMBER(J439))),"",H439*J439)</f>
        <v>36</v>
      </c>
      <c r="M439" s="2" t="str">
        <f aca="false">IFERROR(INDEX(Prices_Flag,MATCH(F439,Prices_ID,0)),"")</f>
        <v>none</v>
      </c>
      <c r="N439" s="2" t="s">
        <v>1661</v>
      </c>
      <c r="O439" s="0" t="s">
        <v>1785</v>
      </c>
      <c r="P439" s="8" t="s">
        <v>1786</v>
      </c>
      <c r="Q439" s="0" t="s">
        <v>27</v>
      </c>
    </row>
    <row r="440" customFormat="false" ht="17.15" hidden="false" customHeight="false" outlineLevel="0" collapsed="false">
      <c r="A440" s="2" t="s">
        <v>1798</v>
      </c>
      <c r="B440" s="2" t="s">
        <v>1782</v>
      </c>
      <c r="C440" s="2" t="s">
        <v>939</v>
      </c>
      <c r="D440" s="2" t="s">
        <v>1783</v>
      </c>
      <c r="E440" s="2" t="s">
        <v>1679</v>
      </c>
      <c r="F440" s="2" t="s">
        <v>991</v>
      </c>
      <c r="G440" s="2" t="str">
        <f aca="false">IFERROR(INDEX(Prices_Item,MATCH(F440,Prices_ID,0)),"ITEM NOT FOUND")</f>
        <v>Lysol multipurpose disinfectant 5 L</v>
      </c>
      <c r="H440" s="7" t="n">
        <v>0.3</v>
      </c>
      <c r="I440" s="2" t="s">
        <v>1794</v>
      </c>
      <c r="J440" s="3" t="n">
        <f aca="false">IFERROR(INDEX(Prices_Current,MATCH(F440,Prices_ID,0)),"")</f>
        <v>126</v>
      </c>
      <c r="K440" s="2" t="s">
        <v>1100</v>
      </c>
      <c r="L440" s="3" t="n">
        <f aca="false">IF(OR(H440="",NOT(ISNUMBER(J440))),"",H440*J440)</f>
        <v>37.8</v>
      </c>
      <c r="M440" s="2" t="str">
        <f aca="false">IFERROR(INDEX(Prices_Flag,MATCH(F440,Prices_ID,0)),"")</f>
        <v>none</v>
      </c>
      <c r="N440" s="2" t="s">
        <v>1661</v>
      </c>
      <c r="O440" s="0" t="s">
        <v>1785</v>
      </c>
      <c r="P440" s="8" t="s">
        <v>1786</v>
      </c>
      <c r="Q440" s="0" t="s">
        <v>27</v>
      </c>
    </row>
    <row r="441" customFormat="false" ht="17.15" hidden="false" customHeight="false" outlineLevel="0" collapsed="false">
      <c r="A441" s="2" t="s">
        <v>1799</v>
      </c>
      <c r="B441" s="2" t="s">
        <v>1782</v>
      </c>
      <c r="C441" s="2" t="s">
        <v>939</v>
      </c>
      <c r="D441" s="2" t="s">
        <v>1783</v>
      </c>
      <c r="E441" s="2" t="s">
        <v>1679</v>
      </c>
      <c r="F441" s="2" t="s">
        <v>986</v>
      </c>
      <c r="G441" s="2" t="str">
        <f aca="false">IFERROR(INDEX(Prices_Item,MATCH(F441,Prices_ID,0)),"ITEM NOT FOUND")</f>
        <v>Great Value large microfiber cloth</v>
      </c>
      <c r="H441" s="7" t="n">
        <v>6</v>
      </c>
      <c r="I441" s="2" t="s">
        <v>1794</v>
      </c>
      <c r="J441" s="3" t="n">
        <f aca="false">IFERROR(INDEX(Prices_Current,MATCH(F441,Prices_ID,0)),"")</f>
        <v>29</v>
      </c>
      <c r="K441" s="2" t="s">
        <v>1100</v>
      </c>
      <c r="L441" s="3" t="n">
        <f aca="false">IF(OR(H441="",NOT(ISNUMBER(J441))),"",H441*J441)</f>
        <v>174</v>
      </c>
      <c r="M441" s="2" t="str">
        <f aca="false">IFERROR(INDEX(Prices_Flag,MATCH(F441,Prices_ID,0)),"")</f>
        <v>none</v>
      </c>
      <c r="N441" s="2" t="s">
        <v>1661</v>
      </c>
      <c r="O441" s="0" t="s">
        <v>1785</v>
      </c>
      <c r="P441" s="8" t="s">
        <v>1786</v>
      </c>
      <c r="Q441" s="0" t="s">
        <v>27</v>
      </c>
    </row>
    <row r="442" customFormat="false" ht="17.15" hidden="false" customHeight="false" outlineLevel="0" collapsed="false">
      <c r="A442" s="2" t="s">
        <v>1800</v>
      </c>
      <c r="B442" s="2" t="s">
        <v>1782</v>
      </c>
      <c r="C442" s="2" t="s">
        <v>939</v>
      </c>
      <c r="D442" s="2" t="s">
        <v>1783</v>
      </c>
      <c r="E442" s="2" t="s">
        <v>1679</v>
      </c>
      <c r="F442" s="2" t="s">
        <v>1020</v>
      </c>
      <c r="G442" s="2" t="str">
        <f aca="false">IFERROR(INDEX(Prices_Item,MATCH(F442,Prices_ID,0)),"ITEM NOT FOUND")</f>
        <v>Mold / biohazard cleanup</v>
      </c>
      <c r="H442" s="7"/>
      <c r="I442" s="2" t="s">
        <v>1718</v>
      </c>
      <c r="J442" s="3" t="str">
        <f aca="false">IFERROR(INDEX(Prices_Current,MATCH(F442,Prices_ID,0)),"")</f>
        <v/>
      </c>
      <c r="K442" s="2" t="s">
        <v>1061</v>
      </c>
      <c r="L442" s="3" t="str">
        <f aca="false">IF(OR(H442="",NOT(ISNUMBER(J442))),"",H442*J442)</f>
        <v/>
      </c>
      <c r="M442" s="2" t="str">
        <f aca="false">IFERROR(INDEX(Prices_Flag,MATCH(F442,Prices_ID,0)),"")</f>
        <v>FLAGGED-human review</v>
      </c>
      <c r="N442" s="2" t="s">
        <v>1719</v>
      </c>
      <c r="O442" s="0" t="s">
        <v>1785</v>
      </c>
      <c r="P442" s="8" t="s">
        <v>1786</v>
      </c>
      <c r="Q442" s="0" t="s">
        <v>1044</v>
      </c>
    </row>
    <row r="443" customFormat="false" ht="17.15" hidden="false" customHeight="false" outlineLevel="0" collapsed="false">
      <c r="A443" s="2" t="s">
        <v>1801</v>
      </c>
      <c r="B443" s="2" t="s">
        <v>1782</v>
      </c>
      <c r="C443" s="2" t="s">
        <v>939</v>
      </c>
      <c r="D443" s="2" t="s">
        <v>1783</v>
      </c>
      <c r="E443" s="2" t="s">
        <v>1691</v>
      </c>
      <c r="F443" s="2" t="s">
        <v>947</v>
      </c>
      <c r="G443" s="2" t="str">
        <f aca="false">IFERROR(INDEX(Prices_Item,MATCH(F443,Prices_ID,0)),"ITEM NOT FOUND")</f>
        <v>Fabuloso antibacterial multipurpose cleaner 5 L</v>
      </c>
      <c r="H443" s="7" t="n">
        <v>0.6</v>
      </c>
      <c r="I443" s="2" t="s">
        <v>1802</v>
      </c>
      <c r="J443" s="3" t="n">
        <f aca="false">IFERROR(INDEX(Prices_Current,MATCH(F443,Prices_ID,0)),"")</f>
        <v>155</v>
      </c>
      <c r="K443" s="2" t="s">
        <v>1100</v>
      </c>
      <c r="L443" s="3" t="n">
        <f aca="false">IF(OR(H443="",NOT(ISNUMBER(J443))),"",H443*J443)</f>
        <v>93</v>
      </c>
      <c r="M443" s="2" t="str">
        <f aca="false">IFERROR(INDEX(Prices_Flag,MATCH(F443,Prices_ID,0)),"")</f>
        <v>none</v>
      </c>
      <c r="N443" s="2" t="s">
        <v>1661</v>
      </c>
      <c r="O443" s="0" t="s">
        <v>1785</v>
      </c>
      <c r="P443" s="8" t="s">
        <v>1786</v>
      </c>
      <c r="Q443" s="0" t="s">
        <v>27</v>
      </c>
    </row>
    <row r="444" customFormat="false" ht="17.15" hidden="false" customHeight="false" outlineLevel="0" collapsed="false">
      <c r="A444" s="2" t="s">
        <v>1803</v>
      </c>
      <c r="B444" s="2" t="s">
        <v>1782</v>
      </c>
      <c r="C444" s="2" t="s">
        <v>939</v>
      </c>
      <c r="D444" s="2" t="s">
        <v>1783</v>
      </c>
      <c r="E444" s="2" t="s">
        <v>1691</v>
      </c>
      <c r="F444" s="2" t="s">
        <v>961</v>
      </c>
      <c r="G444" s="2" t="str">
        <f aca="false">IFERROR(INDEX(Prices_Item,MATCH(F444,Prices_ID,0)),"ITEM NOT FOUND")</f>
        <v>Mr Músculo kitchen degreaser 650 ml</v>
      </c>
      <c r="H444" s="7" t="n">
        <v>1.6</v>
      </c>
      <c r="I444" s="2" t="s">
        <v>1802</v>
      </c>
      <c r="J444" s="3" t="n">
        <f aca="false">IFERROR(INDEX(Prices_Current,MATCH(F444,Prices_ID,0)),"")</f>
        <v>64</v>
      </c>
      <c r="K444" s="2" t="s">
        <v>1100</v>
      </c>
      <c r="L444" s="3" t="n">
        <f aca="false">IF(OR(H444="",NOT(ISNUMBER(J444))),"",H444*J444)</f>
        <v>102.4</v>
      </c>
      <c r="M444" s="2" t="str">
        <f aca="false">IFERROR(INDEX(Prices_Flag,MATCH(F444,Prices_ID,0)),"")</f>
        <v>none</v>
      </c>
      <c r="N444" s="2" t="s">
        <v>1661</v>
      </c>
      <c r="O444" s="0" t="s">
        <v>1785</v>
      </c>
      <c r="P444" s="8" t="s">
        <v>1786</v>
      </c>
      <c r="Q444" s="0" t="s">
        <v>27</v>
      </c>
    </row>
    <row r="445" customFormat="false" ht="17.15" hidden="false" customHeight="false" outlineLevel="0" collapsed="false">
      <c r="A445" s="2" t="s">
        <v>1804</v>
      </c>
      <c r="B445" s="2" t="s">
        <v>1782</v>
      </c>
      <c r="C445" s="2" t="s">
        <v>939</v>
      </c>
      <c r="D445" s="2" t="s">
        <v>1783</v>
      </c>
      <c r="E445" s="2" t="s">
        <v>1691</v>
      </c>
      <c r="F445" s="2" t="s">
        <v>972</v>
      </c>
      <c r="G445" s="2" t="str">
        <f aca="false">IFERROR(INDEX(Prices_Item,MATCH(F445,Prices_ID,0)),"ITEM NOT FOUND")</f>
        <v>Mr Músculo daily shower cleaner 650 ml</v>
      </c>
      <c r="H445" s="7" t="n">
        <v>1.6</v>
      </c>
      <c r="I445" s="2" t="s">
        <v>1802</v>
      </c>
      <c r="J445" s="3" t="n">
        <f aca="false">IFERROR(INDEX(Prices_Current,MATCH(F445,Prices_ID,0)),"")</f>
        <v>63</v>
      </c>
      <c r="K445" s="2" t="s">
        <v>1100</v>
      </c>
      <c r="L445" s="3" t="n">
        <f aca="false">IF(OR(H445="",NOT(ISNUMBER(J445))),"",H445*J445)</f>
        <v>100.8</v>
      </c>
      <c r="M445" s="2" t="str">
        <f aca="false">IFERROR(INDEX(Prices_Flag,MATCH(F445,Prices_ID,0)),"")</f>
        <v>none</v>
      </c>
      <c r="N445" s="2" t="s">
        <v>1661</v>
      </c>
      <c r="O445" s="0" t="s">
        <v>1785</v>
      </c>
      <c r="P445" s="8" t="s">
        <v>1786</v>
      </c>
      <c r="Q445" s="0" t="s">
        <v>27</v>
      </c>
    </row>
    <row r="446" customFormat="false" ht="17.15" hidden="false" customHeight="false" outlineLevel="0" collapsed="false">
      <c r="A446" s="2" t="s">
        <v>1805</v>
      </c>
      <c r="B446" s="2" t="s">
        <v>1782</v>
      </c>
      <c r="C446" s="2" t="s">
        <v>939</v>
      </c>
      <c r="D446" s="2" t="s">
        <v>1783</v>
      </c>
      <c r="E446" s="2" t="s">
        <v>1691</v>
      </c>
      <c r="F446" s="2" t="s">
        <v>981</v>
      </c>
      <c r="G446" s="2" t="str">
        <f aca="false">IFERROR(INDEX(Prices_Item,MATCH(F446,Prices_ID,0)),"ITEM NOT FOUND")</f>
        <v>Windex ammonia-free glass cleaner 500 ml</v>
      </c>
      <c r="H446" s="7" t="n">
        <v>2</v>
      </c>
      <c r="I446" s="2" t="s">
        <v>1802</v>
      </c>
      <c r="J446" s="3" t="n">
        <f aca="false">IFERROR(INDEX(Prices_Current,MATCH(F446,Prices_ID,0)),"")</f>
        <v>24</v>
      </c>
      <c r="K446" s="2" t="s">
        <v>1100</v>
      </c>
      <c r="L446" s="3" t="n">
        <f aca="false">IF(OR(H446="",NOT(ISNUMBER(J446))),"",H446*J446)</f>
        <v>48</v>
      </c>
      <c r="M446" s="2" t="str">
        <f aca="false">IFERROR(INDEX(Prices_Flag,MATCH(F446,Prices_ID,0)),"")</f>
        <v>none</v>
      </c>
      <c r="N446" s="2" t="s">
        <v>1661</v>
      </c>
      <c r="O446" s="0" t="s">
        <v>1785</v>
      </c>
      <c r="P446" s="8" t="s">
        <v>1786</v>
      </c>
      <c r="Q446" s="0" t="s">
        <v>27</v>
      </c>
    </row>
    <row r="447" customFormat="false" ht="17.15" hidden="false" customHeight="false" outlineLevel="0" collapsed="false">
      <c r="A447" s="2" t="s">
        <v>1806</v>
      </c>
      <c r="B447" s="2" t="s">
        <v>1782</v>
      </c>
      <c r="C447" s="2" t="s">
        <v>939</v>
      </c>
      <c r="D447" s="2" t="s">
        <v>1783</v>
      </c>
      <c r="E447" s="2" t="s">
        <v>1691</v>
      </c>
      <c r="F447" s="2" t="s">
        <v>991</v>
      </c>
      <c r="G447" s="2" t="str">
        <f aca="false">IFERROR(INDEX(Prices_Item,MATCH(F447,Prices_ID,0)),"ITEM NOT FOUND")</f>
        <v>Lysol multipurpose disinfectant 5 L</v>
      </c>
      <c r="H447" s="7" t="n">
        <v>0.4</v>
      </c>
      <c r="I447" s="2" t="s">
        <v>1802</v>
      </c>
      <c r="J447" s="3" t="n">
        <f aca="false">IFERROR(INDEX(Prices_Current,MATCH(F447,Prices_ID,0)),"")</f>
        <v>126</v>
      </c>
      <c r="K447" s="2" t="s">
        <v>1100</v>
      </c>
      <c r="L447" s="3" t="n">
        <f aca="false">IF(OR(H447="",NOT(ISNUMBER(J447))),"",H447*J447)</f>
        <v>50.4</v>
      </c>
      <c r="M447" s="2" t="str">
        <f aca="false">IFERROR(INDEX(Prices_Flag,MATCH(F447,Prices_ID,0)),"")</f>
        <v>none</v>
      </c>
      <c r="N447" s="2" t="s">
        <v>1661</v>
      </c>
      <c r="O447" s="0" t="s">
        <v>1785</v>
      </c>
      <c r="P447" s="8" t="s">
        <v>1786</v>
      </c>
      <c r="Q447" s="0" t="s">
        <v>27</v>
      </c>
    </row>
    <row r="448" customFormat="false" ht="17.15" hidden="false" customHeight="false" outlineLevel="0" collapsed="false">
      <c r="A448" s="2" t="s">
        <v>1807</v>
      </c>
      <c r="B448" s="2" t="s">
        <v>1782</v>
      </c>
      <c r="C448" s="2" t="s">
        <v>939</v>
      </c>
      <c r="D448" s="2" t="s">
        <v>1783</v>
      </c>
      <c r="E448" s="2" t="s">
        <v>1691</v>
      </c>
      <c r="F448" s="2" t="s">
        <v>986</v>
      </c>
      <c r="G448" s="2" t="str">
        <f aca="false">IFERROR(INDEX(Prices_Item,MATCH(F448,Prices_ID,0)),"ITEM NOT FOUND")</f>
        <v>Great Value large microfiber cloth</v>
      </c>
      <c r="H448" s="7" t="n">
        <v>8</v>
      </c>
      <c r="I448" s="2" t="s">
        <v>1802</v>
      </c>
      <c r="J448" s="3" t="n">
        <f aca="false">IFERROR(INDEX(Prices_Current,MATCH(F448,Prices_ID,0)),"")</f>
        <v>29</v>
      </c>
      <c r="K448" s="2" t="s">
        <v>1100</v>
      </c>
      <c r="L448" s="3" t="n">
        <f aca="false">IF(OR(H448="",NOT(ISNUMBER(J448))),"",H448*J448)</f>
        <v>232</v>
      </c>
      <c r="M448" s="2" t="str">
        <f aca="false">IFERROR(INDEX(Prices_Flag,MATCH(F448,Prices_ID,0)),"")</f>
        <v>none</v>
      </c>
      <c r="N448" s="2" t="s">
        <v>1661</v>
      </c>
      <c r="O448" s="0" t="s">
        <v>1785</v>
      </c>
      <c r="P448" s="8" t="s">
        <v>1786</v>
      </c>
      <c r="Q448" s="0" t="s">
        <v>27</v>
      </c>
    </row>
    <row r="449" customFormat="false" ht="17.15" hidden="false" customHeight="false" outlineLevel="0" collapsed="false">
      <c r="A449" s="2" t="s">
        <v>1808</v>
      </c>
      <c r="B449" s="2" t="s">
        <v>1782</v>
      </c>
      <c r="C449" s="2" t="s">
        <v>939</v>
      </c>
      <c r="D449" s="2" t="s">
        <v>1783</v>
      </c>
      <c r="E449" s="2" t="s">
        <v>1691</v>
      </c>
      <c r="F449" s="2" t="s">
        <v>1020</v>
      </c>
      <c r="G449" s="2" t="str">
        <f aca="false">IFERROR(INDEX(Prices_Item,MATCH(F449,Prices_ID,0)),"ITEM NOT FOUND")</f>
        <v>Mold / biohazard cleanup</v>
      </c>
      <c r="H449" s="7"/>
      <c r="I449" s="2" t="s">
        <v>1718</v>
      </c>
      <c r="J449" s="3" t="str">
        <f aca="false">IFERROR(INDEX(Prices_Current,MATCH(F449,Prices_ID,0)),"")</f>
        <v/>
      </c>
      <c r="K449" s="2" t="s">
        <v>1061</v>
      </c>
      <c r="L449" s="3" t="str">
        <f aca="false">IF(OR(H449="",NOT(ISNUMBER(J449))),"",H449*J449)</f>
        <v/>
      </c>
      <c r="M449" s="2" t="str">
        <f aca="false">IFERROR(INDEX(Prices_Flag,MATCH(F449,Prices_ID,0)),"")</f>
        <v>FLAGGED-human review</v>
      </c>
      <c r="N449" s="2" t="s">
        <v>1719</v>
      </c>
      <c r="O449" s="0" t="s">
        <v>1785</v>
      </c>
      <c r="P449" s="8" t="s">
        <v>1786</v>
      </c>
      <c r="Q449" s="0" t="s">
        <v>1044</v>
      </c>
    </row>
    <row r="450" customFormat="false" ht="17.15" hidden="false" customHeight="false" outlineLevel="0" collapsed="false">
      <c r="A450" s="2" t="s">
        <v>1809</v>
      </c>
      <c r="B450" s="2" t="s">
        <v>1810</v>
      </c>
      <c r="C450" s="2" t="s">
        <v>939</v>
      </c>
      <c r="D450" s="2" t="s">
        <v>1811</v>
      </c>
      <c r="E450" s="2" t="s">
        <v>1042</v>
      </c>
      <c r="F450" s="2" t="s">
        <v>1002</v>
      </c>
      <c r="G450" s="2" t="str">
        <f aca="false">IFERROR(INDEX(Prices_Item,MATCH(F450,Prices_ID,0)),"ITEM NOT FOUND")</f>
        <v>Nature's Miracle carpet shampoo 1.89 L (extractor)</v>
      </c>
      <c r="H450" s="7" t="n">
        <v>0.15</v>
      </c>
      <c r="I450" s="2" t="s">
        <v>1812</v>
      </c>
      <c r="J450" s="3" t="n">
        <f aca="false">IFERROR(INDEX(Prices_Current,MATCH(F450,Prices_ID,0)),"")</f>
        <v>239.75</v>
      </c>
      <c r="K450" s="2" t="s">
        <v>1100</v>
      </c>
      <c r="L450" s="3" t="n">
        <f aca="false">IF(OR(H450="",NOT(ISNUMBER(J450))),"",H450*J450)</f>
        <v>35.9625</v>
      </c>
      <c r="M450" s="2" t="str">
        <f aca="false">IFERROR(INDEX(Prices_Flag,MATCH(F450,Prices_ID,0)),"")</f>
        <v>none</v>
      </c>
      <c r="N450" s="2" t="s">
        <v>1813</v>
      </c>
      <c r="O450" s="0" t="s">
        <v>1814</v>
      </c>
      <c r="P450" s="8" t="s">
        <v>1815</v>
      </c>
      <c r="Q450" s="0" t="s">
        <v>27</v>
      </c>
    </row>
    <row r="451" customFormat="false" ht="17.15" hidden="false" customHeight="false" outlineLevel="0" collapsed="false">
      <c r="A451" s="2" t="s">
        <v>1816</v>
      </c>
      <c r="B451" s="2" t="s">
        <v>1810</v>
      </c>
      <c r="C451" s="2" t="s">
        <v>939</v>
      </c>
      <c r="D451" s="2" t="s">
        <v>1811</v>
      </c>
      <c r="E451" s="2" t="s">
        <v>1042</v>
      </c>
      <c r="F451" s="2" t="s">
        <v>1008</v>
      </c>
      <c r="G451" s="2" t="str">
        <f aca="false">IFERROR(INDEX(Prices_Item,MATCH(F451,Prices_ID,0)),"ITEM NOT FOUND")</f>
        <v>Nature's Miracle enzymatic stain and odor cleaner 3.7 L</v>
      </c>
      <c r="H451" s="7" t="n">
        <v>0.1</v>
      </c>
      <c r="I451" s="2" t="s">
        <v>1817</v>
      </c>
      <c r="J451" s="3" t="n">
        <f aca="false">IFERROR(INDEX(Prices_Current,MATCH(F451,Prices_ID,0)),"")</f>
        <v>799</v>
      </c>
      <c r="K451" s="2" t="s">
        <v>1044</v>
      </c>
      <c r="L451" s="3" t="n">
        <f aca="false">IF(OR(H451="",NOT(ISNUMBER(J451))),"",H451*J451)</f>
        <v>79.9</v>
      </c>
      <c r="M451" s="2" t="str">
        <f aca="false">IFERROR(INDEX(Prices_Flag,MATCH(F451,Prices_ID,0)),"")</f>
        <v>none</v>
      </c>
      <c r="N451" s="2"/>
      <c r="O451" s="0" t="s">
        <v>1814</v>
      </c>
      <c r="P451" s="8" t="s">
        <v>1815</v>
      </c>
      <c r="Q451" s="0" t="s">
        <v>27</v>
      </c>
    </row>
    <row r="452" customFormat="false" ht="17.15" hidden="false" customHeight="false" outlineLevel="0" collapsed="false">
      <c r="A452" s="2" t="s">
        <v>1818</v>
      </c>
      <c r="B452" s="2" t="s">
        <v>1819</v>
      </c>
      <c r="C452" s="2" t="s">
        <v>939</v>
      </c>
      <c r="D452" s="2" t="s">
        <v>1820</v>
      </c>
      <c r="E452" s="2" t="s">
        <v>1042</v>
      </c>
      <c r="F452" s="2" t="s">
        <v>1002</v>
      </c>
      <c r="G452" s="2" t="str">
        <f aca="false">IFERROR(INDEX(Prices_Item,MATCH(F452,Prices_ID,0)),"ITEM NOT FOUND")</f>
        <v>Nature's Miracle carpet shampoo 1.89 L (extractor)</v>
      </c>
      <c r="H452" s="7" t="n">
        <v>0.3</v>
      </c>
      <c r="I452" s="2" t="s">
        <v>1821</v>
      </c>
      <c r="J452" s="3" t="n">
        <f aca="false">IFERROR(INDEX(Prices_Current,MATCH(F452,Prices_ID,0)),"")</f>
        <v>239.75</v>
      </c>
      <c r="K452" s="2" t="s">
        <v>1100</v>
      </c>
      <c r="L452" s="3" t="n">
        <f aca="false">IF(OR(H452="",NOT(ISNUMBER(J452))),"",H452*J452)</f>
        <v>71.925</v>
      </c>
      <c r="M452" s="2" t="str">
        <f aca="false">IFERROR(INDEX(Prices_Flag,MATCH(F452,Prices_ID,0)),"")</f>
        <v>none</v>
      </c>
      <c r="N452" s="2" t="s">
        <v>1822</v>
      </c>
      <c r="O452" s="0" t="s">
        <v>1823</v>
      </c>
      <c r="P452" s="8" t="s">
        <v>1824</v>
      </c>
      <c r="Q452" s="0" t="s">
        <v>27</v>
      </c>
    </row>
    <row r="453" customFormat="false" ht="17.15" hidden="false" customHeight="false" outlineLevel="0" collapsed="false">
      <c r="A453" s="2" t="s">
        <v>1825</v>
      </c>
      <c r="B453" s="2" t="s">
        <v>1819</v>
      </c>
      <c r="C453" s="2" t="s">
        <v>939</v>
      </c>
      <c r="D453" s="2" t="s">
        <v>1820</v>
      </c>
      <c r="E453" s="2" t="s">
        <v>1042</v>
      </c>
      <c r="F453" s="2" t="s">
        <v>1008</v>
      </c>
      <c r="G453" s="2" t="str">
        <f aca="false">IFERROR(INDEX(Prices_Item,MATCH(F453,Prices_ID,0)),"ITEM NOT FOUND")</f>
        <v>Nature's Miracle enzymatic stain and odor cleaner 3.7 L</v>
      </c>
      <c r="H453" s="7" t="n">
        <v>0.1</v>
      </c>
      <c r="I453" s="2" t="s">
        <v>1817</v>
      </c>
      <c r="J453" s="3" t="n">
        <f aca="false">IFERROR(INDEX(Prices_Current,MATCH(F453,Prices_ID,0)),"")</f>
        <v>799</v>
      </c>
      <c r="K453" s="2" t="s">
        <v>1044</v>
      </c>
      <c r="L453" s="3" t="n">
        <f aca="false">IF(OR(H453="",NOT(ISNUMBER(J453))),"",H453*J453)</f>
        <v>79.9</v>
      </c>
      <c r="M453" s="2" t="str">
        <f aca="false">IFERROR(INDEX(Prices_Flag,MATCH(F453,Prices_ID,0)),"")</f>
        <v>none</v>
      </c>
      <c r="N453" s="2"/>
      <c r="O453" s="0" t="s">
        <v>1823</v>
      </c>
      <c r="P453" s="8" t="s">
        <v>1824</v>
      </c>
      <c r="Q453" s="0" t="s">
        <v>27</v>
      </c>
    </row>
    <row r="454" customFormat="false" ht="17.15" hidden="false" customHeight="false" outlineLevel="0" collapsed="false">
      <c r="A454" s="2" t="s">
        <v>1826</v>
      </c>
      <c r="B454" s="2" t="s">
        <v>1827</v>
      </c>
      <c r="C454" s="2" t="s">
        <v>939</v>
      </c>
      <c r="D454" s="2" t="s">
        <v>1828</v>
      </c>
      <c r="E454" s="2" t="s">
        <v>1042</v>
      </c>
      <c r="F454" s="2" t="s">
        <v>981</v>
      </c>
      <c r="G454" s="2" t="str">
        <f aca="false">IFERROR(INDEX(Prices_Item,MATCH(F454,Prices_ID,0)),"ITEM NOT FOUND")</f>
        <v>Windex ammonia-free glass cleaner 500 ml</v>
      </c>
      <c r="H454" s="7" t="n">
        <v>2</v>
      </c>
      <c r="I454" s="2" t="s">
        <v>1829</v>
      </c>
      <c r="J454" s="3" t="n">
        <f aca="false">IFERROR(INDEX(Prices_Current,MATCH(F454,Prices_ID,0)),"")</f>
        <v>24</v>
      </c>
      <c r="K454" s="2" t="s">
        <v>1100</v>
      </c>
      <c r="L454" s="3" t="n">
        <f aca="false">IF(OR(H454="",NOT(ISNUMBER(J454))),"",H454*J454)</f>
        <v>48</v>
      </c>
      <c r="M454" s="2" t="str">
        <f aca="false">IFERROR(INDEX(Prices_Flag,MATCH(F454,Prices_ID,0)),"")</f>
        <v>none</v>
      </c>
      <c r="N454" s="2" t="s">
        <v>1830</v>
      </c>
      <c r="O454" s="0" t="s">
        <v>1831</v>
      </c>
      <c r="P454" s="8" t="s">
        <v>1832</v>
      </c>
      <c r="Q454" s="0" t="s">
        <v>27</v>
      </c>
    </row>
    <row r="455" customFormat="false" ht="17.15" hidden="false" customHeight="false" outlineLevel="0" collapsed="false">
      <c r="A455" s="2" t="s">
        <v>1833</v>
      </c>
      <c r="B455" s="2" t="s">
        <v>1827</v>
      </c>
      <c r="C455" s="2" t="s">
        <v>939</v>
      </c>
      <c r="D455" s="2" t="s">
        <v>1828</v>
      </c>
      <c r="E455" s="2" t="s">
        <v>1042</v>
      </c>
      <c r="F455" s="2" t="s">
        <v>986</v>
      </c>
      <c r="G455" s="2" t="str">
        <f aca="false">IFERROR(INDEX(Prices_Item,MATCH(F455,Prices_ID,0)),"ITEM NOT FOUND")</f>
        <v>Great Value large microfiber cloth</v>
      </c>
      <c r="H455" s="7" t="n">
        <v>1</v>
      </c>
      <c r="I455" s="2" t="s">
        <v>1829</v>
      </c>
      <c r="J455" s="3" t="n">
        <f aca="false">IFERROR(INDEX(Prices_Current,MATCH(F455,Prices_ID,0)),"")</f>
        <v>29</v>
      </c>
      <c r="K455" s="2" t="s">
        <v>1100</v>
      </c>
      <c r="L455" s="3" t="n">
        <f aca="false">IF(OR(H455="",NOT(ISNUMBER(J455))),"",H455*J455)</f>
        <v>29</v>
      </c>
      <c r="M455" s="2" t="str">
        <f aca="false">IFERROR(INDEX(Prices_Flag,MATCH(F455,Prices_ID,0)),"")</f>
        <v>none</v>
      </c>
      <c r="N455" s="2" t="s">
        <v>1830</v>
      </c>
      <c r="O455" s="0" t="s">
        <v>1831</v>
      </c>
      <c r="P455" s="8" t="s">
        <v>1832</v>
      </c>
      <c r="Q455" s="0" t="s">
        <v>27</v>
      </c>
    </row>
    <row r="456" customFormat="false" ht="17.15" hidden="false" customHeight="false" outlineLevel="0" collapsed="false">
      <c r="A456" s="2" t="s">
        <v>1834</v>
      </c>
      <c r="B456" s="2" t="s">
        <v>1827</v>
      </c>
      <c r="C456" s="2" t="s">
        <v>939</v>
      </c>
      <c r="D456" s="2" t="s">
        <v>1828</v>
      </c>
      <c r="E456" s="2" t="s">
        <v>1042</v>
      </c>
      <c r="F456" s="2" t="s">
        <v>1015</v>
      </c>
      <c r="G456" s="2" t="str">
        <f aca="false">IFERROR(INDEX(Prices_Item,MATCH(F456,Prices_ID,0)),"ITEM NOT FOUND")</f>
        <v>Window cleaning above ground floor (work at height)</v>
      </c>
      <c r="H456" s="7"/>
      <c r="I456" s="2" t="s">
        <v>1835</v>
      </c>
      <c r="J456" s="3" t="str">
        <f aca="false">IFERROR(INDEX(Prices_Current,MATCH(F456,Prices_ID,0)),"")</f>
        <v/>
      </c>
      <c r="K456" s="2" t="s">
        <v>1061</v>
      </c>
      <c r="L456" s="3" t="str">
        <f aca="false">IF(OR(H456="",NOT(ISNUMBER(J456))),"",H456*J456)</f>
        <v/>
      </c>
      <c r="M456" s="2" t="str">
        <f aca="false">IFERROR(INDEX(Prices_Flag,MATCH(F456,Prices_ID,0)),"")</f>
        <v>FLAGGED-human review</v>
      </c>
      <c r="N456" s="2" t="s">
        <v>1836</v>
      </c>
      <c r="O456" s="0" t="s">
        <v>1831</v>
      </c>
      <c r="P456" s="8" t="s">
        <v>1832</v>
      </c>
      <c r="Q456" s="0" t="s">
        <v>1044</v>
      </c>
    </row>
    <row r="457" customFormat="false" ht="17.15" hidden="false" customHeight="false" outlineLevel="0" collapsed="false">
      <c r="A457" s="2" t="s">
        <v>1837</v>
      </c>
      <c r="B457" s="2" t="s">
        <v>1810</v>
      </c>
      <c r="C457" s="2" t="s">
        <v>939</v>
      </c>
      <c r="D457" s="2" t="s">
        <v>1811</v>
      </c>
      <c r="E457" s="2" t="s">
        <v>1049</v>
      </c>
      <c r="F457" s="2" t="s">
        <v>1002</v>
      </c>
      <c r="G457" s="2" t="str">
        <f aca="false">IFERROR(INDEX(Prices_Item,MATCH(F457,Prices_ID,0)),"ITEM NOT FOUND")</f>
        <v>Nature's Miracle carpet shampoo 1.89 L (extractor)</v>
      </c>
      <c r="H457" s="7" t="n">
        <v>0.25</v>
      </c>
      <c r="I457" s="2" t="s">
        <v>1812</v>
      </c>
      <c r="J457" s="3" t="n">
        <f aca="false">IFERROR(INDEX(Prices_Current,MATCH(F457,Prices_ID,0)),"")</f>
        <v>239.75</v>
      </c>
      <c r="K457" s="2" t="s">
        <v>1100</v>
      </c>
      <c r="L457" s="3" t="n">
        <f aca="false">IF(OR(H457="",NOT(ISNUMBER(J457))),"",H457*J457)</f>
        <v>59.9375</v>
      </c>
      <c r="M457" s="2" t="str">
        <f aca="false">IFERROR(INDEX(Prices_Flag,MATCH(F457,Prices_ID,0)),"")</f>
        <v>none</v>
      </c>
      <c r="N457" s="2" t="s">
        <v>1813</v>
      </c>
      <c r="O457" s="0" t="s">
        <v>1814</v>
      </c>
      <c r="P457" s="8" t="s">
        <v>1815</v>
      </c>
      <c r="Q457" s="0" t="s">
        <v>27</v>
      </c>
    </row>
    <row r="458" customFormat="false" ht="17.15" hidden="false" customHeight="false" outlineLevel="0" collapsed="false">
      <c r="A458" s="2" t="s">
        <v>1838</v>
      </c>
      <c r="B458" s="2" t="s">
        <v>1810</v>
      </c>
      <c r="C458" s="2" t="s">
        <v>939</v>
      </c>
      <c r="D458" s="2" t="s">
        <v>1811</v>
      </c>
      <c r="E458" s="2" t="s">
        <v>1049</v>
      </c>
      <c r="F458" s="2" t="s">
        <v>986</v>
      </c>
      <c r="G458" s="2" t="str">
        <f aca="false">IFERROR(INDEX(Prices_Item,MATCH(F458,Prices_ID,0)),"ITEM NOT FOUND")</f>
        <v>Great Value large microfiber cloth</v>
      </c>
      <c r="H458" s="7" t="n">
        <v>1</v>
      </c>
      <c r="I458" s="2" t="s">
        <v>1812</v>
      </c>
      <c r="J458" s="3" t="n">
        <f aca="false">IFERROR(INDEX(Prices_Current,MATCH(F458,Prices_ID,0)),"")</f>
        <v>29</v>
      </c>
      <c r="K458" s="2" t="s">
        <v>1100</v>
      </c>
      <c r="L458" s="3" t="n">
        <f aca="false">IF(OR(H458="",NOT(ISNUMBER(J458))),"",H458*J458)</f>
        <v>29</v>
      </c>
      <c r="M458" s="2" t="str">
        <f aca="false">IFERROR(INDEX(Prices_Flag,MATCH(F458,Prices_ID,0)),"")</f>
        <v>none</v>
      </c>
      <c r="N458" s="2" t="s">
        <v>1813</v>
      </c>
      <c r="O458" s="0" t="s">
        <v>1814</v>
      </c>
      <c r="P458" s="8" t="s">
        <v>1815</v>
      </c>
      <c r="Q458" s="0" t="s">
        <v>27</v>
      </c>
    </row>
    <row r="459" customFormat="false" ht="17.15" hidden="false" customHeight="false" outlineLevel="0" collapsed="false">
      <c r="A459" s="2" t="s">
        <v>1839</v>
      </c>
      <c r="B459" s="2" t="s">
        <v>1810</v>
      </c>
      <c r="C459" s="2" t="s">
        <v>939</v>
      </c>
      <c r="D459" s="2" t="s">
        <v>1811</v>
      </c>
      <c r="E459" s="2" t="s">
        <v>1049</v>
      </c>
      <c r="F459" s="2" t="s">
        <v>1008</v>
      </c>
      <c r="G459" s="2" t="str">
        <f aca="false">IFERROR(INDEX(Prices_Item,MATCH(F459,Prices_ID,0)),"ITEM NOT FOUND")</f>
        <v>Nature's Miracle enzymatic stain and odor cleaner 3.7 L</v>
      </c>
      <c r="H459" s="7" t="n">
        <v>0.1</v>
      </c>
      <c r="I459" s="2" t="s">
        <v>1817</v>
      </c>
      <c r="J459" s="3" t="n">
        <f aca="false">IFERROR(INDEX(Prices_Current,MATCH(F459,Prices_ID,0)),"")</f>
        <v>799</v>
      </c>
      <c r="K459" s="2" t="s">
        <v>1044</v>
      </c>
      <c r="L459" s="3" t="n">
        <f aca="false">IF(OR(H459="",NOT(ISNUMBER(J459))),"",H459*J459)</f>
        <v>79.9</v>
      </c>
      <c r="M459" s="2" t="str">
        <f aca="false">IFERROR(INDEX(Prices_Flag,MATCH(F459,Prices_ID,0)),"")</f>
        <v>none</v>
      </c>
      <c r="N459" s="2"/>
      <c r="O459" s="0" t="s">
        <v>1814</v>
      </c>
      <c r="P459" s="8" t="s">
        <v>1815</v>
      </c>
      <c r="Q459" s="0" t="s">
        <v>27</v>
      </c>
    </row>
    <row r="460" customFormat="false" ht="17.15" hidden="false" customHeight="false" outlineLevel="0" collapsed="false">
      <c r="A460" s="2" t="s">
        <v>1840</v>
      </c>
      <c r="B460" s="2" t="s">
        <v>1819</v>
      </c>
      <c r="C460" s="2" t="s">
        <v>939</v>
      </c>
      <c r="D460" s="2" t="s">
        <v>1820</v>
      </c>
      <c r="E460" s="2" t="s">
        <v>1049</v>
      </c>
      <c r="F460" s="2" t="s">
        <v>1002</v>
      </c>
      <c r="G460" s="2" t="str">
        <f aca="false">IFERROR(INDEX(Prices_Item,MATCH(F460,Prices_ID,0)),"ITEM NOT FOUND")</f>
        <v>Nature's Miracle carpet shampoo 1.89 L (extractor)</v>
      </c>
      <c r="H460" s="7" t="n">
        <v>0.4</v>
      </c>
      <c r="I460" s="2" t="s">
        <v>1821</v>
      </c>
      <c r="J460" s="3" t="n">
        <f aca="false">IFERROR(INDEX(Prices_Current,MATCH(F460,Prices_ID,0)),"")</f>
        <v>239.75</v>
      </c>
      <c r="K460" s="2" t="s">
        <v>1100</v>
      </c>
      <c r="L460" s="3" t="n">
        <f aca="false">IF(OR(H460="",NOT(ISNUMBER(J460))),"",H460*J460)</f>
        <v>95.9</v>
      </c>
      <c r="M460" s="2" t="str">
        <f aca="false">IFERROR(INDEX(Prices_Flag,MATCH(F460,Prices_ID,0)),"")</f>
        <v>none</v>
      </c>
      <c r="N460" s="2" t="s">
        <v>1822</v>
      </c>
      <c r="O460" s="0" t="s">
        <v>1823</v>
      </c>
      <c r="P460" s="8" t="s">
        <v>1824</v>
      </c>
      <c r="Q460" s="0" t="s">
        <v>27</v>
      </c>
    </row>
    <row r="461" customFormat="false" ht="17.15" hidden="false" customHeight="false" outlineLevel="0" collapsed="false">
      <c r="A461" s="2" t="s">
        <v>1841</v>
      </c>
      <c r="B461" s="2" t="s">
        <v>1819</v>
      </c>
      <c r="C461" s="2" t="s">
        <v>939</v>
      </c>
      <c r="D461" s="2" t="s">
        <v>1820</v>
      </c>
      <c r="E461" s="2" t="s">
        <v>1049</v>
      </c>
      <c r="F461" s="2" t="s">
        <v>986</v>
      </c>
      <c r="G461" s="2" t="str">
        <f aca="false">IFERROR(INDEX(Prices_Item,MATCH(F461,Prices_ID,0)),"ITEM NOT FOUND")</f>
        <v>Great Value large microfiber cloth</v>
      </c>
      <c r="H461" s="7" t="n">
        <v>1</v>
      </c>
      <c r="I461" s="2" t="s">
        <v>1821</v>
      </c>
      <c r="J461" s="3" t="n">
        <f aca="false">IFERROR(INDEX(Prices_Current,MATCH(F461,Prices_ID,0)),"")</f>
        <v>29</v>
      </c>
      <c r="K461" s="2" t="s">
        <v>1100</v>
      </c>
      <c r="L461" s="3" t="n">
        <f aca="false">IF(OR(H461="",NOT(ISNUMBER(J461))),"",H461*J461)</f>
        <v>29</v>
      </c>
      <c r="M461" s="2" t="str">
        <f aca="false">IFERROR(INDEX(Prices_Flag,MATCH(F461,Prices_ID,0)),"")</f>
        <v>none</v>
      </c>
      <c r="N461" s="2" t="s">
        <v>1822</v>
      </c>
      <c r="O461" s="0" t="s">
        <v>1823</v>
      </c>
      <c r="P461" s="8" t="s">
        <v>1824</v>
      </c>
      <c r="Q461" s="0" t="s">
        <v>27</v>
      </c>
    </row>
    <row r="462" customFormat="false" ht="17.15" hidden="false" customHeight="false" outlineLevel="0" collapsed="false">
      <c r="A462" s="2" t="s">
        <v>1842</v>
      </c>
      <c r="B462" s="2" t="s">
        <v>1819</v>
      </c>
      <c r="C462" s="2" t="s">
        <v>939</v>
      </c>
      <c r="D462" s="2" t="s">
        <v>1820</v>
      </c>
      <c r="E462" s="2" t="s">
        <v>1049</v>
      </c>
      <c r="F462" s="2" t="s">
        <v>1008</v>
      </c>
      <c r="G462" s="2" t="str">
        <f aca="false">IFERROR(INDEX(Prices_Item,MATCH(F462,Prices_ID,0)),"ITEM NOT FOUND")</f>
        <v>Nature's Miracle enzymatic stain and odor cleaner 3.7 L</v>
      </c>
      <c r="H462" s="7" t="n">
        <v>0.1</v>
      </c>
      <c r="I462" s="2" t="s">
        <v>1817</v>
      </c>
      <c r="J462" s="3" t="n">
        <f aca="false">IFERROR(INDEX(Prices_Current,MATCH(F462,Prices_ID,0)),"")</f>
        <v>799</v>
      </c>
      <c r="K462" s="2" t="s">
        <v>1044</v>
      </c>
      <c r="L462" s="3" t="n">
        <f aca="false">IF(OR(H462="",NOT(ISNUMBER(J462))),"",H462*J462)</f>
        <v>79.9</v>
      </c>
      <c r="M462" s="2" t="str">
        <f aca="false">IFERROR(INDEX(Prices_Flag,MATCH(F462,Prices_ID,0)),"")</f>
        <v>none</v>
      </c>
      <c r="N462" s="2"/>
      <c r="O462" s="0" t="s">
        <v>1823</v>
      </c>
      <c r="P462" s="8" t="s">
        <v>1824</v>
      </c>
      <c r="Q462" s="0" t="s">
        <v>27</v>
      </c>
    </row>
    <row r="463" customFormat="false" ht="17.15" hidden="false" customHeight="false" outlineLevel="0" collapsed="false">
      <c r="A463" s="2" t="s">
        <v>1843</v>
      </c>
      <c r="B463" s="2" t="s">
        <v>1827</v>
      </c>
      <c r="C463" s="2" t="s">
        <v>939</v>
      </c>
      <c r="D463" s="2" t="s">
        <v>1828</v>
      </c>
      <c r="E463" s="2" t="s">
        <v>1049</v>
      </c>
      <c r="F463" s="2" t="s">
        <v>981</v>
      </c>
      <c r="G463" s="2" t="str">
        <f aca="false">IFERROR(INDEX(Prices_Item,MATCH(F463,Prices_ID,0)),"ITEM NOT FOUND")</f>
        <v>Windex ammonia-free glass cleaner 500 ml</v>
      </c>
      <c r="H463" s="7" t="n">
        <v>3</v>
      </c>
      <c r="I463" s="2" t="s">
        <v>1829</v>
      </c>
      <c r="J463" s="3" t="n">
        <f aca="false">IFERROR(INDEX(Prices_Current,MATCH(F463,Prices_ID,0)),"")</f>
        <v>24</v>
      </c>
      <c r="K463" s="2" t="s">
        <v>1100</v>
      </c>
      <c r="L463" s="3" t="n">
        <f aca="false">IF(OR(H463="",NOT(ISNUMBER(J463))),"",H463*J463)</f>
        <v>72</v>
      </c>
      <c r="M463" s="2" t="str">
        <f aca="false">IFERROR(INDEX(Prices_Flag,MATCH(F463,Prices_ID,0)),"")</f>
        <v>none</v>
      </c>
      <c r="N463" s="2" t="s">
        <v>1830</v>
      </c>
      <c r="O463" s="0" t="s">
        <v>1831</v>
      </c>
      <c r="P463" s="8" t="s">
        <v>1832</v>
      </c>
      <c r="Q463" s="0" t="s">
        <v>27</v>
      </c>
    </row>
    <row r="464" customFormat="false" ht="17.15" hidden="false" customHeight="false" outlineLevel="0" collapsed="false">
      <c r="A464" s="2" t="s">
        <v>1844</v>
      </c>
      <c r="B464" s="2" t="s">
        <v>1827</v>
      </c>
      <c r="C464" s="2" t="s">
        <v>939</v>
      </c>
      <c r="D464" s="2" t="s">
        <v>1828</v>
      </c>
      <c r="E464" s="2" t="s">
        <v>1049</v>
      </c>
      <c r="F464" s="2" t="s">
        <v>986</v>
      </c>
      <c r="G464" s="2" t="str">
        <f aca="false">IFERROR(INDEX(Prices_Item,MATCH(F464,Prices_ID,0)),"ITEM NOT FOUND")</f>
        <v>Great Value large microfiber cloth</v>
      </c>
      <c r="H464" s="7" t="n">
        <v>2</v>
      </c>
      <c r="I464" s="2" t="s">
        <v>1829</v>
      </c>
      <c r="J464" s="3" t="n">
        <f aca="false">IFERROR(INDEX(Prices_Current,MATCH(F464,Prices_ID,0)),"")</f>
        <v>29</v>
      </c>
      <c r="K464" s="2" t="s">
        <v>1100</v>
      </c>
      <c r="L464" s="3" t="n">
        <f aca="false">IF(OR(H464="",NOT(ISNUMBER(J464))),"",H464*J464)</f>
        <v>58</v>
      </c>
      <c r="M464" s="2" t="str">
        <f aca="false">IFERROR(INDEX(Prices_Flag,MATCH(F464,Prices_ID,0)),"")</f>
        <v>none</v>
      </c>
      <c r="N464" s="2" t="s">
        <v>1830</v>
      </c>
      <c r="O464" s="0" t="s">
        <v>1831</v>
      </c>
      <c r="P464" s="8" t="s">
        <v>1832</v>
      </c>
      <c r="Q464" s="0" t="s">
        <v>27</v>
      </c>
    </row>
    <row r="465" customFormat="false" ht="17.15" hidden="false" customHeight="false" outlineLevel="0" collapsed="false">
      <c r="A465" s="2" t="s">
        <v>1845</v>
      </c>
      <c r="B465" s="2" t="s">
        <v>1827</v>
      </c>
      <c r="C465" s="2" t="s">
        <v>939</v>
      </c>
      <c r="D465" s="2" t="s">
        <v>1828</v>
      </c>
      <c r="E465" s="2" t="s">
        <v>1049</v>
      </c>
      <c r="F465" s="2" t="s">
        <v>1015</v>
      </c>
      <c r="G465" s="2" t="str">
        <f aca="false">IFERROR(INDEX(Prices_Item,MATCH(F465,Prices_ID,0)),"ITEM NOT FOUND")</f>
        <v>Window cleaning above ground floor (work at height)</v>
      </c>
      <c r="H465" s="7"/>
      <c r="I465" s="2" t="s">
        <v>1835</v>
      </c>
      <c r="J465" s="3" t="str">
        <f aca="false">IFERROR(INDEX(Prices_Current,MATCH(F465,Prices_ID,0)),"")</f>
        <v/>
      </c>
      <c r="K465" s="2" t="s">
        <v>1061</v>
      </c>
      <c r="L465" s="3" t="str">
        <f aca="false">IF(OR(H465="",NOT(ISNUMBER(J465))),"",H465*J465)</f>
        <v/>
      </c>
      <c r="M465" s="2" t="str">
        <f aca="false">IFERROR(INDEX(Prices_Flag,MATCH(F465,Prices_ID,0)),"")</f>
        <v>FLAGGED-human review</v>
      </c>
      <c r="N465" s="2" t="s">
        <v>1836</v>
      </c>
      <c r="O465" s="0" t="s">
        <v>1831</v>
      </c>
      <c r="P465" s="8" t="s">
        <v>1832</v>
      </c>
      <c r="Q465" s="0" t="s">
        <v>1044</v>
      </c>
    </row>
    <row r="466" customFormat="false" ht="17.15" hidden="false" customHeight="false" outlineLevel="0" collapsed="false">
      <c r="A466" s="2" t="s">
        <v>1846</v>
      </c>
      <c r="B466" s="2" t="s">
        <v>1810</v>
      </c>
      <c r="C466" s="2" t="s">
        <v>939</v>
      </c>
      <c r="D466" s="2" t="s">
        <v>1811</v>
      </c>
      <c r="E466" s="2" t="s">
        <v>1051</v>
      </c>
      <c r="F466" s="2" t="s">
        <v>1002</v>
      </c>
      <c r="G466" s="2" t="str">
        <f aca="false">IFERROR(INDEX(Prices_Item,MATCH(F466,Prices_ID,0)),"ITEM NOT FOUND")</f>
        <v>Nature's Miracle carpet shampoo 1.89 L (extractor)</v>
      </c>
      <c r="H466" s="7" t="n">
        <v>0.25</v>
      </c>
      <c r="I466" s="2" t="s">
        <v>1812</v>
      </c>
      <c r="J466" s="3" t="n">
        <f aca="false">IFERROR(INDEX(Prices_Current,MATCH(F466,Prices_ID,0)),"")</f>
        <v>239.75</v>
      </c>
      <c r="K466" s="2" t="s">
        <v>1100</v>
      </c>
      <c r="L466" s="3" t="n">
        <f aca="false">IF(OR(H466="",NOT(ISNUMBER(J466))),"",H466*J466)</f>
        <v>59.9375</v>
      </c>
      <c r="M466" s="2" t="str">
        <f aca="false">IFERROR(INDEX(Prices_Flag,MATCH(F466,Prices_ID,0)),"")</f>
        <v>none</v>
      </c>
      <c r="N466" s="2" t="s">
        <v>1813</v>
      </c>
      <c r="O466" s="0" t="s">
        <v>1814</v>
      </c>
      <c r="P466" s="8" t="s">
        <v>1815</v>
      </c>
      <c r="Q466" s="0" t="s">
        <v>27</v>
      </c>
    </row>
    <row r="467" customFormat="false" ht="17.15" hidden="false" customHeight="false" outlineLevel="0" collapsed="false">
      <c r="A467" s="2" t="s">
        <v>1847</v>
      </c>
      <c r="B467" s="2" t="s">
        <v>1810</v>
      </c>
      <c r="C467" s="2" t="s">
        <v>939</v>
      </c>
      <c r="D467" s="2" t="s">
        <v>1811</v>
      </c>
      <c r="E467" s="2" t="s">
        <v>1051</v>
      </c>
      <c r="F467" s="2" t="s">
        <v>1008</v>
      </c>
      <c r="G467" s="2" t="str">
        <f aca="false">IFERROR(INDEX(Prices_Item,MATCH(F467,Prices_ID,0)),"ITEM NOT FOUND")</f>
        <v>Nature's Miracle enzymatic stain and odor cleaner 3.7 L</v>
      </c>
      <c r="H467" s="7" t="n">
        <v>0.05</v>
      </c>
      <c r="I467" s="2" t="s">
        <v>1812</v>
      </c>
      <c r="J467" s="3" t="n">
        <f aca="false">IFERROR(INDEX(Prices_Current,MATCH(F467,Prices_ID,0)),"")</f>
        <v>799</v>
      </c>
      <c r="K467" s="2" t="s">
        <v>1100</v>
      </c>
      <c r="L467" s="3" t="n">
        <f aca="false">IF(OR(H467="",NOT(ISNUMBER(J467))),"",H467*J467)</f>
        <v>39.95</v>
      </c>
      <c r="M467" s="2" t="str">
        <f aca="false">IFERROR(INDEX(Prices_Flag,MATCH(F467,Prices_ID,0)),"")</f>
        <v>none</v>
      </c>
      <c r="N467" s="2" t="s">
        <v>1813</v>
      </c>
      <c r="O467" s="0" t="s">
        <v>1814</v>
      </c>
      <c r="P467" s="8" t="s">
        <v>1815</v>
      </c>
      <c r="Q467" s="0" t="s">
        <v>27</v>
      </c>
    </row>
    <row r="468" customFormat="false" ht="17.15" hidden="false" customHeight="false" outlineLevel="0" collapsed="false">
      <c r="A468" s="2" t="s">
        <v>1848</v>
      </c>
      <c r="B468" s="2" t="s">
        <v>1810</v>
      </c>
      <c r="C468" s="2" t="s">
        <v>939</v>
      </c>
      <c r="D468" s="2" t="s">
        <v>1811</v>
      </c>
      <c r="E468" s="2" t="s">
        <v>1051</v>
      </c>
      <c r="F468" s="2" t="s">
        <v>986</v>
      </c>
      <c r="G468" s="2" t="str">
        <f aca="false">IFERROR(INDEX(Prices_Item,MATCH(F468,Prices_ID,0)),"ITEM NOT FOUND")</f>
        <v>Great Value large microfiber cloth</v>
      </c>
      <c r="H468" s="7" t="n">
        <v>1</v>
      </c>
      <c r="I468" s="2" t="s">
        <v>1812</v>
      </c>
      <c r="J468" s="3" t="n">
        <f aca="false">IFERROR(INDEX(Prices_Current,MATCH(F468,Prices_ID,0)),"")</f>
        <v>29</v>
      </c>
      <c r="K468" s="2" t="s">
        <v>1100</v>
      </c>
      <c r="L468" s="3" t="n">
        <f aca="false">IF(OR(H468="",NOT(ISNUMBER(J468))),"",H468*J468)</f>
        <v>29</v>
      </c>
      <c r="M468" s="2" t="str">
        <f aca="false">IFERROR(INDEX(Prices_Flag,MATCH(F468,Prices_ID,0)),"")</f>
        <v>none</v>
      </c>
      <c r="N468" s="2" t="s">
        <v>1813</v>
      </c>
      <c r="O468" s="0" t="s">
        <v>1814</v>
      </c>
      <c r="P468" s="8" t="s">
        <v>1815</v>
      </c>
      <c r="Q468" s="0" t="s">
        <v>27</v>
      </c>
    </row>
    <row r="469" customFormat="false" ht="17.15" hidden="false" customHeight="false" outlineLevel="0" collapsed="false">
      <c r="A469" s="2" t="s">
        <v>1849</v>
      </c>
      <c r="B469" s="2" t="s">
        <v>1810</v>
      </c>
      <c r="C469" s="2" t="s">
        <v>939</v>
      </c>
      <c r="D469" s="2" t="s">
        <v>1811</v>
      </c>
      <c r="E469" s="2" t="s">
        <v>1051</v>
      </c>
      <c r="F469" s="2" t="s">
        <v>1008</v>
      </c>
      <c r="G469" s="2" t="str">
        <f aca="false">IFERROR(INDEX(Prices_Item,MATCH(F469,Prices_ID,0)),"ITEM NOT FOUND")</f>
        <v>Nature's Miracle enzymatic stain and odor cleaner 3.7 L</v>
      </c>
      <c r="H469" s="7" t="n">
        <v>0.1</v>
      </c>
      <c r="I469" s="2" t="s">
        <v>1817</v>
      </c>
      <c r="J469" s="3" t="n">
        <f aca="false">IFERROR(INDEX(Prices_Current,MATCH(F469,Prices_ID,0)),"")</f>
        <v>799</v>
      </c>
      <c r="K469" s="2" t="s">
        <v>1044</v>
      </c>
      <c r="L469" s="3" t="n">
        <f aca="false">IF(OR(H469="",NOT(ISNUMBER(J469))),"",H469*J469)</f>
        <v>79.9</v>
      </c>
      <c r="M469" s="2" t="str">
        <f aca="false">IFERROR(INDEX(Prices_Flag,MATCH(F469,Prices_ID,0)),"")</f>
        <v>none</v>
      </c>
      <c r="N469" s="2"/>
      <c r="O469" s="0" t="s">
        <v>1814</v>
      </c>
      <c r="P469" s="8" t="s">
        <v>1815</v>
      </c>
      <c r="Q469" s="0" t="s">
        <v>27</v>
      </c>
    </row>
    <row r="470" customFormat="false" ht="17.15" hidden="false" customHeight="false" outlineLevel="0" collapsed="false">
      <c r="A470" s="2" t="s">
        <v>1850</v>
      </c>
      <c r="B470" s="2" t="s">
        <v>1819</v>
      </c>
      <c r="C470" s="2" t="s">
        <v>939</v>
      </c>
      <c r="D470" s="2" t="s">
        <v>1820</v>
      </c>
      <c r="E470" s="2" t="s">
        <v>1051</v>
      </c>
      <c r="F470" s="2" t="s">
        <v>1002</v>
      </c>
      <c r="G470" s="2" t="str">
        <f aca="false">IFERROR(INDEX(Prices_Item,MATCH(F470,Prices_ID,0)),"ITEM NOT FOUND")</f>
        <v>Nature's Miracle carpet shampoo 1.89 L (extractor)</v>
      </c>
      <c r="H470" s="7" t="n">
        <v>0.4</v>
      </c>
      <c r="I470" s="2" t="s">
        <v>1821</v>
      </c>
      <c r="J470" s="3" t="n">
        <f aca="false">IFERROR(INDEX(Prices_Current,MATCH(F470,Prices_ID,0)),"")</f>
        <v>239.75</v>
      </c>
      <c r="K470" s="2" t="s">
        <v>1100</v>
      </c>
      <c r="L470" s="3" t="n">
        <f aca="false">IF(OR(H470="",NOT(ISNUMBER(J470))),"",H470*J470)</f>
        <v>95.9</v>
      </c>
      <c r="M470" s="2" t="str">
        <f aca="false">IFERROR(INDEX(Prices_Flag,MATCH(F470,Prices_ID,0)),"")</f>
        <v>none</v>
      </c>
      <c r="N470" s="2" t="s">
        <v>1822</v>
      </c>
      <c r="O470" s="0" t="s">
        <v>1823</v>
      </c>
      <c r="P470" s="8" t="s">
        <v>1824</v>
      </c>
      <c r="Q470" s="0" t="s">
        <v>27</v>
      </c>
    </row>
    <row r="471" customFormat="false" ht="17.15" hidden="false" customHeight="false" outlineLevel="0" collapsed="false">
      <c r="A471" s="2" t="s">
        <v>1851</v>
      </c>
      <c r="B471" s="2" t="s">
        <v>1819</v>
      </c>
      <c r="C471" s="2" t="s">
        <v>939</v>
      </c>
      <c r="D471" s="2" t="s">
        <v>1820</v>
      </c>
      <c r="E471" s="2" t="s">
        <v>1051</v>
      </c>
      <c r="F471" s="2" t="s">
        <v>1008</v>
      </c>
      <c r="G471" s="2" t="str">
        <f aca="false">IFERROR(INDEX(Prices_Item,MATCH(F471,Prices_ID,0)),"ITEM NOT FOUND")</f>
        <v>Nature's Miracle enzymatic stain and odor cleaner 3.7 L</v>
      </c>
      <c r="H471" s="7" t="n">
        <v>0.1</v>
      </c>
      <c r="I471" s="2" t="s">
        <v>1821</v>
      </c>
      <c r="J471" s="3" t="n">
        <f aca="false">IFERROR(INDEX(Prices_Current,MATCH(F471,Prices_ID,0)),"")</f>
        <v>799</v>
      </c>
      <c r="K471" s="2" t="s">
        <v>1100</v>
      </c>
      <c r="L471" s="3" t="n">
        <f aca="false">IF(OR(H471="",NOT(ISNUMBER(J471))),"",H471*J471)</f>
        <v>79.9</v>
      </c>
      <c r="M471" s="2" t="str">
        <f aca="false">IFERROR(INDEX(Prices_Flag,MATCH(F471,Prices_ID,0)),"")</f>
        <v>none</v>
      </c>
      <c r="N471" s="2" t="s">
        <v>1822</v>
      </c>
      <c r="O471" s="0" t="s">
        <v>1823</v>
      </c>
      <c r="P471" s="8" t="s">
        <v>1824</v>
      </c>
      <c r="Q471" s="0" t="s">
        <v>27</v>
      </c>
    </row>
    <row r="472" customFormat="false" ht="17.15" hidden="false" customHeight="false" outlineLevel="0" collapsed="false">
      <c r="A472" s="2" t="s">
        <v>1852</v>
      </c>
      <c r="B472" s="2" t="s">
        <v>1819</v>
      </c>
      <c r="C472" s="2" t="s">
        <v>939</v>
      </c>
      <c r="D472" s="2" t="s">
        <v>1820</v>
      </c>
      <c r="E472" s="2" t="s">
        <v>1051</v>
      </c>
      <c r="F472" s="2" t="s">
        <v>986</v>
      </c>
      <c r="G472" s="2" t="str">
        <f aca="false">IFERROR(INDEX(Prices_Item,MATCH(F472,Prices_ID,0)),"ITEM NOT FOUND")</f>
        <v>Great Value large microfiber cloth</v>
      </c>
      <c r="H472" s="7" t="n">
        <v>1</v>
      </c>
      <c r="I472" s="2" t="s">
        <v>1821</v>
      </c>
      <c r="J472" s="3" t="n">
        <f aca="false">IFERROR(INDEX(Prices_Current,MATCH(F472,Prices_ID,0)),"")</f>
        <v>29</v>
      </c>
      <c r="K472" s="2" t="s">
        <v>1100</v>
      </c>
      <c r="L472" s="3" t="n">
        <f aca="false">IF(OR(H472="",NOT(ISNUMBER(J472))),"",H472*J472)</f>
        <v>29</v>
      </c>
      <c r="M472" s="2" t="str">
        <f aca="false">IFERROR(INDEX(Prices_Flag,MATCH(F472,Prices_ID,0)),"")</f>
        <v>none</v>
      </c>
      <c r="N472" s="2" t="s">
        <v>1822</v>
      </c>
      <c r="O472" s="0" t="s">
        <v>1823</v>
      </c>
      <c r="P472" s="8" t="s">
        <v>1824</v>
      </c>
      <c r="Q472" s="0" t="s">
        <v>27</v>
      </c>
    </row>
    <row r="473" customFormat="false" ht="17.15" hidden="false" customHeight="false" outlineLevel="0" collapsed="false">
      <c r="A473" s="2" t="s">
        <v>1853</v>
      </c>
      <c r="B473" s="2" t="s">
        <v>1819</v>
      </c>
      <c r="C473" s="2" t="s">
        <v>939</v>
      </c>
      <c r="D473" s="2" t="s">
        <v>1820</v>
      </c>
      <c r="E473" s="2" t="s">
        <v>1051</v>
      </c>
      <c r="F473" s="2" t="s">
        <v>1008</v>
      </c>
      <c r="G473" s="2" t="str">
        <f aca="false">IFERROR(INDEX(Prices_Item,MATCH(F473,Prices_ID,0)),"ITEM NOT FOUND")</f>
        <v>Nature's Miracle enzymatic stain and odor cleaner 3.7 L</v>
      </c>
      <c r="H473" s="7" t="n">
        <v>0.1</v>
      </c>
      <c r="I473" s="2" t="s">
        <v>1817</v>
      </c>
      <c r="J473" s="3" t="n">
        <f aca="false">IFERROR(INDEX(Prices_Current,MATCH(F473,Prices_ID,0)),"")</f>
        <v>799</v>
      </c>
      <c r="K473" s="2" t="s">
        <v>1044</v>
      </c>
      <c r="L473" s="3" t="n">
        <f aca="false">IF(OR(H473="",NOT(ISNUMBER(J473))),"",H473*J473)</f>
        <v>79.9</v>
      </c>
      <c r="M473" s="2" t="str">
        <f aca="false">IFERROR(INDEX(Prices_Flag,MATCH(F473,Prices_ID,0)),"")</f>
        <v>none</v>
      </c>
      <c r="N473" s="2"/>
      <c r="O473" s="0" t="s">
        <v>1823</v>
      </c>
      <c r="P473" s="8" t="s">
        <v>1824</v>
      </c>
      <c r="Q473" s="0" t="s">
        <v>27</v>
      </c>
    </row>
    <row r="474" customFormat="false" ht="17.15" hidden="false" customHeight="false" outlineLevel="0" collapsed="false">
      <c r="A474" s="2" t="s">
        <v>1854</v>
      </c>
      <c r="B474" s="2" t="s">
        <v>1827</v>
      </c>
      <c r="C474" s="2" t="s">
        <v>939</v>
      </c>
      <c r="D474" s="2" t="s">
        <v>1828</v>
      </c>
      <c r="E474" s="2" t="s">
        <v>1051</v>
      </c>
      <c r="F474" s="2" t="s">
        <v>981</v>
      </c>
      <c r="G474" s="2" t="str">
        <f aca="false">IFERROR(INDEX(Prices_Item,MATCH(F474,Prices_ID,0)),"ITEM NOT FOUND")</f>
        <v>Windex ammonia-free glass cleaner 500 ml</v>
      </c>
      <c r="H474" s="7" t="n">
        <v>4</v>
      </c>
      <c r="I474" s="2" t="s">
        <v>1829</v>
      </c>
      <c r="J474" s="3" t="n">
        <f aca="false">IFERROR(INDEX(Prices_Current,MATCH(F474,Prices_ID,0)),"")</f>
        <v>24</v>
      </c>
      <c r="K474" s="2" t="s">
        <v>1100</v>
      </c>
      <c r="L474" s="3" t="n">
        <f aca="false">IF(OR(H474="",NOT(ISNUMBER(J474))),"",H474*J474)</f>
        <v>96</v>
      </c>
      <c r="M474" s="2" t="str">
        <f aca="false">IFERROR(INDEX(Prices_Flag,MATCH(F474,Prices_ID,0)),"")</f>
        <v>none</v>
      </c>
      <c r="N474" s="2" t="s">
        <v>1830</v>
      </c>
      <c r="O474" s="0" t="s">
        <v>1831</v>
      </c>
      <c r="P474" s="8" t="s">
        <v>1832</v>
      </c>
      <c r="Q474" s="0" t="s">
        <v>27</v>
      </c>
    </row>
    <row r="475" customFormat="false" ht="17.15" hidden="false" customHeight="false" outlineLevel="0" collapsed="false">
      <c r="A475" s="2" t="s">
        <v>1855</v>
      </c>
      <c r="B475" s="2" t="s">
        <v>1827</v>
      </c>
      <c r="C475" s="2" t="s">
        <v>939</v>
      </c>
      <c r="D475" s="2" t="s">
        <v>1828</v>
      </c>
      <c r="E475" s="2" t="s">
        <v>1051</v>
      </c>
      <c r="F475" s="2" t="s">
        <v>986</v>
      </c>
      <c r="G475" s="2" t="str">
        <f aca="false">IFERROR(INDEX(Prices_Item,MATCH(F475,Prices_ID,0)),"ITEM NOT FOUND")</f>
        <v>Great Value large microfiber cloth</v>
      </c>
      <c r="H475" s="7" t="n">
        <v>3</v>
      </c>
      <c r="I475" s="2" t="s">
        <v>1829</v>
      </c>
      <c r="J475" s="3" t="n">
        <f aca="false">IFERROR(INDEX(Prices_Current,MATCH(F475,Prices_ID,0)),"")</f>
        <v>29</v>
      </c>
      <c r="K475" s="2" t="s">
        <v>1100</v>
      </c>
      <c r="L475" s="3" t="n">
        <f aca="false">IF(OR(H475="",NOT(ISNUMBER(J475))),"",H475*J475)</f>
        <v>87</v>
      </c>
      <c r="M475" s="2" t="str">
        <f aca="false">IFERROR(INDEX(Prices_Flag,MATCH(F475,Prices_ID,0)),"")</f>
        <v>none</v>
      </c>
      <c r="N475" s="2" t="s">
        <v>1830</v>
      </c>
      <c r="O475" s="0" t="s">
        <v>1831</v>
      </c>
      <c r="P475" s="8" t="s">
        <v>1832</v>
      </c>
      <c r="Q475" s="0" t="s">
        <v>27</v>
      </c>
    </row>
    <row r="476" customFormat="false" ht="17.15" hidden="false" customHeight="false" outlineLevel="0" collapsed="false">
      <c r="A476" s="2" t="s">
        <v>1856</v>
      </c>
      <c r="B476" s="2" t="s">
        <v>1827</v>
      </c>
      <c r="C476" s="2" t="s">
        <v>939</v>
      </c>
      <c r="D476" s="2" t="s">
        <v>1828</v>
      </c>
      <c r="E476" s="2" t="s">
        <v>1051</v>
      </c>
      <c r="F476" s="2" t="s">
        <v>1015</v>
      </c>
      <c r="G476" s="2" t="str">
        <f aca="false">IFERROR(INDEX(Prices_Item,MATCH(F476,Prices_ID,0)),"ITEM NOT FOUND")</f>
        <v>Window cleaning above ground floor (work at height)</v>
      </c>
      <c r="H476" s="7"/>
      <c r="I476" s="2" t="s">
        <v>1835</v>
      </c>
      <c r="J476" s="3" t="str">
        <f aca="false">IFERROR(INDEX(Prices_Current,MATCH(F476,Prices_ID,0)),"")</f>
        <v/>
      </c>
      <c r="K476" s="2" t="s">
        <v>1061</v>
      </c>
      <c r="L476" s="3" t="str">
        <f aca="false">IF(OR(H476="",NOT(ISNUMBER(J476))),"",H476*J476)</f>
        <v/>
      </c>
      <c r="M476" s="2" t="str">
        <f aca="false">IFERROR(INDEX(Prices_Flag,MATCH(F476,Prices_ID,0)),"")</f>
        <v>FLAGGED-human review</v>
      </c>
      <c r="N476" s="2" t="s">
        <v>1836</v>
      </c>
      <c r="O476" s="0" t="s">
        <v>1831</v>
      </c>
      <c r="P476" s="8" t="s">
        <v>1832</v>
      </c>
      <c r="Q476" s="0" t="s">
        <v>1044</v>
      </c>
    </row>
    <row r="477" customFormat="false" ht="1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</row>
    <row r="478" customFormat="false" ht="1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</row>
    <row r="479" customFormat="false" ht="1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</row>
    <row r="480" customFormat="false" ht="1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</row>
    <row r="481" customFormat="false" ht="1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</row>
    <row r="482" customFormat="false" ht="1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</row>
    <row r="483" customFormat="false" ht="1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</row>
    <row r="484" customFormat="false" ht="1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</row>
    <row r="485" customFormat="false" ht="1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</row>
    <row r="486" customFormat="false" ht="1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</row>
    <row r="487" customFormat="false" ht="1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</row>
    <row r="488" customFormat="false" ht="1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</row>
    <row r="489" customFormat="false" ht="1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</row>
    <row r="490" customFormat="false" ht="1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</row>
    <row r="491" customFormat="false" ht="1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</row>
    <row r="492" customFormat="false" ht="1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</row>
    <row r="493" customFormat="false" ht="1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</row>
    <row r="494" customFormat="false" ht="1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</row>
    <row r="495" customFormat="false" ht="1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</row>
    <row r="496" customFormat="false" ht="1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</row>
    <row r="497" customFormat="false" ht="1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</row>
    <row r="498" customFormat="false" ht="1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</row>
    <row r="499" customFormat="false" ht="1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</row>
    <row r="500" customFormat="false" ht="1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</row>
    <row r="501" customFormat="false" ht="15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</row>
    <row r="502" customFormat="false" ht="15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</row>
    <row r="503" customFormat="false" ht="15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</row>
    <row r="504" customFormat="false" ht="15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</row>
    <row r="505" customFormat="false" ht="15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</row>
    <row r="506" customFormat="false" ht="15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</row>
    <row r="507" customFormat="false" ht="15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</row>
    <row r="508" customFormat="false" ht="15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</row>
    <row r="509" customFormat="false" ht="15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</row>
    <row r="510" customFormat="false" ht="15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</row>
    <row r="511" customFormat="false" ht="15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</row>
    <row r="512" customFormat="false" ht="15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</row>
    <row r="513" customFormat="false" ht="15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</row>
    <row r="514" customFormat="false" ht="15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</row>
    <row r="515" customFormat="false" ht="15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</row>
    <row r="516" customFormat="false" ht="15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</row>
    <row r="517" customFormat="false" ht="15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</row>
    <row r="518" customFormat="false" ht="15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</row>
    <row r="519" customFormat="false" ht="15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</row>
    <row r="520" customFormat="false" ht="15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</row>
    <row r="521" customFormat="false" ht="15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</row>
    <row r="522" customFormat="false" ht="15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</row>
    <row r="523" customFormat="false" ht="15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</row>
    <row r="524" customFormat="false" ht="15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</row>
    <row r="525" customFormat="false" ht="15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</row>
    <row r="526" customFormat="false" ht="15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</row>
    <row r="527" customFormat="false" ht="15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</row>
    <row r="528" customFormat="false" ht="15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</row>
    <row r="529" customFormat="false" ht="15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</row>
    <row r="530" customFormat="false" ht="15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</row>
    <row r="531" customFormat="false" ht="15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</row>
    <row r="532" customFormat="false" ht="15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</row>
    <row r="533" customFormat="false" ht="15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</row>
    <row r="534" customFormat="false" ht="15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</row>
    <row r="535" customFormat="false" ht="15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</row>
    <row r="536" customFormat="false" ht="15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</row>
    <row r="537" customFormat="false" ht="15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</row>
    <row r="538" customFormat="false" ht="15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</row>
    <row r="539" customFormat="false" ht="15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</row>
    <row r="540" customFormat="false" ht="15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</row>
    <row r="541" customFormat="false" ht="15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</row>
    <row r="542" customFormat="false" ht="15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</row>
    <row r="543" customFormat="false" ht="15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</row>
    <row r="544" customFormat="false" ht="15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</row>
    <row r="545" customFormat="false" ht="15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</row>
    <row r="546" customFormat="false" ht="15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</row>
    <row r="547" customFormat="false" ht="15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</row>
    <row r="548" customFormat="false" ht="15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</row>
    <row r="549" customFormat="false" ht="15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</row>
    <row r="550" customFormat="false" ht="15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</row>
    <row r="551" customFormat="false" ht="15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</row>
    <row r="552" customFormat="false" ht="15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</row>
    <row r="553" customFormat="false" ht="15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</row>
    <row r="554" customFormat="false" ht="15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</row>
    <row r="555" customFormat="false" ht="15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</row>
    <row r="556" customFormat="false" ht="15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</row>
    <row r="557" customFormat="false" ht="15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</row>
    <row r="558" customFormat="false" ht="15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</row>
    <row r="559" customFormat="false" ht="15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</row>
    <row r="560" customFormat="false" ht="15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</row>
    <row r="561" customFormat="false" ht="15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</row>
    <row r="562" customFormat="false" ht="15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</row>
    <row r="563" customFormat="false" ht="15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</row>
    <row r="564" customFormat="false" ht="15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</row>
    <row r="565" customFormat="false" ht="15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</row>
    <row r="566" customFormat="false" ht="15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</row>
    <row r="567" customFormat="false" ht="15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</row>
    <row r="568" customFormat="false" ht="15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</row>
    <row r="569" customFormat="false" ht="15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</row>
    <row r="570" customFormat="false" ht="15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</row>
    <row r="571" customFormat="false" ht="15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</row>
    <row r="572" customFormat="false" ht="15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</row>
    <row r="573" customFormat="false" ht="15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</row>
    <row r="574" customFormat="false" ht="15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</row>
    <row r="575" customFormat="false" ht="15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</row>
    <row r="576" customFormat="false" ht="15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</row>
    <row r="577" customFormat="false" ht="15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</row>
    <row r="578" customFormat="false" ht="15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</row>
    <row r="579" customFormat="false" ht="15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</row>
    <row r="580" customFormat="false" ht="15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</row>
    <row r="581" customFormat="false" ht="15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</row>
    <row r="582" customFormat="false" ht="15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</row>
    <row r="583" customFormat="false" ht="15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</row>
    <row r="584" customFormat="false" ht="15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</row>
    <row r="585" customFormat="false" ht="15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</row>
    <row r="586" customFormat="false" ht="15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</row>
    <row r="587" customFormat="false" ht="15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</row>
    <row r="588" customFormat="false" ht="15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</row>
    <row r="589" customFormat="false" ht="15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</row>
    <row r="590" customFormat="false" ht="15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</row>
    <row r="591" customFormat="false" ht="15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</row>
    <row r="592" customFormat="false" ht="15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</row>
    <row r="593" customFormat="false" ht="15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</row>
    <row r="594" customFormat="false" ht="15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</row>
    <row r="595" customFormat="false" ht="15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</row>
    <row r="596" customFormat="false" ht="15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</row>
    <row r="597" customFormat="false" ht="15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</row>
    <row r="598" customFormat="false" ht="15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</row>
    <row r="599" customFormat="false" ht="15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</row>
    <row r="600" customFormat="false" ht="15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</row>
    <row r="601" customFormat="false" ht="15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</row>
    <row r="602" customFormat="false" ht="15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</row>
    <row r="603" customFormat="false" ht="15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</row>
    <row r="604" customFormat="false" ht="15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</row>
    <row r="605" customFormat="false" ht="15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</row>
    <row r="606" customFormat="false" ht="15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</row>
    <row r="607" customFormat="false" ht="15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</row>
    <row r="608" customFormat="false" ht="15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</row>
    <row r="609" customFormat="false" ht="15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</row>
    <row r="610" customFormat="false" ht="15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</row>
    <row r="611" customFormat="false" ht="15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</row>
    <row r="612" customFormat="false" ht="15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</row>
    <row r="613" customFormat="false" ht="15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</row>
    <row r="614" customFormat="false" ht="15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</row>
    <row r="615" customFormat="false" ht="15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</row>
    <row r="616" customFormat="false" ht="15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</row>
    <row r="617" customFormat="false" ht="15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</row>
    <row r="618" customFormat="false" ht="15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</row>
    <row r="619" customFormat="false" ht="15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</row>
    <row r="620" customFormat="false" ht="15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</row>
    <row r="621" customFormat="false" ht="15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</row>
    <row r="622" customFormat="false" ht="15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</row>
    <row r="623" customFormat="false" ht="15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</row>
    <row r="624" customFormat="false" ht="15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</row>
    <row r="625" customFormat="false" ht="15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</row>
    <row r="626" customFormat="false" ht="15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</row>
    <row r="627" customFormat="false" ht="15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</row>
    <row r="628" customFormat="false" ht="15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</row>
    <row r="629" customFormat="false" ht="15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</row>
    <row r="630" customFormat="false" ht="15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</row>
    <row r="631" customFormat="false" ht="15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</row>
    <row r="632" customFormat="false" ht="15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</row>
    <row r="633" customFormat="false" ht="15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</row>
    <row r="634" customFormat="false" ht="15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</row>
    <row r="635" customFormat="false" ht="15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</row>
    <row r="636" customFormat="false" ht="15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</row>
    <row r="637" customFormat="false" ht="15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</row>
    <row r="638" customFormat="false" ht="15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</row>
    <row r="639" customFormat="false" ht="15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</row>
    <row r="640" customFormat="false" ht="15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</row>
    <row r="641" customFormat="false" ht="15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</row>
    <row r="642" customFormat="false" ht="15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</row>
    <row r="643" customFormat="false" ht="15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</row>
    <row r="644" customFormat="false" ht="15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</row>
    <row r="645" customFormat="false" ht="15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</row>
    <row r="646" customFormat="false" ht="15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</row>
    <row r="647" customFormat="false" ht="15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</row>
    <row r="648" customFormat="false" ht="15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</row>
    <row r="649" customFormat="false" ht="15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</row>
    <row r="650" customFormat="false" ht="15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</row>
    <row r="651" customFormat="false" ht="15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</row>
    <row r="652" customFormat="false" ht="15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</row>
    <row r="653" customFormat="false" ht="15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</row>
    <row r="654" customFormat="false" ht="15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</row>
    <row r="655" customFormat="false" ht="15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</row>
    <row r="656" customFormat="false" ht="15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</row>
    <row r="657" customFormat="false" ht="15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</row>
    <row r="658" customFormat="false" ht="15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</row>
    <row r="659" customFormat="false" ht="15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</row>
    <row r="660" customFormat="false" ht="15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</row>
    <row r="661" customFormat="false" ht="15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</row>
    <row r="662" customFormat="false" ht="15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</row>
    <row r="663" customFormat="false" ht="15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</row>
    <row r="664" customFormat="false" ht="15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</row>
    <row r="665" customFormat="false" ht="15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</row>
    <row r="666" customFormat="false" ht="15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</row>
    <row r="667" customFormat="false" ht="15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</row>
    <row r="668" customFormat="false" ht="15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</row>
    <row r="669" customFormat="false" ht="15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</row>
    <row r="670" customFormat="false" ht="15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</row>
    <row r="671" customFormat="false" ht="15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</row>
    <row r="672" customFormat="false" ht="15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</row>
    <row r="673" customFormat="false" ht="15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</row>
    <row r="674" customFormat="false" ht="15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</row>
    <row r="675" customFormat="false" ht="15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</row>
    <row r="676" customFormat="false" ht="15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</row>
    <row r="677" customFormat="false" ht="15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</row>
    <row r="678" customFormat="false" ht="15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</row>
    <row r="679" customFormat="false" ht="15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</row>
    <row r="680" customFormat="false" ht="15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</row>
    <row r="681" customFormat="false" ht="15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</row>
    <row r="682" customFormat="false" ht="15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</row>
    <row r="683" customFormat="false" ht="15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</row>
    <row r="684" customFormat="false" ht="15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</row>
    <row r="685" customFormat="false" ht="15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</row>
    <row r="686" customFormat="false" ht="15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</row>
    <row r="687" customFormat="false" ht="15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</row>
    <row r="688" customFormat="false" ht="15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</row>
    <row r="689" customFormat="false" ht="15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</row>
    <row r="690" customFormat="false" ht="15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</row>
    <row r="691" customFormat="false" ht="15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</row>
    <row r="692" customFormat="false" ht="15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</row>
    <row r="693" customFormat="false" ht="15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</row>
    <row r="694" customFormat="false" ht="15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</row>
    <row r="695" customFormat="false" ht="15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</row>
    <row r="696" customFormat="false" ht="15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</row>
    <row r="697" customFormat="false" ht="15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</row>
    <row r="698" customFormat="false" ht="15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</row>
    <row r="699" customFormat="false" ht="15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</row>
    <row r="700" customFormat="false" ht="15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</row>
    <row r="701" customFormat="false" ht="15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</row>
    <row r="702" customFormat="false" ht="15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</row>
    <row r="703" customFormat="false" ht="15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</row>
    <row r="704" customFormat="false" ht="15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</row>
    <row r="705" customFormat="false" ht="15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</row>
    <row r="706" customFormat="false" ht="15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</row>
    <row r="707" customFormat="false" ht="15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</row>
    <row r="708" customFormat="false" ht="15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</row>
    <row r="709" customFormat="false" ht="15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</row>
    <row r="710" customFormat="false" ht="15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</row>
    <row r="711" customFormat="false" ht="15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</row>
    <row r="712" customFormat="false" ht="15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</row>
    <row r="713" customFormat="false" ht="15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</row>
    <row r="714" customFormat="false" ht="15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</row>
    <row r="715" customFormat="false" ht="15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</row>
    <row r="716" customFormat="false" ht="15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</row>
    <row r="717" customFormat="false" ht="15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</row>
    <row r="718" customFormat="false" ht="15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</row>
    <row r="719" customFormat="false" ht="15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</row>
    <row r="720" customFormat="false" ht="15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</row>
    <row r="721" customFormat="false" ht="15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</row>
    <row r="722" customFormat="false" ht="15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</row>
    <row r="723" customFormat="false" ht="15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</row>
    <row r="724" customFormat="false" ht="15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</row>
    <row r="725" customFormat="false" ht="15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</row>
    <row r="726" customFormat="false" ht="15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</row>
    <row r="727" customFormat="false" ht="15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</row>
    <row r="728" customFormat="false" ht="15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</row>
    <row r="729" customFormat="false" ht="15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</row>
    <row r="730" customFormat="false" ht="15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</row>
    <row r="731" customFormat="false" ht="15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</row>
    <row r="732" customFormat="false" ht="15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</row>
    <row r="733" customFormat="false" ht="15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</row>
    <row r="734" customFormat="false" ht="15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</row>
    <row r="735" customFormat="false" ht="15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</row>
    <row r="736" customFormat="false" ht="15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</row>
    <row r="737" customFormat="false" ht="15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</row>
    <row r="738" customFormat="false" ht="15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</row>
    <row r="739" customFormat="false" ht="15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</row>
    <row r="740" customFormat="false" ht="15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</row>
    <row r="741" customFormat="false" ht="15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</row>
    <row r="742" customFormat="false" ht="15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</row>
    <row r="743" customFormat="false" ht="15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</row>
    <row r="744" customFormat="false" ht="15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</row>
    <row r="745" customFormat="false" ht="15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</row>
    <row r="746" customFormat="false" ht="15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</row>
    <row r="747" customFormat="false" ht="15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</row>
    <row r="748" customFormat="false" ht="15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</row>
    <row r="749" customFormat="false" ht="15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</row>
    <row r="750" customFormat="false" ht="15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</row>
    <row r="751" customFormat="false" ht="15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</row>
    <row r="752" customFormat="false" ht="15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</row>
    <row r="753" customFormat="false" ht="15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</row>
    <row r="754" customFormat="false" ht="15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</row>
    <row r="755" customFormat="false" ht="15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</row>
    <row r="756" customFormat="false" ht="15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</row>
    <row r="757" customFormat="false" ht="15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</row>
    <row r="758" customFormat="false" ht="15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</row>
    <row r="759" customFormat="false" ht="15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</row>
    <row r="760" customFormat="false" ht="15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</row>
    <row r="761" customFormat="false" ht="15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</row>
    <row r="762" customFormat="false" ht="15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</row>
    <row r="763" customFormat="false" ht="15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</row>
    <row r="764" customFormat="false" ht="15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</row>
    <row r="765" customFormat="false" ht="15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</row>
    <row r="766" customFormat="false" ht="15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</row>
    <row r="767" customFormat="false" ht="15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</row>
    <row r="768" customFormat="false" ht="15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</row>
    <row r="769" customFormat="false" ht="15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</row>
    <row r="770" customFormat="false" ht="15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</row>
    <row r="771" customFormat="false" ht="15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</row>
    <row r="772" customFormat="false" ht="15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</row>
    <row r="773" customFormat="false" ht="15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</row>
    <row r="774" customFormat="false" ht="15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</row>
    <row r="775" customFormat="false" ht="15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</row>
    <row r="776" customFormat="false" ht="15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</row>
    <row r="777" customFormat="false" ht="15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</row>
    <row r="778" customFormat="false" ht="15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</row>
    <row r="779" customFormat="false" ht="15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</row>
    <row r="780" customFormat="false" ht="15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</row>
    <row r="781" customFormat="false" ht="15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</row>
    <row r="782" customFormat="false" ht="15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</row>
    <row r="783" customFormat="false" ht="15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</row>
    <row r="784" customFormat="false" ht="15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</row>
    <row r="785" customFormat="false" ht="15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</row>
    <row r="786" customFormat="false" ht="15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</row>
    <row r="787" customFormat="false" ht="15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</row>
    <row r="788" customFormat="false" ht="15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</row>
    <row r="789" customFormat="false" ht="15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</row>
    <row r="790" customFormat="false" ht="15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</row>
    <row r="791" customFormat="false" ht="15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</row>
    <row r="792" customFormat="false" ht="15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</row>
    <row r="793" customFormat="false" ht="15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</row>
    <row r="794" customFormat="false" ht="15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</row>
    <row r="795" customFormat="false" ht="15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</row>
    <row r="796" customFormat="false" ht="15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</row>
    <row r="797" customFormat="false" ht="15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</row>
    <row r="798" customFormat="false" ht="15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</row>
    <row r="799" customFormat="false" ht="15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</row>
    <row r="800" customFormat="false" ht="15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</row>
    <row r="801" customFormat="false" ht="15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</row>
    <row r="802" customFormat="false" ht="15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</row>
    <row r="803" customFormat="false" ht="15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</row>
    <row r="804" customFormat="false" ht="15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</row>
    <row r="805" customFormat="false" ht="15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</row>
    <row r="806" customFormat="false" ht="15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</row>
    <row r="807" customFormat="false" ht="15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</row>
    <row r="808" customFormat="false" ht="15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</row>
    <row r="809" customFormat="false" ht="15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</row>
    <row r="810" customFormat="false" ht="15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</row>
    <row r="811" customFormat="false" ht="15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</row>
    <row r="812" customFormat="false" ht="15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</row>
    <row r="813" customFormat="false" ht="15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</row>
    <row r="814" customFormat="false" ht="15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</row>
    <row r="815" customFormat="false" ht="15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</row>
    <row r="816" customFormat="false" ht="15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</row>
    <row r="817" customFormat="false" ht="15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</row>
    <row r="818" customFormat="false" ht="15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</row>
    <row r="819" customFormat="false" ht="15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</row>
    <row r="820" customFormat="false" ht="15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</row>
    <row r="821" customFormat="false" ht="15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</row>
    <row r="822" customFormat="false" ht="15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</row>
    <row r="823" customFormat="false" ht="15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</row>
    <row r="824" customFormat="false" ht="15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</row>
    <row r="825" customFormat="false" ht="15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</row>
    <row r="826" customFormat="false" ht="15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</row>
    <row r="827" customFormat="false" ht="15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</row>
    <row r="828" customFormat="false" ht="15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</row>
    <row r="829" customFormat="false" ht="15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</row>
    <row r="830" customFormat="false" ht="15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</row>
    <row r="831" customFormat="false" ht="15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</row>
    <row r="832" customFormat="false" ht="15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</row>
    <row r="833" customFormat="false" ht="15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</row>
    <row r="834" customFormat="false" ht="15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</row>
    <row r="835" customFormat="false" ht="15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</row>
    <row r="836" customFormat="false" ht="15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</row>
    <row r="837" customFormat="false" ht="15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</row>
    <row r="838" customFormat="false" ht="15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</row>
    <row r="839" customFormat="false" ht="15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</row>
    <row r="840" customFormat="false" ht="15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</row>
    <row r="841" customFormat="false" ht="15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</row>
    <row r="842" customFormat="false" ht="15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</row>
    <row r="843" customFormat="false" ht="15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</row>
    <row r="844" customFormat="false" ht="15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</row>
    <row r="845" customFormat="false" ht="15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</row>
    <row r="846" customFormat="false" ht="15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</row>
    <row r="847" customFormat="false" ht="15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</row>
    <row r="848" customFormat="false" ht="15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</row>
    <row r="849" customFormat="false" ht="15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</row>
    <row r="850" customFormat="false" ht="15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</row>
    <row r="851" customFormat="false" ht="15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</row>
    <row r="852" customFormat="false" ht="15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</row>
    <row r="853" customFormat="false" ht="15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</row>
    <row r="854" customFormat="false" ht="15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</row>
    <row r="855" customFormat="false" ht="15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</row>
    <row r="856" customFormat="false" ht="15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</row>
    <row r="857" customFormat="false" ht="15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</row>
    <row r="858" customFormat="false" ht="15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</row>
    <row r="859" customFormat="false" ht="15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</row>
    <row r="860" customFormat="false" ht="15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</row>
    <row r="861" customFormat="false" ht="15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</row>
    <row r="862" customFormat="false" ht="15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</row>
    <row r="863" customFormat="false" ht="15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</row>
    <row r="864" customFormat="false" ht="15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</row>
    <row r="865" customFormat="false" ht="15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</row>
    <row r="866" customFormat="false" ht="15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</row>
    <row r="867" customFormat="false" ht="15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</row>
    <row r="868" customFormat="false" ht="15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</row>
    <row r="869" customFormat="false" ht="15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</row>
    <row r="870" customFormat="false" ht="15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</row>
    <row r="871" customFormat="false" ht="15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</row>
    <row r="872" customFormat="false" ht="15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</row>
    <row r="873" customFormat="false" ht="15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</row>
    <row r="874" customFormat="false" ht="15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</row>
    <row r="875" customFormat="false" ht="15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</row>
    <row r="876" customFormat="false" ht="15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</row>
    <row r="877" customFormat="false" ht="15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</row>
    <row r="878" customFormat="false" ht="15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</row>
    <row r="879" customFormat="false" ht="15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</row>
    <row r="880" customFormat="false" ht="15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</row>
    <row r="881" customFormat="false" ht="15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</row>
    <row r="882" customFormat="false" ht="15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</row>
    <row r="883" customFormat="false" ht="15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</row>
    <row r="884" customFormat="false" ht="15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</row>
    <row r="885" customFormat="false" ht="15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</row>
    <row r="886" customFormat="false" ht="15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</row>
    <row r="887" customFormat="false" ht="15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</row>
    <row r="888" customFormat="false" ht="15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</row>
    <row r="889" customFormat="false" ht="15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</row>
    <row r="890" customFormat="false" ht="15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</row>
    <row r="891" customFormat="false" ht="15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</row>
    <row r="892" customFormat="false" ht="15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</row>
    <row r="893" customFormat="false" ht="15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</row>
    <row r="894" customFormat="false" ht="15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</row>
    <row r="895" customFormat="false" ht="15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</row>
    <row r="896" customFormat="false" ht="15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</row>
    <row r="897" customFormat="false" ht="15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</row>
    <row r="898" customFormat="false" ht="15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</row>
    <row r="899" customFormat="false" ht="15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</row>
    <row r="900" customFormat="false" ht="15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</row>
    <row r="901" customFormat="false" ht="15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</row>
    <row r="902" customFormat="false" ht="15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</row>
    <row r="903" customFormat="false" ht="15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</row>
    <row r="904" customFormat="false" ht="15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</row>
    <row r="905" customFormat="false" ht="15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</row>
    <row r="906" customFormat="false" ht="15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</row>
    <row r="907" customFormat="false" ht="15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</row>
    <row r="908" customFormat="false" ht="15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</row>
    <row r="909" customFormat="false" ht="15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</row>
    <row r="910" customFormat="false" ht="15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</row>
    <row r="911" customFormat="false" ht="15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</row>
    <row r="912" customFormat="false" ht="15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</row>
    <row r="913" customFormat="false" ht="15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</row>
    <row r="914" customFormat="false" ht="15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</row>
    <row r="915" customFormat="false" ht="15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</row>
    <row r="916" customFormat="false" ht="15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</row>
    <row r="917" customFormat="false" ht="15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</row>
    <row r="918" customFormat="false" ht="15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</row>
    <row r="919" customFormat="false" ht="15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</row>
    <row r="920" customFormat="false" ht="15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</row>
    <row r="921" customFormat="false" ht="15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</row>
    <row r="922" customFormat="false" ht="15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</row>
    <row r="923" customFormat="false" ht="15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</row>
    <row r="924" customFormat="false" ht="15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</row>
    <row r="925" customFormat="false" ht="15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</row>
    <row r="926" customFormat="false" ht="15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</row>
    <row r="927" customFormat="false" ht="15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</row>
    <row r="928" customFormat="false" ht="15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</row>
    <row r="929" customFormat="false" ht="15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</row>
    <row r="930" customFormat="false" ht="15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</row>
    <row r="931" customFormat="false" ht="15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</row>
    <row r="932" customFormat="false" ht="15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</row>
    <row r="933" customFormat="false" ht="15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</row>
    <row r="934" customFormat="false" ht="15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</row>
    <row r="935" customFormat="false" ht="15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</row>
    <row r="936" customFormat="false" ht="15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</row>
    <row r="937" customFormat="false" ht="15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</row>
    <row r="938" customFormat="false" ht="15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</row>
    <row r="939" customFormat="false" ht="15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</row>
    <row r="940" customFormat="false" ht="15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</row>
    <row r="941" customFormat="false" ht="15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</row>
    <row r="942" customFormat="false" ht="15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</row>
    <row r="943" customFormat="false" ht="15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</row>
    <row r="944" customFormat="false" ht="15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</row>
    <row r="945" customFormat="false" ht="15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</row>
    <row r="946" customFormat="false" ht="15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</row>
    <row r="947" customFormat="false" ht="15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</row>
    <row r="948" customFormat="false" ht="15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</row>
    <row r="949" customFormat="false" ht="15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</row>
    <row r="950" customFormat="false" ht="15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</row>
    <row r="951" customFormat="false" ht="15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</row>
    <row r="952" customFormat="false" ht="15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</row>
    <row r="953" customFormat="false" ht="15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</row>
    <row r="954" customFormat="false" ht="15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</row>
    <row r="955" customFormat="false" ht="15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</row>
    <row r="956" customFormat="false" ht="15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</row>
    <row r="957" customFormat="false" ht="15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</row>
    <row r="958" customFormat="false" ht="15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</row>
    <row r="959" customFormat="false" ht="15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</row>
    <row r="960" customFormat="false" ht="15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</row>
    <row r="961" customFormat="false" ht="15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</row>
    <row r="962" customFormat="false" ht="15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</row>
    <row r="963" customFormat="false" ht="15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</row>
    <row r="964" customFormat="false" ht="15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</row>
    <row r="965" customFormat="false" ht="15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</row>
    <row r="966" customFormat="false" ht="15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</row>
    <row r="967" customFormat="false" ht="15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</row>
    <row r="968" customFormat="false" ht="15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</row>
    <row r="969" customFormat="false" ht="15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</row>
    <row r="970" customFormat="false" ht="15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</row>
    <row r="971" customFormat="false" ht="15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</row>
    <row r="972" customFormat="false" ht="15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</row>
    <row r="973" customFormat="false" ht="15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</row>
    <row r="974" customFormat="false" ht="15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</row>
    <row r="975" customFormat="false" ht="15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</row>
    <row r="976" customFormat="false" ht="15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</row>
    <row r="977" customFormat="false" ht="15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</row>
    <row r="978" customFormat="false" ht="15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</row>
    <row r="979" customFormat="false" ht="15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</row>
    <row r="980" customFormat="false" ht="15" hidden="false" customHeight="fals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</row>
    <row r="981" customFormat="false" ht="15" hidden="false" customHeight="fals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</row>
    <row r="982" customFormat="false" ht="15" hidden="false" customHeight="fals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</row>
    <row r="983" customFormat="false" ht="15" hidden="false" customHeight="fals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</row>
    <row r="984" customFormat="false" ht="15" hidden="false" customHeight="fals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</row>
    <row r="985" customFormat="false" ht="15" hidden="false" customHeight="fals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</row>
    <row r="986" customFormat="false" ht="15" hidden="false" customHeight="fals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</row>
    <row r="987" customFormat="false" ht="15" hidden="false" customHeight="fals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</row>
    <row r="988" customFormat="false" ht="15" hidden="false" customHeight="fals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</row>
    <row r="989" customFormat="false" ht="15" hidden="false" customHeight="fals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</row>
    <row r="990" customFormat="false" ht="15" hidden="false" customHeight="fals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</row>
    <row r="991" customFormat="false" ht="15" hidden="false" customHeight="fals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</row>
    <row r="992" customFormat="false" ht="15" hidden="false" customHeight="fals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</row>
    <row r="993" customFormat="false" ht="15" hidden="false" customHeight="fals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</row>
    <row r="994" customFormat="false" ht="15" hidden="false" customHeight="fals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</row>
    <row r="995" customFormat="false" ht="15" hidden="false" customHeight="fals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</row>
    <row r="996" customFormat="false" ht="15" hidden="false" customHeight="fals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</row>
    <row r="997" customFormat="false" ht="15" hidden="false" customHeight="fals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</row>
    <row r="998" customFormat="false" ht="15" hidden="false" customHeight="fals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</row>
    <row r="999" customFormat="false" ht="15" hidden="false" customHeight="fals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</row>
    <row r="1000" customFormat="false" ht="15" hidden="false" customHeight="fals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</row>
    <row r="1001" customFormat="false" ht="15" hidden="false" customHeight="false" outlineLevel="0" collapsed="false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</row>
    <row r="1002" customFormat="false" ht="15" hidden="false" customHeight="false" outlineLevel="0" collapsed="false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</row>
    <row r="1003" customFormat="false" ht="15" hidden="false" customHeight="false" outlineLevel="0" collapsed="false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</row>
    <row r="1004" customFormat="false" ht="15" hidden="false" customHeight="false" outlineLevel="0" collapsed="false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</row>
    <row r="1005" customFormat="false" ht="15" hidden="false" customHeight="false" outlineLevel="0" collapsed="false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</row>
    <row r="1006" customFormat="false" ht="15" hidden="false" customHeight="false" outlineLevel="0" collapsed="false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</row>
    <row r="1007" customFormat="false" ht="15" hidden="false" customHeight="false" outlineLevel="0" collapsed="false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</row>
    <row r="1008" customFormat="false" ht="15" hidden="false" customHeight="false" outlineLevel="0" collapsed="false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</row>
    <row r="1009" customFormat="false" ht="15" hidden="false" customHeight="false" outlineLevel="0" collapsed="false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</row>
    <row r="1010" customFormat="false" ht="15" hidden="false" customHeight="false" outlineLevel="0" collapsed="false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</row>
    <row r="1011" customFormat="false" ht="15" hidden="false" customHeight="false" outlineLevel="0" collapsed="false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</row>
    <row r="1012" customFormat="false" ht="15" hidden="false" customHeight="false" outlineLevel="0" collapsed="false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</row>
    <row r="1013" customFormat="false" ht="15" hidden="false" customHeight="false" outlineLevel="0" collapsed="false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</row>
    <row r="1014" customFormat="false" ht="15" hidden="false" customHeight="false" outlineLevel="0" collapsed="false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</row>
    <row r="1015" customFormat="false" ht="15" hidden="false" customHeight="false" outlineLevel="0" collapsed="false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</row>
    <row r="1016" customFormat="false" ht="15" hidden="false" customHeight="false" outlineLevel="0" collapsed="false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</row>
    <row r="1017" customFormat="false" ht="15" hidden="false" customHeight="false" outlineLevel="0" collapsed="false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</row>
    <row r="1018" customFormat="false" ht="15" hidden="false" customHeight="false" outlineLevel="0" collapsed="false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</row>
    <row r="1019" customFormat="false" ht="15" hidden="false" customHeight="false" outlineLevel="0" collapsed="false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</row>
    <row r="1020" customFormat="false" ht="15" hidden="false" customHeight="false" outlineLevel="0" collapsed="false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</row>
    <row r="1021" customFormat="false" ht="15" hidden="false" customHeight="false" outlineLevel="0" collapsed="false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</row>
    <row r="1022" customFormat="false" ht="15" hidden="false" customHeight="false" outlineLevel="0" collapsed="false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</row>
    <row r="1023" customFormat="false" ht="15" hidden="false" customHeight="false" outlineLevel="0" collapsed="false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</row>
    <row r="1024" customFormat="false" ht="15" hidden="false" customHeight="false" outlineLevel="0" collapsed="false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</row>
    <row r="1025" customFormat="false" ht="15" hidden="false" customHeight="false" outlineLevel="0" collapsed="false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</row>
    <row r="1026" customFormat="false" ht="15" hidden="false" customHeight="false" outlineLevel="0" collapsed="false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</row>
    <row r="1027" customFormat="false" ht="15" hidden="false" customHeight="false" outlineLevel="0" collapsed="false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</row>
    <row r="1028" customFormat="false" ht="15" hidden="false" customHeight="false" outlineLevel="0" collapsed="false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</row>
    <row r="1029" customFormat="false" ht="15" hidden="false" customHeight="false" outlineLevel="0" collapsed="false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</row>
    <row r="1030" customFormat="false" ht="15" hidden="false" customHeight="false" outlineLevel="0" collapsed="false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</row>
    <row r="1031" customFormat="false" ht="15" hidden="false" customHeight="false" outlineLevel="0" collapsed="false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</row>
    <row r="1032" customFormat="false" ht="15" hidden="false" customHeight="false" outlineLevel="0" collapsed="false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</row>
    <row r="1033" customFormat="false" ht="15" hidden="false" customHeight="false" outlineLevel="0" collapsed="false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</row>
    <row r="1034" customFormat="false" ht="15" hidden="false" customHeight="false" outlineLevel="0" collapsed="false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</row>
    <row r="1035" customFormat="false" ht="15" hidden="false" customHeight="false" outlineLevel="0" collapsed="false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</row>
    <row r="1036" customFormat="false" ht="15" hidden="false" customHeight="false" outlineLevel="0" collapsed="false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</row>
    <row r="1037" customFormat="false" ht="15" hidden="false" customHeight="false" outlineLevel="0" collapsed="false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</row>
    <row r="1038" customFormat="false" ht="15" hidden="false" customHeight="false" outlineLevel="0" collapsed="false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</row>
    <row r="1039" customFormat="false" ht="15" hidden="false" customHeight="false" outlineLevel="0" collapsed="false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</row>
    <row r="1040" customFormat="false" ht="15" hidden="false" customHeight="false" outlineLevel="0" collapsed="false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</row>
    <row r="1041" customFormat="false" ht="15" hidden="false" customHeight="false" outlineLevel="0" collapsed="false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</row>
    <row r="1042" customFormat="false" ht="15" hidden="false" customHeight="false" outlineLevel="0" collapsed="false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</row>
    <row r="1043" customFormat="false" ht="15" hidden="false" customHeight="false" outlineLevel="0" collapsed="false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</row>
    <row r="1044" customFormat="false" ht="15" hidden="false" customHeight="false" outlineLevel="0" collapsed="false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</row>
    <row r="1045" customFormat="false" ht="15" hidden="false" customHeight="false" outlineLevel="0" collapsed="false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</row>
    <row r="1046" customFormat="false" ht="15" hidden="false" customHeight="false" outlineLevel="0" collapsed="false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</row>
    <row r="1047" customFormat="false" ht="15" hidden="false" customHeight="false" outlineLevel="0" collapsed="false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</row>
    <row r="1048" customFormat="false" ht="15" hidden="false" customHeight="false" outlineLevel="0" collapsed="false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</row>
    <row r="1049" customFormat="false" ht="15" hidden="false" customHeight="false" outlineLevel="0" collapsed="false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</row>
    <row r="1050" customFormat="false" ht="15" hidden="false" customHeight="false" outlineLevel="0" collapsed="false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</row>
    <row r="1051" customFormat="false" ht="15" hidden="false" customHeight="false" outlineLevel="0" collapsed="false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</row>
    <row r="1052" customFormat="false" ht="15" hidden="false" customHeight="false" outlineLevel="0" collapsed="false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</row>
    <row r="1053" customFormat="false" ht="15" hidden="false" customHeight="false" outlineLevel="0" collapsed="false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</row>
    <row r="1054" customFormat="false" ht="15" hidden="false" customHeight="false" outlineLevel="0" collapsed="false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</row>
    <row r="1055" customFormat="false" ht="15" hidden="false" customHeight="false" outlineLevel="0" collapsed="false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</row>
    <row r="1056" customFormat="false" ht="15" hidden="false" customHeight="false" outlineLevel="0" collapsed="false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</row>
    <row r="1057" customFormat="false" ht="15" hidden="false" customHeight="false" outlineLevel="0" collapsed="false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</row>
    <row r="1058" customFormat="false" ht="15" hidden="false" customHeight="false" outlineLevel="0" collapsed="false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</row>
    <row r="1059" customFormat="false" ht="15" hidden="false" customHeight="false" outlineLevel="0" collapsed="false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</row>
    <row r="1060" customFormat="false" ht="15" hidden="false" customHeight="false" outlineLevel="0" collapsed="false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</row>
    <row r="1061" customFormat="false" ht="15" hidden="false" customHeight="false" outlineLevel="0" collapsed="false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</row>
    <row r="1062" customFormat="false" ht="15" hidden="false" customHeight="false" outlineLevel="0" collapsed="false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</row>
    <row r="1063" customFormat="false" ht="15" hidden="false" customHeight="false" outlineLevel="0" collapsed="false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</row>
    <row r="1064" customFormat="false" ht="15" hidden="false" customHeight="false" outlineLevel="0" collapsed="false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</row>
    <row r="1065" customFormat="false" ht="15" hidden="false" customHeight="false" outlineLevel="0" collapsed="false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</row>
    <row r="1066" customFormat="false" ht="15" hidden="false" customHeight="false" outlineLevel="0" collapsed="false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</row>
    <row r="1067" customFormat="false" ht="15" hidden="false" customHeight="false" outlineLevel="0" collapsed="false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</row>
    <row r="1068" customFormat="false" ht="15" hidden="false" customHeight="false" outlineLevel="0" collapsed="false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</row>
    <row r="1069" customFormat="false" ht="15" hidden="false" customHeight="false" outlineLevel="0" collapsed="false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</row>
    <row r="1070" customFormat="false" ht="15" hidden="false" customHeight="false" outlineLevel="0" collapsed="false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</row>
    <row r="1071" customFormat="false" ht="15" hidden="false" customHeight="false" outlineLevel="0" collapsed="false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</row>
    <row r="1072" customFormat="false" ht="15" hidden="false" customHeight="false" outlineLevel="0" collapsed="false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</row>
    <row r="1073" customFormat="false" ht="15" hidden="false" customHeight="false" outlineLevel="0" collapsed="false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</row>
    <row r="1074" customFormat="false" ht="15" hidden="false" customHeight="false" outlineLevel="0" collapsed="false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</row>
    <row r="1075" customFormat="false" ht="15" hidden="false" customHeight="false" outlineLevel="0" collapsed="false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</row>
    <row r="1076" customFormat="false" ht="15" hidden="false" customHeight="false" outlineLevel="0" collapsed="false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</row>
    <row r="1077" customFormat="false" ht="15" hidden="false" customHeight="false" outlineLevel="0" collapsed="false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</row>
    <row r="1078" customFormat="false" ht="15" hidden="false" customHeight="false" outlineLevel="0" collapsed="false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</row>
    <row r="1079" customFormat="false" ht="15" hidden="false" customHeight="false" outlineLevel="0" collapsed="false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</row>
    <row r="1080" customFormat="false" ht="15" hidden="false" customHeight="false" outlineLevel="0" collapsed="false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</row>
    <row r="1081" customFormat="false" ht="15" hidden="false" customHeight="false" outlineLevel="0" collapsed="false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</row>
    <row r="1082" customFormat="false" ht="15" hidden="false" customHeight="false" outlineLevel="0" collapsed="false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</row>
    <row r="1083" customFormat="false" ht="15" hidden="false" customHeight="false" outlineLevel="0" collapsed="false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</row>
    <row r="1084" customFormat="false" ht="15" hidden="false" customHeight="false" outlineLevel="0" collapsed="false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</row>
    <row r="1085" customFormat="false" ht="15" hidden="false" customHeight="false" outlineLevel="0" collapsed="false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</row>
    <row r="1086" customFormat="false" ht="15" hidden="false" customHeight="false" outlineLevel="0" collapsed="false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</row>
    <row r="1087" customFormat="false" ht="15" hidden="false" customHeight="false" outlineLevel="0" collapsed="false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</row>
    <row r="1088" customFormat="false" ht="15" hidden="false" customHeight="false" outlineLevel="0" collapsed="false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</row>
    <row r="1089" customFormat="false" ht="15" hidden="false" customHeight="false" outlineLevel="0" collapsed="false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</row>
    <row r="1090" customFormat="false" ht="15" hidden="false" customHeight="false" outlineLevel="0" collapsed="false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</row>
    <row r="1091" customFormat="false" ht="15" hidden="false" customHeight="false" outlineLevel="0" collapsed="false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</row>
    <row r="1092" customFormat="false" ht="15" hidden="false" customHeight="false" outlineLevel="0" collapsed="false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</row>
    <row r="1093" customFormat="false" ht="15" hidden="false" customHeight="false" outlineLevel="0" collapsed="false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</row>
    <row r="1094" customFormat="false" ht="15" hidden="false" customHeight="false" outlineLevel="0" collapsed="false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</row>
    <row r="1095" customFormat="false" ht="15" hidden="false" customHeight="false" outlineLevel="0" collapsed="false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</row>
    <row r="1096" customFormat="false" ht="15" hidden="false" customHeight="false" outlineLevel="0" collapsed="false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</row>
    <row r="1097" customFormat="false" ht="15" hidden="false" customHeight="false" outlineLevel="0" collapsed="false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</row>
    <row r="1098" customFormat="false" ht="15" hidden="false" customHeight="false" outlineLevel="0" collapsed="false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</row>
    <row r="1099" customFormat="false" ht="15" hidden="false" customHeight="false" outlineLevel="0" collapsed="false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</row>
    <row r="1100" customFormat="false" ht="15" hidden="false" customHeight="false" outlineLevel="0" collapsed="false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</row>
    <row r="1101" customFormat="false" ht="15" hidden="false" customHeight="false" outlineLevel="0" collapsed="false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</row>
    <row r="1102" customFormat="false" ht="15" hidden="false" customHeight="false" outlineLevel="0" collapsed="false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</row>
    <row r="1103" customFormat="false" ht="15" hidden="false" customHeight="false" outlineLevel="0" collapsed="false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</row>
    <row r="1104" customFormat="false" ht="15" hidden="false" customHeight="false" outlineLevel="0" collapsed="false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</row>
    <row r="1105" customFormat="false" ht="15" hidden="false" customHeight="false" outlineLevel="0" collapsed="false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</row>
    <row r="1106" customFormat="false" ht="15" hidden="false" customHeight="false" outlineLevel="0" collapsed="false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</row>
    <row r="1107" customFormat="false" ht="15" hidden="false" customHeight="false" outlineLevel="0" collapsed="false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</row>
    <row r="1108" customFormat="false" ht="15" hidden="false" customHeight="false" outlineLevel="0" collapsed="false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</row>
    <row r="1109" customFormat="false" ht="15" hidden="false" customHeight="false" outlineLevel="0" collapsed="false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</row>
    <row r="1110" customFormat="false" ht="15" hidden="false" customHeight="false" outlineLevel="0" collapsed="false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</row>
    <row r="1111" customFormat="false" ht="15" hidden="false" customHeight="false" outlineLevel="0" collapsed="false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</row>
    <row r="1112" customFormat="false" ht="15" hidden="false" customHeight="false" outlineLevel="0" collapsed="false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</row>
    <row r="1113" customFormat="false" ht="15" hidden="false" customHeight="false" outlineLevel="0" collapsed="false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</row>
    <row r="1114" customFormat="false" ht="15" hidden="false" customHeight="false" outlineLevel="0" collapsed="false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</row>
    <row r="1115" customFormat="false" ht="15" hidden="false" customHeight="false" outlineLevel="0" collapsed="false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</row>
    <row r="1116" customFormat="false" ht="15" hidden="false" customHeight="false" outlineLevel="0" collapsed="false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</row>
    <row r="1117" customFormat="false" ht="15" hidden="false" customHeight="false" outlineLevel="0" collapsed="false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</row>
    <row r="1118" customFormat="false" ht="15" hidden="false" customHeight="false" outlineLevel="0" collapsed="false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</row>
    <row r="1119" customFormat="false" ht="15" hidden="false" customHeight="false" outlineLevel="0" collapsed="false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</row>
    <row r="1120" customFormat="false" ht="15" hidden="false" customHeight="false" outlineLevel="0" collapsed="false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</row>
    <row r="1121" customFormat="false" ht="15" hidden="false" customHeight="false" outlineLevel="0" collapsed="false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</row>
    <row r="1122" customFormat="false" ht="15" hidden="false" customHeight="false" outlineLevel="0" collapsed="false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</row>
    <row r="1123" customFormat="false" ht="15" hidden="false" customHeight="false" outlineLevel="0" collapsed="false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</row>
    <row r="1124" customFormat="false" ht="15" hidden="false" customHeight="false" outlineLevel="0" collapsed="false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</row>
    <row r="1125" customFormat="false" ht="15" hidden="false" customHeight="false" outlineLevel="0" collapsed="false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</row>
    <row r="1126" customFormat="false" ht="15" hidden="false" customHeight="false" outlineLevel="0" collapsed="false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</row>
    <row r="1127" customFormat="false" ht="15" hidden="false" customHeight="false" outlineLevel="0" collapsed="false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</row>
    <row r="1128" customFormat="false" ht="15" hidden="false" customHeight="false" outlineLevel="0" collapsed="false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</row>
    <row r="1129" customFormat="false" ht="15" hidden="false" customHeight="false" outlineLevel="0" collapsed="false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</row>
    <row r="1130" customFormat="false" ht="15" hidden="false" customHeight="false" outlineLevel="0" collapsed="false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</row>
    <row r="1131" customFormat="false" ht="15" hidden="false" customHeight="false" outlineLevel="0" collapsed="false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</row>
    <row r="1132" customFormat="false" ht="15" hidden="false" customHeight="false" outlineLevel="0" collapsed="false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</row>
    <row r="1133" customFormat="false" ht="15" hidden="false" customHeight="false" outlineLevel="0" collapsed="false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</row>
    <row r="1134" customFormat="false" ht="15" hidden="false" customHeight="false" outlineLevel="0" collapsed="false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</row>
    <row r="1135" customFormat="false" ht="15" hidden="false" customHeight="false" outlineLevel="0" collapsed="false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</row>
    <row r="1136" customFormat="false" ht="15" hidden="false" customHeight="false" outlineLevel="0" collapsed="false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</row>
    <row r="1137" customFormat="false" ht="15" hidden="false" customHeight="false" outlineLevel="0" collapsed="false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</row>
    <row r="1138" customFormat="false" ht="15" hidden="false" customHeight="false" outlineLevel="0" collapsed="false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</row>
    <row r="1139" customFormat="false" ht="15" hidden="false" customHeight="false" outlineLevel="0" collapsed="false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</row>
    <row r="1140" customFormat="false" ht="15" hidden="false" customHeight="false" outlineLevel="0" collapsed="false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</row>
    <row r="1141" customFormat="false" ht="15" hidden="false" customHeight="false" outlineLevel="0" collapsed="false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</row>
    <row r="1142" customFormat="false" ht="15" hidden="false" customHeight="false" outlineLevel="0" collapsed="false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</row>
    <row r="1143" customFormat="false" ht="15" hidden="false" customHeight="false" outlineLevel="0" collapsed="false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</row>
    <row r="1144" customFormat="false" ht="15" hidden="false" customHeight="false" outlineLevel="0" collapsed="false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</row>
    <row r="1145" customFormat="false" ht="15" hidden="false" customHeight="false" outlineLevel="0" collapsed="false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</row>
    <row r="1146" customFormat="false" ht="15" hidden="false" customHeight="false" outlineLevel="0" collapsed="false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</row>
    <row r="1147" customFormat="false" ht="15" hidden="false" customHeight="false" outlineLevel="0" collapsed="false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</row>
    <row r="1148" customFormat="false" ht="15" hidden="false" customHeight="false" outlineLevel="0" collapsed="false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</row>
    <row r="1149" customFormat="false" ht="15" hidden="false" customHeight="false" outlineLevel="0" collapsed="false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</row>
    <row r="1150" customFormat="false" ht="15" hidden="false" customHeight="false" outlineLevel="0" collapsed="false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</row>
    <row r="1151" customFormat="false" ht="15" hidden="false" customHeight="false" outlineLevel="0" collapsed="false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</row>
    <row r="1152" customFormat="false" ht="15" hidden="false" customHeight="false" outlineLevel="0" collapsed="false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</row>
    <row r="1153" customFormat="false" ht="15" hidden="false" customHeight="false" outlineLevel="0" collapsed="false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</row>
    <row r="1154" customFormat="false" ht="15" hidden="false" customHeight="false" outlineLevel="0" collapsed="false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</row>
    <row r="1155" customFormat="false" ht="15" hidden="false" customHeight="false" outlineLevel="0" collapsed="false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</row>
    <row r="1156" customFormat="false" ht="15" hidden="false" customHeight="false" outlineLevel="0" collapsed="false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</row>
    <row r="1157" customFormat="false" ht="15" hidden="false" customHeight="false" outlineLevel="0" collapsed="false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</row>
    <row r="1158" customFormat="false" ht="15" hidden="false" customHeight="false" outlineLevel="0" collapsed="false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</row>
    <row r="1159" customFormat="false" ht="15" hidden="false" customHeight="false" outlineLevel="0" collapsed="false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</row>
    <row r="1160" customFormat="false" ht="15" hidden="false" customHeight="false" outlineLevel="0" collapsed="false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</row>
    <row r="1161" customFormat="false" ht="15" hidden="false" customHeight="false" outlineLevel="0" collapsed="false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</row>
    <row r="1162" customFormat="false" ht="15" hidden="false" customHeight="false" outlineLevel="0" collapsed="false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</row>
    <row r="1163" customFormat="false" ht="15" hidden="false" customHeight="false" outlineLevel="0" collapsed="false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</row>
    <row r="1164" customFormat="false" ht="15" hidden="false" customHeight="false" outlineLevel="0" collapsed="false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</row>
    <row r="1165" customFormat="false" ht="15" hidden="false" customHeight="false" outlineLevel="0" collapsed="false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</row>
    <row r="1166" customFormat="false" ht="15" hidden="false" customHeight="false" outlineLevel="0" collapsed="false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</row>
    <row r="1167" customFormat="false" ht="15" hidden="false" customHeight="false" outlineLevel="0" collapsed="false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</row>
    <row r="1168" customFormat="false" ht="15" hidden="false" customHeight="false" outlineLevel="0" collapsed="false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</row>
    <row r="1169" customFormat="false" ht="15" hidden="false" customHeight="false" outlineLevel="0" collapsed="false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</row>
    <row r="1170" customFormat="false" ht="15" hidden="false" customHeight="false" outlineLevel="0" collapsed="false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</row>
    <row r="1171" customFormat="false" ht="15" hidden="false" customHeight="false" outlineLevel="0" collapsed="false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</row>
    <row r="1172" customFormat="false" ht="15" hidden="false" customHeight="false" outlineLevel="0" collapsed="false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</row>
    <row r="1173" customFormat="false" ht="15" hidden="false" customHeight="false" outlineLevel="0" collapsed="false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</row>
    <row r="1174" customFormat="false" ht="15" hidden="false" customHeight="false" outlineLevel="0" collapsed="false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</row>
    <row r="1175" customFormat="false" ht="15" hidden="false" customHeight="false" outlineLevel="0" collapsed="false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</row>
    <row r="1176" customFormat="false" ht="15" hidden="false" customHeight="false" outlineLevel="0" collapsed="false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</row>
    <row r="1177" customFormat="false" ht="15" hidden="false" customHeight="false" outlineLevel="0" collapsed="false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</row>
    <row r="1178" customFormat="false" ht="15" hidden="false" customHeight="false" outlineLevel="0" collapsed="false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</row>
    <row r="1179" customFormat="false" ht="15" hidden="false" customHeight="false" outlineLevel="0" collapsed="false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</row>
    <row r="1180" customFormat="false" ht="15" hidden="false" customHeight="false" outlineLevel="0" collapsed="false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</row>
    <row r="1181" customFormat="false" ht="15" hidden="false" customHeight="false" outlineLevel="0" collapsed="false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</row>
    <row r="1182" customFormat="false" ht="15" hidden="false" customHeight="false" outlineLevel="0" collapsed="false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</row>
    <row r="1183" customFormat="false" ht="15" hidden="false" customHeight="false" outlineLevel="0" collapsed="false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</row>
    <row r="1184" customFormat="false" ht="15" hidden="false" customHeight="false" outlineLevel="0" collapsed="false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</row>
    <row r="1185" customFormat="false" ht="15" hidden="false" customHeight="false" outlineLevel="0" collapsed="false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</row>
    <row r="1186" customFormat="false" ht="15" hidden="false" customHeight="false" outlineLevel="0" collapsed="false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</row>
    <row r="1187" customFormat="false" ht="15" hidden="false" customHeight="false" outlineLevel="0" collapsed="false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</row>
    <row r="1188" customFormat="false" ht="15" hidden="false" customHeight="false" outlineLevel="0" collapsed="false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</row>
    <row r="1189" customFormat="false" ht="15" hidden="false" customHeight="false" outlineLevel="0" collapsed="false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</row>
    <row r="1190" customFormat="false" ht="15" hidden="false" customHeight="false" outlineLevel="0" collapsed="false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</row>
    <row r="1191" customFormat="false" ht="15" hidden="false" customHeight="false" outlineLevel="0" collapsed="false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</row>
    <row r="1192" customFormat="false" ht="15" hidden="false" customHeight="false" outlineLevel="0" collapsed="false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</row>
    <row r="1193" customFormat="false" ht="15" hidden="false" customHeight="false" outlineLevel="0" collapsed="false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</row>
    <row r="1194" customFormat="false" ht="15" hidden="false" customHeight="false" outlineLevel="0" collapsed="false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</row>
    <row r="1195" customFormat="false" ht="15" hidden="false" customHeight="false" outlineLevel="0" collapsed="false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</row>
    <row r="1196" customFormat="false" ht="15" hidden="false" customHeight="false" outlineLevel="0" collapsed="false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</row>
    <row r="1197" customFormat="false" ht="15" hidden="false" customHeight="false" outlineLevel="0" collapsed="false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</row>
    <row r="1198" customFormat="false" ht="15" hidden="false" customHeight="false" outlineLevel="0" collapsed="false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</row>
    <row r="1199" customFormat="false" ht="15" hidden="false" customHeight="false" outlineLevel="0" collapsed="false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</row>
    <row r="1200" customFormat="false" ht="15" hidden="false" customHeight="false" outlineLevel="0" collapsed="false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</row>
    <row r="1201" customFormat="false" ht="15" hidden="false" customHeight="false" outlineLevel="0" collapsed="false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</row>
    <row r="1202" customFormat="false" ht="15" hidden="false" customHeight="false" outlineLevel="0" collapsed="false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</row>
    <row r="1203" customFormat="false" ht="15" hidden="false" customHeight="false" outlineLevel="0" collapsed="false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</row>
    <row r="1204" customFormat="false" ht="15" hidden="false" customHeight="false" outlineLevel="0" collapsed="false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</row>
    <row r="1205" customFormat="false" ht="15" hidden="false" customHeight="false" outlineLevel="0" collapsed="false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</row>
    <row r="1206" customFormat="false" ht="15" hidden="false" customHeight="false" outlineLevel="0" collapsed="false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</row>
    <row r="1207" customFormat="false" ht="15" hidden="false" customHeight="false" outlineLevel="0" collapsed="false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</row>
    <row r="1208" customFormat="false" ht="15" hidden="false" customHeight="false" outlineLevel="0" collapsed="false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</row>
    <row r="1209" customFormat="false" ht="15" hidden="false" customHeight="false" outlineLevel="0" collapsed="false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</row>
    <row r="1210" customFormat="false" ht="15" hidden="false" customHeight="false" outlineLevel="0" collapsed="false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</row>
    <row r="1211" customFormat="false" ht="15" hidden="false" customHeight="false" outlineLevel="0" collapsed="false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</row>
    <row r="1212" customFormat="false" ht="15" hidden="false" customHeight="false" outlineLevel="0" collapsed="false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</row>
    <row r="1213" customFormat="false" ht="15" hidden="false" customHeight="false" outlineLevel="0" collapsed="false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</row>
    <row r="1214" customFormat="false" ht="15" hidden="false" customHeight="false" outlineLevel="0" collapsed="false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</row>
    <row r="1215" customFormat="false" ht="15" hidden="false" customHeight="false" outlineLevel="0" collapsed="false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</row>
    <row r="1216" customFormat="false" ht="15" hidden="false" customHeight="false" outlineLevel="0" collapsed="false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</row>
    <row r="1217" customFormat="false" ht="15" hidden="false" customHeight="false" outlineLevel="0" collapsed="false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</row>
    <row r="1218" customFormat="false" ht="15" hidden="false" customHeight="false" outlineLevel="0" collapsed="false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</row>
    <row r="1219" customFormat="false" ht="15" hidden="false" customHeight="false" outlineLevel="0" collapsed="false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</row>
    <row r="1220" customFormat="false" ht="15" hidden="false" customHeight="false" outlineLevel="0" collapsed="false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</row>
    <row r="1221" customFormat="false" ht="15" hidden="false" customHeight="false" outlineLevel="0" collapsed="false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</row>
    <row r="1222" customFormat="false" ht="15" hidden="false" customHeight="false" outlineLevel="0" collapsed="false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</row>
    <row r="1223" customFormat="false" ht="15" hidden="false" customHeight="false" outlineLevel="0" collapsed="false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</row>
    <row r="1224" customFormat="false" ht="15" hidden="false" customHeight="false" outlineLevel="0" collapsed="false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</row>
    <row r="1225" customFormat="false" ht="15" hidden="false" customHeight="false" outlineLevel="0" collapsed="false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</row>
    <row r="1226" customFormat="false" ht="15" hidden="false" customHeight="false" outlineLevel="0" collapsed="false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</row>
    <row r="1227" customFormat="false" ht="15" hidden="false" customHeight="false" outlineLevel="0" collapsed="false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</row>
    <row r="1228" customFormat="false" ht="15" hidden="false" customHeight="false" outlineLevel="0" collapsed="false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</row>
    <row r="1229" customFormat="false" ht="15" hidden="false" customHeight="false" outlineLevel="0" collapsed="false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</row>
    <row r="1230" customFormat="false" ht="15" hidden="false" customHeight="false" outlineLevel="0" collapsed="false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</row>
    <row r="1231" customFormat="false" ht="15" hidden="false" customHeight="false" outlineLevel="0" collapsed="false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</row>
    <row r="1232" customFormat="false" ht="15" hidden="false" customHeight="false" outlineLevel="0" collapsed="false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</row>
    <row r="1233" customFormat="false" ht="15" hidden="false" customHeight="false" outlineLevel="0" collapsed="false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</row>
    <row r="1234" customFormat="false" ht="15" hidden="false" customHeight="false" outlineLevel="0" collapsed="false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</row>
    <row r="1235" customFormat="false" ht="15" hidden="false" customHeight="false" outlineLevel="0" collapsed="false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</row>
    <row r="1236" customFormat="false" ht="15" hidden="false" customHeight="false" outlineLevel="0" collapsed="false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</row>
    <row r="1237" customFormat="false" ht="15" hidden="false" customHeight="false" outlineLevel="0" collapsed="false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</row>
    <row r="1238" customFormat="false" ht="15" hidden="false" customHeight="false" outlineLevel="0" collapsed="false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</row>
    <row r="1239" customFormat="false" ht="15" hidden="false" customHeight="false" outlineLevel="0" collapsed="false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</row>
    <row r="1240" customFormat="false" ht="15" hidden="false" customHeight="false" outlineLevel="0" collapsed="false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</row>
    <row r="1241" customFormat="false" ht="15" hidden="false" customHeight="false" outlineLevel="0" collapsed="false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</row>
    <row r="1242" customFormat="false" ht="15" hidden="false" customHeight="false" outlineLevel="0" collapsed="false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</row>
    <row r="1243" customFormat="false" ht="15" hidden="false" customHeight="false" outlineLevel="0" collapsed="false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</row>
    <row r="1244" customFormat="false" ht="15" hidden="false" customHeight="false" outlineLevel="0" collapsed="false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</row>
    <row r="1245" customFormat="false" ht="15" hidden="false" customHeight="false" outlineLevel="0" collapsed="false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</row>
    <row r="1246" customFormat="false" ht="15" hidden="false" customHeight="false" outlineLevel="0" collapsed="false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</row>
    <row r="1247" customFormat="false" ht="15" hidden="false" customHeight="false" outlineLevel="0" collapsed="false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</row>
    <row r="1248" customFormat="false" ht="15" hidden="false" customHeight="false" outlineLevel="0" collapsed="false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</row>
    <row r="1249" customFormat="false" ht="15" hidden="false" customHeight="false" outlineLevel="0" collapsed="false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</row>
    <row r="1250" customFormat="false" ht="15" hidden="false" customHeight="false" outlineLevel="0" collapsed="false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</row>
    <row r="1251" customFormat="false" ht="15" hidden="false" customHeight="false" outlineLevel="0" collapsed="false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</row>
    <row r="1252" customFormat="false" ht="15" hidden="false" customHeight="false" outlineLevel="0" collapsed="false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</row>
    <row r="1253" customFormat="false" ht="15" hidden="false" customHeight="false" outlineLevel="0" collapsed="false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</row>
    <row r="1254" customFormat="false" ht="15" hidden="false" customHeight="false" outlineLevel="0" collapsed="false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</row>
    <row r="1255" customFormat="false" ht="15" hidden="false" customHeight="false" outlineLevel="0" collapsed="false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</row>
    <row r="1256" customFormat="false" ht="15" hidden="false" customHeight="false" outlineLevel="0" collapsed="false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</row>
    <row r="1257" customFormat="false" ht="15" hidden="false" customHeight="false" outlineLevel="0" collapsed="false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</row>
    <row r="1258" customFormat="false" ht="15" hidden="false" customHeight="false" outlineLevel="0" collapsed="false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</row>
    <row r="1259" customFormat="false" ht="15" hidden="false" customHeight="false" outlineLevel="0" collapsed="false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</row>
    <row r="1260" customFormat="false" ht="15" hidden="false" customHeight="false" outlineLevel="0" collapsed="false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</row>
    <row r="1261" customFormat="false" ht="15" hidden="false" customHeight="false" outlineLevel="0" collapsed="false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</row>
    <row r="1262" customFormat="false" ht="15" hidden="false" customHeight="false" outlineLevel="0" collapsed="false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</row>
    <row r="1263" customFormat="false" ht="15" hidden="false" customHeight="false" outlineLevel="0" collapsed="false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</row>
    <row r="1264" customFormat="false" ht="15" hidden="false" customHeight="false" outlineLevel="0" collapsed="false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</row>
    <row r="1265" customFormat="false" ht="15" hidden="false" customHeight="false" outlineLevel="0" collapsed="false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</row>
    <row r="1266" customFormat="false" ht="15" hidden="false" customHeight="false" outlineLevel="0" collapsed="false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</row>
    <row r="1267" customFormat="false" ht="15" hidden="false" customHeight="false" outlineLevel="0" collapsed="false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</row>
    <row r="1268" customFormat="false" ht="15" hidden="false" customHeight="false" outlineLevel="0" collapsed="false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</row>
    <row r="1269" customFormat="false" ht="15" hidden="false" customHeight="false" outlineLevel="0" collapsed="false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</row>
    <row r="1270" customFormat="false" ht="15" hidden="false" customHeight="false" outlineLevel="0" collapsed="false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</row>
    <row r="1271" customFormat="false" ht="15" hidden="false" customHeight="false" outlineLevel="0" collapsed="false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</row>
    <row r="1272" customFormat="false" ht="15" hidden="false" customHeight="false" outlineLevel="0" collapsed="false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</row>
    <row r="1273" customFormat="false" ht="15" hidden="false" customHeight="false" outlineLevel="0" collapsed="false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</row>
    <row r="1274" customFormat="false" ht="15" hidden="false" customHeight="false" outlineLevel="0" collapsed="false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</row>
    <row r="1275" customFormat="false" ht="15" hidden="false" customHeight="false" outlineLevel="0" collapsed="false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</row>
    <row r="1276" customFormat="false" ht="15" hidden="false" customHeight="false" outlineLevel="0" collapsed="false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</row>
    <row r="1277" customFormat="false" ht="15" hidden="false" customHeight="false" outlineLevel="0" collapsed="false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</row>
    <row r="1278" customFormat="false" ht="15" hidden="false" customHeight="false" outlineLevel="0" collapsed="false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</row>
    <row r="1279" customFormat="false" ht="15" hidden="false" customHeight="false" outlineLevel="0" collapsed="false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</row>
    <row r="1280" customFormat="false" ht="15" hidden="false" customHeight="false" outlineLevel="0" collapsed="false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</row>
    <row r="1281" customFormat="false" ht="15" hidden="false" customHeight="false" outlineLevel="0" collapsed="false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</row>
    <row r="1282" customFormat="false" ht="15" hidden="false" customHeight="false" outlineLevel="0" collapsed="false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</row>
    <row r="1283" customFormat="false" ht="15" hidden="false" customHeight="false" outlineLevel="0" collapsed="false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</row>
    <row r="1284" customFormat="false" ht="15" hidden="false" customHeight="false" outlineLevel="0" collapsed="false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</row>
    <row r="1285" customFormat="false" ht="15" hidden="false" customHeight="false" outlineLevel="0" collapsed="false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</row>
    <row r="1286" customFormat="false" ht="15" hidden="false" customHeight="false" outlineLevel="0" collapsed="false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</row>
    <row r="1287" customFormat="false" ht="15" hidden="false" customHeight="false" outlineLevel="0" collapsed="false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</row>
    <row r="1288" customFormat="false" ht="15" hidden="false" customHeight="false" outlineLevel="0" collapsed="false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</row>
    <row r="1289" customFormat="false" ht="15" hidden="false" customHeight="false" outlineLevel="0" collapsed="false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</row>
    <row r="1290" customFormat="false" ht="15" hidden="false" customHeight="false" outlineLevel="0" collapsed="false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</row>
    <row r="1291" customFormat="false" ht="15" hidden="false" customHeight="false" outlineLevel="0" collapsed="false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</row>
    <row r="1292" customFormat="false" ht="15" hidden="false" customHeight="false" outlineLevel="0" collapsed="false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</row>
    <row r="1293" customFormat="false" ht="15" hidden="false" customHeight="false" outlineLevel="0" collapsed="false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</row>
    <row r="1294" customFormat="false" ht="15" hidden="false" customHeight="false" outlineLevel="0" collapsed="false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</row>
    <row r="1295" customFormat="false" ht="15" hidden="false" customHeight="false" outlineLevel="0" collapsed="false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</row>
    <row r="1296" customFormat="false" ht="15" hidden="false" customHeight="false" outlineLevel="0" collapsed="false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</row>
    <row r="1297" customFormat="false" ht="15" hidden="false" customHeight="false" outlineLevel="0" collapsed="false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</row>
    <row r="1298" customFormat="false" ht="15" hidden="false" customHeight="false" outlineLevel="0" collapsed="false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</row>
    <row r="1299" customFormat="false" ht="15" hidden="false" customHeight="false" outlineLevel="0" collapsed="false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</row>
    <row r="1300" customFormat="false" ht="15" hidden="false" customHeight="false" outlineLevel="0" collapsed="false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</row>
    <row r="1301" customFormat="false" ht="15" hidden="false" customHeight="false" outlineLevel="0" collapsed="false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</row>
    <row r="1302" customFormat="false" ht="15" hidden="false" customHeight="false" outlineLevel="0" collapsed="false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</row>
    <row r="1303" customFormat="false" ht="15" hidden="false" customHeight="false" outlineLevel="0" collapsed="false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</row>
    <row r="1304" customFormat="false" ht="15" hidden="false" customHeight="false" outlineLevel="0" collapsed="false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</row>
    <row r="1305" customFormat="false" ht="15" hidden="false" customHeight="false" outlineLevel="0" collapsed="false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</row>
    <row r="1306" customFormat="false" ht="15" hidden="false" customHeight="false" outlineLevel="0" collapsed="false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</row>
    <row r="1307" customFormat="false" ht="15" hidden="false" customHeight="false" outlineLevel="0" collapsed="false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</row>
    <row r="1308" customFormat="false" ht="15" hidden="false" customHeight="false" outlineLevel="0" collapsed="false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</row>
    <row r="1309" customFormat="false" ht="15" hidden="false" customHeight="false" outlineLevel="0" collapsed="false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</row>
    <row r="1310" customFormat="false" ht="15" hidden="false" customHeight="false" outlineLevel="0" collapsed="false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</row>
    <row r="1311" customFormat="false" ht="15" hidden="false" customHeight="false" outlineLevel="0" collapsed="false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</row>
    <row r="1312" customFormat="false" ht="15" hidden="false" customHeight="false" outlineLevel="0" collapsed="false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</row>
    <row r="1313" customFormat="false" ht="15" hidden="false" customHeight="false" outlineLevel="0" collapsed="false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</row>
    <row r="1314" customFormat="false" ht="15" hidden="false" customHeight="false" outlineLevel="0" collapsed="false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</row>
    <row r="1315" customFormat="false" ht="15" hidden="false" customHeight="false" outlineLevel="0" collapsed="false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</row>
    <row r="1316" customFormat="false" ht="15" hidden="false" customHeight="false" outlineLevel="0" collapsed="false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</row>
    <row r="1317" customFormat="false" ht="15" hidden="false" customHeight="false" outlineLevel="0" collapsed="false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</row>
    <row r="1318" customFormat="false" ht="15" hidden="false" customHeight="false" outlineLevel="0" collapsed="false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</row>
    <row r="1319" customFormat="false" ht="15" hidden="false" customHeight="false" outlineLevel="0" collapsed="false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</row>
    <row r="1320" customFormat="false" ht="15" hidden="false" customHeight="false" outlineLevel="0" collapsed="false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</row>
    <row r="1321" customFormat="false" ht="15" hidden="false" customHeight="false" outlineLevel="0" collapsed="false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</row>
    <row r="1322" customFormat="false" ht="15" hidden="false" customHeight="false" outlineLevel="0" collapsed="false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</row>
    <row r="1323" customFormat="false" ht="15" hidden="false" customHeight="false" outlineLevel="0" collapsed="false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</row>
    <row r="1324" customFormat="false" ht="15" hidden="false" customHeight="false" outlineLevel="0" collapsed="false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</row>
    <row r="1325" customFormat="false" ht="15" hidden="false" customHeight="false" outlineLevel="0" collapsed="false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</row>
    <row r="1326" customFormat="false" ht="15" hidden="false" customHeight="false" outlineLevel="0" collapsed="false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</row>
    <row r="1327" customFormat="false" ht="15" hidden="false" customHeight="false" outlineLevel="0" collapsed="false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</row>
    <row r="1328" customFormat="false" ht="15" hidden="false" customHeight="false" outlineLevel="0" collapsed="false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</row>
    <row r="1329" customFormat="false" ht="15" hidden="false" customHeight="false" outlineLevel="0" collapsed="false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</row>
    <row r="1330" customFormat="false" ht="15" hidden="false" customHeight="false" outlineLevel="0" collapsed="false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</row>
    <row r="1331" customFormat="false" ht="15" hidden="false" customHeight="false" outlineLevel="0" collapsed="false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</row>
    <row r="1332" customFormat="false" ht="15" hidden="false" customHeight="false" outlineLevel="0" collapsed="false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</row>
    <row r="1333" customFormat="false" ht="15" hidden="false" customHeight="false" outlineLevel="0" collapsed="false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</row>
    <row r="1334" customFormat="false" ht="15" hidden="false" customHeight="false" outlineLevel="0" collapsed="false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</row>
    <row r="1335" customFormat="false" ht="15" hidden="false" customHeight="false" outlineLevel="0" collapsed="false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</row>
    <row r="1336" customFormat="false" ht="15" hidden="false" customHeight="false" outlineLevel="0" collapsed="false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</row>
    <row r="1337" customFormat="false" ht="15" hidden="false" customHeight="false" outlineLevel="0" collapsed="false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</row>
    <row r="1338" customFormat="false" ht="15" hidden="false" customHeight="false" outlineLevel="0" collapsed="false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</row>
    <row r="1339" customFormat="false" ht="15" hidden="false" customHeight="false" outlineLevel="0" collapsed="false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</row>
    <row r="1340" customFormat="false" ht="15" hidden="false" customHeight="false" outlineLevel="0" collapsed="false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</row>
    <row r="1341" customFormat="false" ht="15" hidden="false" customHeight="false" outlineLevel="0" collapsed="false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</row>
    <row r="1342" customFormat="false" ht="15" hidden="false" customHeight="false" outlineLevel="0" collapsed="false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</row>
    <row r="1343" customFormat="false" ht="15" hidden="false" customHeight="false" outlineLevel="0" collapsed="false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</row>
    <row r="1344" customFormat="false" ht="15" hidden="false" customHeight="false" outlineLevel="0" collapsed="false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</row>
    <row r="1345" customFormat="false" ht="15" hidden="false" customHeight="false" outlineLevel="0" collapsed="false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</row>
    <row r="1346" customFormat="false" ht="15" hidden="false" customHeight="false" outlineLevel="0" collapsed="false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</row>
    <row r="1347" customFormat="false" ht="15" hidden="false" customHeight="false" outlineLevel="0" collapsed="false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</row>
    <row r="1348" customFormat="false" ht="15" hidden="false" customHeight="false" outlineLevel="0" collapsed="false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</row>
    <row r="1349" customFormat="false" ht="15" hidden="false" customHeight="false" outlineLevel="0" collapsed="false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</row>
    <row r="1350" customFormat="false" ht="15" hidden="false" customHeight="false" outlineLevel="0" collapsed="false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</row>
    <row r="1351" customFormat="false" ht="15" hidden="false" customHeight="false" outlineLevel="0" collapsed="false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</row>
    <row r="1352" customFormat="false" ht="15" hidden="false" customHeight="false" outlineLevel="0" collapsed="false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</row>
    <row r="1353" customFormat="false" ht="15" hidden="false" customHeight="false" outlineLevel="0" collapsed="false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</row>
    <row r="1354" customFormat="false" ht="15" hidden="false" customHeight="false" outlineLevel="0" collapsed="false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</row>
    <row r="1355" customFormat="false" ht="15" hidden="false" customHeight="false" outlineLevel="0" collapsed="false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</row>
    <row r="1356" customFormat="false" ht="15" hidden="false" customHeight="false" outlineLevel="0" collapsed="false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</row>
    <row r="1357" customFormat="false" ht="15" hidden="false" customHeight="false" outlineLevel="0" collapsed="false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</row>
    <row r="1358" customFormat="false" ht="15" hidden="false" customHeight="false" outlineLevel="0" collapsed="false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</row>
    <row r="1359" customFormat="false" ht="15" hidden="false" customHeight="false" outlineLevel="0" collapsed="false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</row>
    <row r="1360" customFormat="false" ht="15" hidden="false" customHeight="false" outlineLevel="0" collapsed="false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</row>
    <row r="1361" customFormat="false" ht="15" hidden="false" customHeight="false" outlineLevel="0" collapsed="false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</row>
    <row r="1362" customFormat="false" ht="15" hidden="false" customHeight="false" outlineLevel="0" collapsed="false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</row>
    <row r="1363" customFormat="false" ht="15" hidden="false" customHeight="false" outlineLevel="0" collapsed="false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</row>
    <row r="1364" customFormat="false" ht="15" hidden="false" customHeight="false" outlineLevel="0" collapsed="false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</row>
    <row r="1365" customFormat="false" ht="15" hidden="false" customHeight="false" outlineLevel="0" collapsed="false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</row>
    <row r="1366" customFormat="false" ht="15" hidden="false" customHeight="false" outlineLevel="0" collapsed="false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</row>
    <row r="1367" customFormat="false" ht="15" hidden="false" customHeight="false" outlineLevel="0" collapsed="false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</row>
    <row r="1368" customFormat="false" ht="15" hidden="false" customHeight="false" outlineLevel="0" collapsed="false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</row>
    <row r="1369" customFormat="false" ht="15" hidden="false" customHeight="false" outlineLevel="0" collapsed="false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</row>
    <row r="1370" customFormat="false" ht="15" hidden="false" customHeight="false" outlineLevel="0" collapsed="false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</row>
    <row r="1371" customFormat="false" ht="15" hidden="false" customHeight="false" outlineLevel="0" collapsed="false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</row>
    <row r="1372" customFormat="false" ht="15" hidden="false" customHeight="false" outlineLevel="0" collapsed="false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</row>
    <row r="1373" customFormat="false" ht="15" hidden="false" customHeight="false" outlineLevel="0" collapsed="false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</row>
    <row r="1374" customFormat="false" ht="15" hidden="false" customHeight="false" outlineLevel="0" collapsed="false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</row>
    <row r="1375" customFormat="false" ht="15" hidden="false" customHeight="false" outlineLevel="0" collapsed="false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</row>
    <row r="1376" customFormat="false" ht="15" hidden="false" customHeight="false" outlineLevel="0" collapsed="false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</row>
    <row r="1377" customFormat="false" ht="15" hidden="false" customHeight="false" outlineLevel="0" collapsed="false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</row>
    <row r="1378" customFormat="false" ht="15" hidden="false" customHeight="false" outlineLevel="0" collapsed="false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</row>
    <row r="1379" customFormat="false" ht="15" hidden="false" customHeight="false" outlineLevel="0" collapsed="false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</row>
    <row r="1380" customFormat="false" ht="15" hidden="false" customHeight="false" outlineLevel="0" collapsed="false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</row>
    <row r="1381" customFormat="false" ht="15" hidden="false" customHeight="false" outlineLevel="0" collapsed="false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</row>
    <row r="1382" customFormat="false" ht="15" hidden="false" customHeight="false" outlineLevel="0" collapsed="false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</row>
    <row r="1383" customFormat="false" ht="15" hidden="false" customHeight="false" outlineLevel="0" collapsed="false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</row>
    <row r="1384" customFormat="false" ht="15" hidden="false" customHeight="false" outlineLevel="0" collapsed="false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</row>
    <row r="1385" customFormat="false" ht="15" hidden="false" customHeight="false" outlineLevel="0" collapsed="false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</row>
    <row r="1386" customFormat="false" ht="15" hidden="false" customHeight="false" outlineLevel="0" collapsed="false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</row>
    <row r="1387" customFormat="false" ht="15" hidden="false" customHeight="false" outlineLevel="0" collapsed="false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</row>
    <row r="1388" customFormat="false" ht="15" hidden="false" customHeight="false" outlineLevel="0" collapsed="false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</row>
    <row r="1389" customFormat="false" ht="15" hidden="false" customHeight="false" outlineLevel="0" collapsed="false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</row>
    <row r="1390" customFormat="false" ht="15" hidden="false" customHeight="false" outlineLevel="0" collapsed="false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</row>
    <row r="1391" customFormat="false" ht="15" hidden="false" customHeight="false" outlineLevel="0" collapsed="false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</row>
    <row r="1392" customFormat="false" ht="15" hidden="false" customHeight="false" outlineLevel="0" collapsed="false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</row>
    <row r="1393" customFormat="false" ht="15" hidden="false" customHeight="false" outlineLevel="0" collapsed="false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</row>
    <row r="1394" customFormat="false" ht="15" hidden="false" customHeight="false" outlineLevel="0" collapsed="false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</row>
    <row r="1395" customFormat="false" ht="15" hidden="false" customHeight="false" outlineLevel="0" collapsed="false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</row>
    <row r="1396" customFormat="false" ht="15" hidden="false" customHeight="false" outlineLevel="0" collapsed="false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</row>
    <row r="1397" customFormat="false" ht="15" hidden="false" customHeight="false" outlineLevel="0" collapsed="false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</row>
    <row r="1398" customFormat="false" ht="15" hidden="false" customHeight="false" outlineLevel="0" collapsed="false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</row>
    <row r="1399" customFormat="false" ht="15" hidden="false" customHeight="false" outlineLevel="0" collapsed="false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</row>
    <row r="1400" customFormat="false" ht="15" hidden="false" customHeight="false" outlineLevel="0" collapsed="false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</row>
    <row r="1401" customFormat="false" ht="15" hidden="false" customHeight="false" outlineLevel="0" collapsed="false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</row>
    <row r="1402" customFormat="false" ht="15" hidden="false" customHeight="false" outlineLevel="0" collapsed="false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</row>
    <row r="1403" customFormat="false" ht="15" hidden="false" customHeight="false" outlineLevel="0" collapsed="false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</row>
    <row r="1404" customFormat="false" ht="15" hidden="false" customHeight="false" outlineLevel="0" collapsed="false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</row>
    <row r="1405" customFormat="false" ht="15" hidden="false" customHeight="false" outlineLevel="0" collapsed="false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</row>
    <row r="1406" customFormat="false" ht="15" hidden="false" customHeight="false" outlineLevel="0" collapsed="false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</row>
    <row r="1407" customFormat="false" ht="15" hidden="false" customHeight="false" outlineLevel="0" collapsed="false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</row>
    <row r="1408" customFormat="false" ht="15" hidden="false" customHeight="false" outlineLevel="0" collapsed="false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</row>
    <row r="1409" customFormat="false" ht="15" hidden="false" customHeight="false" outlineLevel="0" collapsed="false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</row>
    <row r="1410" customFormat="false" ht="15" hidden="false" customHeight="false" outlineLevel="0" collapsed="false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</row>
    <row r="1411" customFormat="false" ht="15" hidden="false" customHeight="false" outlineLevel="0" collapsed="false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</row>
    <row r="1412" customFormat="false" ht="15" hidden="false" customHeight="false" outlineLevel="0" collapsed="false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</row>
    <row r="1413" customFormat="false" ht="15" hidden="false" customHeight="false" outlineLevel="0" collapsed="false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</row>
    <row r="1414" customFormat="false" ht="15" hidden="false" customHeight="false" outlineLevel="0" collapsed="false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</row>
    <row r="1415" customFormat="false" ht="15" hidden="false" customHeight="false" outlineLevel="0" collapsed="false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</row>
    <row r="1416" customFormat="false" ht="15" hidden="false" customHeight="false" outlineLevel="0" collapsed="false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</row>
    <row r="1417" customFormat="false" ht="15" hidden="false" customHeight="false" outlineLevel="0" collapsed="false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</row>
    <row r="1418" customFormat="false" ht="15" hidden="false" customHeight="false" outlineLevel="0" collapsed="false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</row>
    <row r="1419" customFormat="false" ht="15" hidden="false" customHeight="false" outlineLevel="0" collapsed="false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</row>
    <row r="1420" customFormat="false" ht="15" hidden="false" customHeight="false" outlineLevel="0" collapsed="false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</row>
    <row r="1421" customFormat="false" ht="15" hidden="false" customHeight="false" outlineLevel="0" collapsed="false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</row>
    <row r="1422" customFormat="false" ht="15" hidden="false" customHeight="false" outlineLevel="0" collapsed="false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</row>
    <row r="1423" customFormat="false" ht="15" hidden="false" customHeight="false" outlineLevel="0" collapsed="false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</row>
    <row r="1424" customFormat="false" ht="15" hidden="false" customHeight="false" outlineLevel="0" collapsed="false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</row>
    <row r="1425" customFormat="false" ht="15" hidden="false" customHeight="false" outlineLevel="0" collapsed="false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</row>
    <row r="1426" customFormat="false" ht="15" hidden="false" customHeight="false" outlineLevel="0" collapsed="false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</row>
    <row r="1427" customFormat="false" ht="15" hidden="false" customHeight="false" outlineLevel="0" collapsed="false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</row>
    <row r="1428" customFormat="false" ht="15" hidden="false" customHeight="false" outlineLevel="0" collapsed="false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</row>
    <row r="1429" customFormat="false" ht="15" hidden="false" customHeight="false" outlineLevel="0" collapsed="false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</row>
    <row r="1430" customFormat="false" ht="15" hidden="false" customHeight="false" outlineLevel="0" collapsed="false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</row>
    <row r="1431" customFormat="false" ht="15" hidden="false" customHeight="false" outlineLevel="0" collapsed="false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</row>
    <row r="1432" customFormat="false" ht="15" hidden="false" customHeight="false" outlineLevel="0" collapsed="false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</row>
    <row r="1433" customFormat="false" ht="15" hidden="false" customHeight="false" outlineLevel="0" collapsed="false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</row>
    <row r="1434" customFormat="false" ht="15" hidden="false" customHeight="false" outlineLevel="0" collapsed="false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</row>
    <row r="1435" customFormat="false" ht="15" hidden="false" customHeight="false" outlineLevel="0" collapsed="false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</row>
    <row r="1436" customFormat="false" ht="15" hidden="false" customHeight="false" outlineLevel="0" collapsed="false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</row>
    <row r="1437" customFormat="false" ht="15" hidden="false" customHeight="false" outlineLevel="0" collapsed="false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</row>
    <row r="1438" customFormat="false" ht="15" hidden="false" customHeight="false" outlineLevel="0" collapsed="false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</row>
    <row r="1439" customFormat="false" ht="15" hidden="false" customHeight="false" outlineLevel="0" collapsed="false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</row>
    <row r="1440" customFormat="false" ht="15" hidden="false" customHeight="false" outlineLevel="0" collapsed="false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</row>
    <row r="1441" customFormat="false" ht="15" hidden="false" customHeight="false" outlineLevel="0" collapsed="false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</row>
    <row r="1442" customFormat="false" ht="15" hidden="false" customHeight="false" outlineLevel="0" collapsed="false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</row>
    <row r="1443" customFormat="false" ht="15" hidden="false" customHeight="false" outlineLevel="0" collapsed="false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</row>
    <row r="1444" customFormat="false" ht="15" hidden="false" customHeight="false" outlineLevel="0" collapsed="false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</row>
    <row r="1445" customFormat="false" ht="15" hidden="false" customHeight="false" outlineLevel="0" collapsed="false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</row>
    <row r="1446" customFormat="false" ht="15" hidden="false" customHeight="false" outlineLevel="0" collapsed="false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</row>
    <row r="1447" customFormat="false" ht="15" hidden="false" customHeight="false" outlineLevel="0" collapsed="false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</row>
    <row r="1448" customFormat="false" ht="15" hidden="false" customHeight="false" outlineLevel="0" collapsed="false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</row>
    <row r="1449" customFormat="false" ht="15" hidden="false" customHeight="false" outlineLevel="0" collapsed="false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</row>
    <row r="1450" customFormat="false" ht="15" hidden="false" customHeight="false" outlineLevel="0" collapsed="false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</row>
    <row r="1451" customFormat="false" ht="15" hidden="false" customHeight="false" outlineLevel="0" collapsed="false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</row>
    <row r="1452" customFormat="false" ht="15" hidden="false" customHeight="false" outlineLevel="0" collapsed="false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</row>
    <row r="1453" customFormat="false" ht="15" hidden="false" customHeight="false" outlineLevel="0" collapsed="false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</row>
    <row r="1454" customFormat="false" ht="15" hidden="false" customHeight="false" outlineLevel="0" collapsed="false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</row>
    <row r="1455" customFormat="false" ht="15" hidden="false" customHeight="false" outlineLevel="0" collapsed="false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</row>
    <row r="1456" customFormat="false" ht="15" hidden="false" customHeight="false" outlineLevel="0" collapsed="false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</row>
    <row r="1457" customFormat="false" ht="15" hidden="false" customHeight="false" outlineLevel="0" collapsed="false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</row>
    <row r="1458" customFormat="false" ht="15" hidden="false" customHeight="false" outlineLevel="0" collapsed="false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</row>
    <row r="1459" customFormat="false" ht="15" hidden="false" customHeight="false" outlineLevel="0" collapsed="false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</row>
    <row r="1460" customFormat="false" ht="15" hidden="false" customHeight="false" outlineLevel="0" collapsed="false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</row>
    <row r="1461" customFormat="false" ht="15" hidden="false" customHeight="false" outlineLevel="0" collapsed="false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</row>
    <row r="1462" customFormat="false" ht="15" hidden="false" customHeight="false" outlineLevel="0" collapsed="false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</row>
    <row r="1463" customFormat="false" ht="15" hidden="false" customHeight="false" outlineLevel="0" collapsed="false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</row>
    <row r="1464" customFormat="false" ht="15" hidden="false" customHeight="false" outlineLevel="0" collapsed="false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</row>
    <row r="1465" customFormat="false" ht="15" hidden="false" customHeight="false" outlineLevel="0" collapsed="false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</row>
    <row r="1466" customFormat="false" ht="15" hidden="false" customHeight="false" outlineLevel="0" collapsed="false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</row>
    <row r="1467" customFormat="false" ht="15" hidden="false" customHeight="false" outlineLevel="0" collapsed="false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</row>
    <row r="1468" customFormat="false" ht="15" hidden="false" customHeight="false" outlineLevel="0" collapsed="false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</row>
    <row r="1469" customFormat="false" ht="15" hidden="false" customHeight="false" outlineLevel="0" collapsed="false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</row>
    <row r="1470" customFormat="false" ht="15" hidden="false" customHeight="false" outlineLevel="0" collapsed="false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</row>
    <row r="1471" customFormat="false" ht="15" hidden="false" customHeight="false" outlineLevel="0" collapsed="false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</row>
    <row r="1472" customFormat="false" ht="15" hidden="false" customHeight="false" outlineLevel="0" collapsed="false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</row>
    <row r="1473" customFormat="false" ht="15" hidden="false" customHeight="false" outlineLevel="0" collapsed="false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</row>
    <row r="1474" customFormat="false" ht="15" hidden="false" customHeight="false" outlineLevel="0" collapsed="false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</row>
    <row r="1475" customFormat="false" ht="15" hidden="false" customHeight="false" outlineLevel="0" collapsed="false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</row>
    <row r="1476" customFormat="false" ht="15" hidden="false" customHeight="false" outlineLevel="0" collapsed="false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</row>
  </sheetData>
  <autoFilter ref="A1:Q476"/>
  <conditionalFormatting sqref="A2:N2000">
    <cfRule type="expression" priority="2" aboveAverage="0" equalAverage="0" bottom="0" percent="0" rank="0" text="" dxfId="10">
      <formula>OR($K2="flagged",$K2="reference")</formula>
    </cfRule>
  </conditionalFormatting>
  <dataValidations count="1">
    <dataValidation allowBlank="true" errorStyle="stop" operator="between" showDropDown="false" showErrorMessage="false" showInputMessage="false" sqref="K2:K1476" type="list">
      <formula1>"base,as-needed,flagged,reference"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1"/>
    <col collapsed="false" customWidth="true" hidden="false" outlineLevel="0" max="3" min="3" style="0" width="40"/>
    <col collapsed="false" customWidth="true" hidden="false" outlineLevel="0" max="4" min="4" style="0" width="9"/>
    <col collapsed="false" customWidth="true" hidden="false" outlineLevel="0" max="5" min="5" style="0" width="16"/>
    <col collapsed="false" customWidth="true" hidden="false" outlineLevel="0" max="8" min="6" style="0" width="14"/>
    <col collapsed="false" customWidth="true" hidden="false" outlineLevel="0" max="9" min="9" style="0" width="7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2" min="12" style="0" width="14"/>
    <col collapsed="false" customWidth="true" hidden="false" outlineLevel="0" max="13" min="13" style="0" width="10"/>
    <col collapsed="false" customWidth="true" hidden="false" outlineLevel="0" max="14" min="14" style="0" width="60"/>
    <col collapsed="false" customWidth="true" hidden="false" outlineLevel="0" max="15" min="15" style="0" width="40"/>
    <col collapsed="false" customWidth="true" hidden="false" outlineLevel="0" max="16" min="16" style="0" width="34"/>
  </cols>
  <sheetData>
    <row r="1" customFormat="false" ht="28.35" hidden="false" customHeight="false" outlineLevel="0" collapsed="false">
      <c r="A1" s="1" t="s">
        <v>1026</v>
      </c>
      <c r="B1" s="1" t="s">
        <v>1</v>
      </c>
      <c r="C1" s="1" t="s">
        <v>1027</v>
      </c>
      <c r="D1" s="1" t="s">
        <v>1028</v>
      </c>
      <c r="E1" s="1" t="s">
        <v>1857</v>
      </c>
      <c r="F1" s="1" t="s">
        <v>1858</v>
      </c>
      <c r="G1" s="1" t="s">
        <v>1859</v>
      </c>
      <c r="H1" s="1" t="s">
        <v>1860</v>
      </c>
      <c r="I1" s="1" t="s">
        <v>1861</v>
      </c>
      <c r="J1" s="1" t="s">
        <v>1862</v>
      </c>
      <c r="K1" s="1" t="s">
        <v>1863</v>
      </c>
      <c r="L1" s="1" t="s">
        <v>1864</v>
      </c>
      <c r="M1" s="1" t="s">
        <v>1865</v>
      </c>
      <c r="N1" s="1" t="s">
        <v>18</v>
      </c>
      <c r="O1" s="1" t="s">
        <v>1036</v>
      </c>
      <c r="P1" s="1" t="s">
        <v>1037</v>
      </c>
    </row>
    <row r="2" customFormat="false" ht="17.15" hidden="false" customHeight="false" outlineLevel="0" collapsed="false">
      <c r="A2" s="0" t="s">
        <v>1040</v>
      </c>
      <c r="B2" s="0" t="s">
        <v>20</v>
      </c>
      <c r="C2" s="0" t="s">
        <v>1041</v>
      </c>
      <c r="D2" s="0" t="s">
        <v>1042</v>
      </c>
      <c r="E2" s="3" t="n">
        <f aca="false">SUMIFS(Tasks_Cost,Tasks_TaskID,$A2,Tasks_Tier,$D2,Tasks_Type,"base")</f>
        <v>3363.21913</v>
      </c>
      <c r="F2" s="3" t="n">
        <f aca="false">SUMIFS(Tasks_Cost,Tasks_TaskID,$A2,Tasks_Tier,$D2,Tasks_Type,"as-needed")</f>
        <v>0</v>
      </c>
      <c r="G2" s="3" t="n">
        <f aca="false">SUMIFS(Tasks_Cost,Tasks_TaskID,$A2,Tasks_Tier,$D2,Tasks_Type,"flagged")</f>
        <v>0</v>
      </c>
      <c r="H2" s="3" t="n">
        <f aca="false">SUMIFS(Tasks_Cost,Tasks_TaskID,$A2,Tasks_Tier,$D2,Tasks_Type,"reference")</f>
        <v>0</v>
      </c>
      <c r="I2" s="0" t="n">
        <f aca="false">COUNTIFS(Tasks_TaskID,$A2,Tasks_Tier,$D2)</f>
        <v>7</v>
      </c>
      <c r="J2" s="3" t="n">
        <v>3367.21929824561</v>
      </c>
      <c r="K2" s="0" t="s">
        <v>1100</v>
      </c>
      <c r="L2" s="3" t="n">
        <f aca="false">IF(K2="reference",H2,E2)</f>
        <v>3363.21913</v>
      </c>
      <c r="M2" s="9" t="n">
        <f aca="false">IF(J2="","",L2-J2)</f>
        <v>-4.00016824561408</v>
      </c>
      <c r="N2" s="0" t="s">
        <v>1866</v>
      </c>
      <c r="O2" s="0" t="s">
        <v>1046</v>
      </c>
      <c r="P2" s="8" t="s">
        <v>1047</v>
      </c>
    </row>
    <row r="3" customFormat="false" ht="17.15" hidden="false" customHeight="false" outlineLevel="0" collapsed="false">
      <c r="A3" s="0" t="s">
        <v>1040</v>
      </c>
      <c r="B3" s="0" t="s">
        <v>20</v>
      </c>
      <c r="C3" s="0" t="s">
        <v>1041</v>
      </c>
      <c r="D3" s="0" t="s">
        <v>1049</v>
      </c>
      <c r="E3" s="3" t="n">
        <f aca="false">SUMIFS(Tasks_Cost,Tasks_TaskID,$A3,Tasks_Tier,$D3,Tasks_Type,"base")</f>
        <v>4182.21913</v>
      </c>
      <c r="F3" s="3" t="n">
        <f aca="false">SUMIFS(Tasks_Cost,Tasks_TaskID,$A3,Tasks_Tier,$D3,Tasks_Type,"as-needed")</f>
        <v>0</v>
      </c>
      <c r="G3" s="3" t="n">
        <f aca="false">SUMIFS(Tasks_Cost,Tasks_TaskID,$A3,Tasks_Tier,$D3,Tasks_Type,"flagged")</f>
        <v>0</v>
      </c>
      <c r="H3" s="3" t="n">
        <f aca="false">SUMIFS(Tasks_Cost,Tasks_TaskID,$A3,Tasks_Tier,$D3,Tasks_Type,"reference")</f>
        <v>0</v>
      </c>
      <c r="I3" s="0" t="n">
        <f aca="false">COUNTIFS(Tasks_TaskID,$A3,Tasks_Tier,$D3)</f>
        <v>7</v>
      </c>
      <c r="J3" s="3" t="n">
        <v>4186.21929824561</v>
      </c>
      <c r="K3" s="0" t="s">
        <v>1100</v>
      </c>
      <c r="L3" s="3" t="n">
        <f aca="false">IF(K3="reference",H3,E3)</f>
        <v>4182.21913</v>
      </c>
      <c r="M3" s="9" t="n">
        <f aca="false">IF(J3="","",L3-J3)</f>
        <v>-4.00016824561317</v>
      </c>
      <c r="N3" s="0" t="s">
        <v>1866</v>
      </c>
      <c r="O3" s="0" t="s">
        <v>1046</v>
      </c>
      <c r="P3" s="8" t="s">
        <v>1047</v>
      </c>
    </row>
    <row r="4" customFormat="false" ht="17.15" hidden="false" customHeight="false" outlineLevel="0" collapsed="false">
      <c r="A4" s="0" t="s">
        <v>1040</v>
      </c>
      <c r="B4" s="0" t="s">
        <v>20</v>
      </c>
      <c r="C4" s="0" t="s">
        <v>1041</v>
      </c>
      <c r="D4" s="0" t="s">
        <v>1051</v>
      </c>
      <c r="E4" s="3" t="n">
        <f aca="false">SUMIFS(Tasks_Cost,Tasks_TaskID,$A4,Tasks_Tier,$D4,Tasks_Type,"base")</f>
        <v>5215.71913</v>
      </c>
      <c r="F4" s="3" t="n">
        <f aca="false">SUMIFS(Tasks_Cost,Tasks_TaskID,$A4,Tasks_Tier,$D4,Tasks_Type,"as-needed")</f>
        <v>0</v>
      </c>
      <c r="G4" s="3" t="n">
        <f aca="false">SUMIFS(Tasks_Cost,Tasks_TaskID,$A4,Tasks_Tier,$D4,Tasks_Type,"flagged")</f>
        <v>0</v>
      </c>
      <c r="H4" s="3" t="n">
        <f aca="false">SUMIFS(Tasks_Cost,Tasks_TaskID,$A4,Tasks_Tier,$D4,Tasks_Type,"reference")</f>
        <v>0</v>
      </c>
      <c r="I4" s="0" t="n">
        <f aca="false">COUNTIFS(Tasks_TaskID,$A4,Tasks_Tier,$D4)</f>
        <v>6</v>
      </c>
      <c r="J4" s="3" t="n">
        <v>4831.71929824561</v>
      </c>
      <c r="K4" s="0" t="s">
        <v>1100</v>
      </c>
      <c r="L4" s="3" t="n">
        <f aca="false">IF(K4="reference",H4,E4)</f>
        <v>5215.71913</v>
      </c>
      <c r="M4" s="9" t="n">
        <f aca="false">IF(J4="","",L4-J4)</f>
        <v>383.999831754387</v>
      </c>
      <c r="N4" s="0" t="s">
        <v>1866</v>
      </c>
      <c r="O4" s="0" t="s">
        <v>1046</v>
      </c>
      <c r="P4" s="8" t="s">
        <v>1047</v>
      </c>
    </row>
    <row r="5" customFormat="false" ht="17.15" hidden="false" customHeight="false" outlineLevel="0" collapsed="false">
      <c r="A5" s="0" t="s">
        <v>1053</v>
      </c>
      <c r="B5" s="0" t="s">
        <v>52</v>
      </c>
      <c r="C5" s="0" t="s">
        <v>1054</v>
      </c>
      <c r="D5" s="0" t="s">
        <v>1055</v>
      </c>
      <c r="E5" s="3" t="n">
        <f aca="false">SUMIFS(Tasks_Cost,Tasks_TaskID,$A5,Tasks_Tier,$D5,Tasks_Type,"base")</f>
        <v>981.5</v>
      </c>
      <c r="F5" s="3" t="n">
        <f aca="false">SUMIFS(Tasks_Cost,Tasks_TaskID,$A5,Tasks_Tier,$D5,Tasks_Type,"as-needed")</f>
        <v>196</v>
      </c>
      <c r="G5" s="3" t="n">
        <f aca="false">SUMIFS(Tasks_Cost,Tasks_TaskID,$A5,Tasks_Tier,$D5,Tasks_Type,"flagged")</f>
        <v>0</v>
      </c>
      <c r="H5" s="3" t="n">
        <f aca="false">SUMIFS(Tasks_Cost,Tasks_TaskID,$A5,Tasks_Tier,$D5,Tasks_Type,"reference")</f>
        <v>0</v>
      </c>
      <c r="I5" s="0" t="n">
        <f aca="false">COUNTIFS(Tasks_TaskID,$A5,Tasks_Tier,$D5)</f>
        <v>7</v>
      </c>
      <c r="J5" s="3" t="n">
        <v>915.5</v>
      </c>
      <c r="K5" s="0" t="s">
        <v>1100</v>
      </c>
      <c r="L5" s="3" t="n">
        <f aca="false">IF(K5="reference",H5,E5)</f>
        <v>981.5</v>
      </c>
      <c r="M5" s="9" t="n">
        <f aca="false">IF(J5="","",L5-J5)</f>
        <v>66</v>
      </c>
      <c r="O5" s="0" t="s">
        <v>1057</v>
      </c>
      <c r="P5" s="8" t="s">
        <v>1058</v>
      </c>
    </row>
    <row r="6" customFormat="false" ht="17.15" hidden="false" customHeight="false" outlineLevel="0" collapsed="false">
      <c r="A6" s="0" t="s">
        <v>1053</v>
      </c>
      <c r="B6" s="0" t="s">
        <v>52</v>
      </c>
      <c r="C6" s="0" t="s">
        <v>1054</v>
      </c>
      <c r="D6" s="0" t="s">
        <v>1070</v>
      </c>
      <c r="E6" s="3" t="n">
        <f aca="false">SUMIFS(Tasks_Cost,Tasks_TaskID,$A6,Tasks_Tier,$D6,Tasks_Type,"base")</f>
        <v>981.5</v>
      </c>
      <c r="F6" s="3" t="n">
        <f aca="false">SUMIFS(Tasks_Cost,Tasks_TaskID,$A6,Tasks_Tier,$D6,Tasks_Type,"as-needed")</f>
        <v>221</v>
      </c>
      <c r="G6" s="3" t="n">
        <f aca="false">SUMIFS(Tasks_Cost,Tasks_TaskID,$A6,Tasks_Tier,$D6,Tasks_Type,"flagged")</f>
        <v>0</v>
      </c>
      <c r="H6" s="3" t="n">
        <f aca="false">SUMIFS(Tasks_Cost,Tasks_TaskID,$A6,Tasks_Tier,$D6,Tasks_Type,"reference")</f>
        <v>0</v>
      </c>
      <c r="I6" s="0" t="n">
        <f aca="false">COUNTIFS(Tasks_TaskID,$A6,Tasks_Tier,$D6)</f>
        <v>7</v>
      </c>
      <c r="J6" s="3" t="n">
        <v>915.5</v>
      </c>
      <c r="K6" s="0" t="s">
        <v>1100</v>
      </c>
      <c r="L6" s="3" t="n">
        <f aca="false">IF(K6="reference",H6,E6)</f>
        <v>981.5</v>
      </c>
      <c r="M6" s="9" t="n">
        <f aca="false">IF(J6="","",L6-J6)</f>
        <v>66</v>
      </c>
      <c r="O6" s="0" t="s">
        <v>1057</v>
      </c>
      <c r="P6" s="8" t="s">
        <v>1058</v>
      </c>
    </row>
    <row r="7" customFormat="false" ht="17.15" hidden="false" customHeight="false" outlineLevel="0" collapsed="false">
      <c r="A7" s="0" t="s">
        <v>1053</v>
      </c>
      <c r="B7" s="0" t="s">
        <v>52</v>
      </c>
      <c r="C7" s="0" t="s">
        <v>1054</v>
      </c>
      <c r="D7" s="0" t="s">
        <v>1074</v>
      </c>
      <c r="E7" s="3" t="n">
        <f aca="false">SUMIFS(Tasks_Cost,Tasks_TaskID,$A7,Tasks_Tier,$D7,Tasks_Type,"base")</f>
        <v>1410.42</v>
      </c>
      <c r="F7" s="3" t="n">
        <f aca="false">SUMIFS(Tasks_Cost,Tasks_TaskID,$A7,Tasks_Tier,$D7,Tasks_Type,"as-needed")</f>
        <v>280</v>
      </c>
      <c r="G7" s="3" t="n">
        <f aca="false">SUMIFS(Tasks_Cost,Tasks_TaskID,$A7,Tasks_Tier,$D7,Tasks_Type,"flagged")</f>
        <v>0</v>
      </c>
      <c r="H7" s="3" t="n">
        <f aca="false">SUMIFS(Tasks_Cost,Tasks_TaskID,$A7,Tasks_Tier,$D7,Tasks_Type,"reference")</f>
        <v>0</v>
      </c>
      <c r="I7" s="0" t="n">
        <f aca="false">COUNTIFS(Tasks_TaskID,$A7,Tasks_Tier,$D7)</f>
        <v>7</v>
      </c>
      <c r="J7" s="3" t="n">
        <v>1067.76</v>
      </c>
      <c r="K7" s="0" t="s">
        <v>1100</v>
      </c>
      <c r="L7" s="3" t="n">
        <f aca="false">IF(K7="reference",H7,E7)</f>
        <v>1410.42</v>
      </c>
      <c r="M7" s="9" t="n">
        <f aca="false">IF(J7="","",L7-J7)</f>
        <v>342.66</v>
      </c>
      <c r="O7" s="0" t="s">
        <v>1057</v>
      </c>
      <c r="P7" s="8" t="s">
        <v>1058</v>
      </c>
    </row>
    <row r="8" customFormat="false" ht="17.15" hidden="false" customHeight="false" outlineLevel="0" collapsed="false">
      <c r="A8" s="0" t="s">
        <v>1053</v>
      </c>
      <c r="B8" s="0" t="s">
        <v>52</v>
      </c>
      <c r="C8" s="0" t="s">
        <v>1054</v>
      </c>
      <c r="D8" s="0" t="s">
        <v>1078</v>
      </c>
      <c r="E8" s="3" t="n">
        <f aca="false">SUMIFS(Tasks_Cost,Tasks_TaskID,$A8,Tasks_Tier,$D8,Tasks_Type,"base")</f>
        <v>1410.42</v>
      </c>
      <c r="F8" s="3" t="n">
        <f aca="false">SUMIFS(Tasks_Cost,Tasks_TaskID,$A8,Tasks_Tier,$D8,Tasks_Type,"as-needed")</f>
        <v>321</v>
      </c>
      <c r="G8" s="3" t="n">
        <f aca="false">SUMIFS(Tasks_Cost,Tasks_TaskID,$A8,Tasks_Tier,$D8,Tasks_Type,"flagged")</f>
        <v>0</v>
      </c>
      <c r="H8" s="3" t="n">
        <f aca="false">SUMIFS(Tasks_Cost,Tasks_TaskID,$A8,Tasks_Tier,$D8,Tasks_Type,"reference")</f>
        <v>0</v>
      </c>
      <c r="I8" s="0" t="n">
        <f aca="false">COUNTIFS(Tasks_TaskID,$A8,Tasks_Tier,$D8)</f>
        <v>7</v>
      </c>
      <c r="J8" s="3" t="n">
        <v>1067.76</v>
      </c>
      <c r="K8" s="0" t="s">
        <v>1100</v>
      </c>
      <c r="L8" s="3" t="n">
        <f aca="false">IF(K8="reference",H8,E8)</f>
        <v>1410.42</v>
      </c>
      <c r="M8" s="9" t="n">
        <f aca="false">IF(J8="","",L8-J8)</f>
        <v>342.66</v>
      </c>
      <c r="O8" s="0" t="s">
        <v>1057</v>
      </c>
      <c r="P8" s="8" t="s">
        <v>1058</v>
      </c>
    </row>
    <row r="9" customFormat="false" ht="17.15" hidden="false" customHeight="false" outlineLevel="0" collapsed="false">
      <c r="A9" s="0" t="s">
        <v>1064</v>
      </c>
      <c r="B9" s="0" t="s">
        <v>52</v>
      </c>
      <c r="C9" s="0" t="s">
        <v>1065</v>
      </c>
      <c r="D9" s="0" t="s">
        <v>1055</v>
      </c>
      <c r="E9" s="3" t="n">
        <f aca="false">SUMIFS(Tasks_Cost,Tasks_TaskID,$A9,Tasks_Tier,$D9,Tasks_Type,"base")</f>
        <v>339.51</v>
      </c>
      <c r="F9" s="3" t="n">
        <f aca="false">SUMIFS(Tasks_Cost,Tasks_TaskID,$A9,Tasks_Tier,$D9,Tasks_Type,"as-needed")</f>
        <v>0</v>
      </c>
      <c r="G9" s="3" t="n">
        <f aca="false">SUMIFS(Tasks_Cost,Tasks_TaskID,$A9,Tasks_Tier,$D9,Tasks_Type,"flagged")</f>
        <v>0</v>
      </c>
      <c r="H9" s="3" t="n">
        <f aca="false">SUMIFS(Tasks_Cost,Tasks_TaskID,$A9,Tasks_Tier,$D9,Tasks_Type,"reference")</f>
        <v>0</v>
      </c>
      <c r="I9" s="0" t="n">
        <f aca="false">COUNTIFS(Tasks_TaskID,$A9,Tasks_Tier,$D9)</f>
        <v>4</v>
      </c>
      <c r="J9" s="3" t="n">
        <v>339.51</v>
      </c>
      <c r="K9" s="0" t="s">
        <v>1100</v>
      </c>
      <c r="L9" s="3" t="n">
        <f aca="false">IF(K9="reference",H9,E9)</f>
        <v>339.51</v>
      </c>
      <c r="M9" s="9" t="n">
        <f aca="false">IF(J9="","",L9-J9)</f>
        <v>0</v>
      </c>
      <c r="O9" s="0" t="s">
        <v>1067</v>
      </c>
      <c r="P9" s="8" t="s">
        <v>1068</v>
      </c>
    </row>
    <row r="10" customFormat="false" ht="17.15" hidden="false" customHeight="false" outlineLevel="0" collapsed="false">
      <c r="A10" s="0" t="s">
        <v>1064</v>
      </c>
      <c r="B10" s="0" t="s">
        <v>52</v>
      </c>
      <c r="C10" s="0" t="s">
        <v>1065</v>
      </c>
      <c r="D10" s="0" t="s">
        <v>1070</v>
      </c>
      <c r="E10" s="3" t="n">
        <f aca="false">SUMIFS(Tasks_Cost,Tasks_TaskID,$A10,Tasks_Tier,$D10,Tasks_Type,"base")</f>
        <v>345.96</v>
      </c>
      <c r="F10" s="3" t="n">
        <f aca="false">SUMIFS(Tasks_Cost,Tasks_TaskID,$A10,Tasks_Tier,$D10,Tasks_Type,"as-needed")</f>
        <v>0</v>
      </c>
      <c r="G10" s="3" t="n">
        <f aca="false">SUMIFS(Tasks_Cost,Tasks_TaskID,$A10,Tasks_Tier,$D10,Tasks_Type,"flagged")</f>
        <v>0</v>
      </c>
      <c r="H10" s="3" t="n">
        <f aca="false">SUMIFS(Tasks_Cost,Tasks_TaskID,$A10,Tasks_Tier,$D10,Tasks_Type,"reference")</f>
        <v>0</v>
      </c>
      <c r="I10" s="0" t="n">
        <f aca="false">COUNTIFS(Tasks_TaskID,$A10,Tasks_Tier,$D10)</f>
        <v>4</v>
      </c>
      <c r="J10" s="3" t="n">
        <v>345.96</v>
      </c>
      <c r="K10" s="0" t="s">
        <v>1100</v>
      </c>
      <c r="L10" s="3" t="n">
        <f aca="false">IF(K10="reference",H10,E10)</f>
        <v>345.96</v>
      </c>
      <c r="M10" s="9" t="n">
        <f aca="false">IF(J10="","",L10-J10)</f>
        <v>0</v>
      </c>
      <c r="O10" s="0" t="s">
        <v>1067</v>
      </c>
      <c r="P10" s="8" t="s">
        <v>1068</v>
      </c>
    </row>
    <row r="11" customFormat="false" ht="17.15" hidden="false" customHeight="false" outlineLevel="0" collapsed="false">
      <c r="A11" s="0" t="s">
        <v>1064</v>
      </c>
      <c r="B11" s="0" t="s">
        <v>52</v>
      </c>
      <c r="C11" s="0" t="s">
        <v>1065</v>
      </c>
      <c r="D11" s="0" t="s">
        <v>1074</v>
      </c>
      <c r="E11" s="3" t="n">
        <f aca="false">SUMIFS(Tasks_Cost,Tasks_TaskID,$A11,Tasks_Tier,$D11,Tasks_Type,"base")</f>
        <v>358.86</v>
      </c>
      <c r="F11" s="3" t="n">
        <f aca="false">SUMIFS(Tasks_Cost,Tasks_TaskID,$A11,Tasks_Tier,$D11,Tasks_Type,"as-needed")</f>
        <v>0</v>
      </c>
      <c r="G11" s="3" t="n">
        <f aca="false">SUMIFS(Tasks_Cost,Tasks_TaskID,$A11,Tasks_Tier,$D11,Tasks_Type,"flagged")</f>
        <v>0</v>
      </c>
      <c r="H11" s="3" t="n">
        <f aca="false">SUMIFS(Tasks_Cost,Tasks_TaskID,$A11,Tasks_Tier,$D11,Tasks_Type,"reference")</f>
        <v>0</v>
      </c>
      <c r="I11" s="0" t="n">
        <f aca="false">COUNTIFS(Tasks_TaskID,$A11,Tasks_Tier,$D11)</f>
        <v>4</v>
      </c>
      <c r="J11" s="3" t="n">
        <v>358.86</v>
      </c>
      <c r="K11" s="0" t="s">
        <v>1100</v>
      </c>
      <c r="L11" s="3" t="n">
        <f aca="false">IF(K11="reference",H11,E11)</f>
        <v>358.86</v>
      </c>
      <c r="M11" s="9" t="n">
        <f aca="false">IF(J11="","",L11-J11)</f>
        <v>0</v>
      </c>
      <c r="O11" s="0" t="s">
        <v>1067</v>
      </c>
      <c r="P11" s="8" t="s">
        <v>1068</v>
      </c>
    </row>
    <row r="12" customFormat="false" ht="17.15" hidden="false" customHeight="false" outlineLevel="0" collapsed="false">
      <c r="A12" s="0" t="s">
        <v>1064</v>
      </c>
      <c r="B12" s="0" t="s">
        <v>52</v>
      </c>
      <c r="C12" s="0" t="s">
        <v>1065</v>
      </c>
      <c r="D12" s="0" t="s">
        <v>1078</v>
      </c>
      <c r="E12" s="3" t="n">
        <f aca="false">SUMIFS(Tasks_Cost,Tasks_TaskID,$A12,Tasks_Tier,$D12,Tasks_Type,"base")</f>
        <v>371.76</v>
      </c>
      <c r="F12" s="3" t="n">
        <f aca="false">SUMIFS(Tasks_Cost,Tasks_TaskID,$A12,Tasks_Tier,$D12,Tasks_Type,"as-needed")</f>
        <v>0</v>
      </c>
      <c r="G12" s="3" t="n">
        <f aca="false">SUMIFS(Tasks_Cost,Tasks_TaskID,$A12,Tasks_Tier,$D12,Tasks_Type,"flagged")</f>
        <v>0</v>
      </c>
      <c r="H12" s="3" t="n">
        <f aca="false">SUMIFS(Tasks_Cost,Tasks_TaskID,$A12,Tasks_Tier,$D12,Tasks_Type,"reference")</f>
        <v>0</v>
      </c>
      <c r="I12" s="0" t="n">
        <f aca="false">COUNTIFS(Tasks_TaskID,$A12,Tasks_Tier,$D12)</f>
        <v>4</v>
      </c>
      <c r="J12" s="3" t="n">
        <v>371.76</v>
      </c>
      <c r="K12" s="0" t="s">
        <v>1100</v>
      </c>
      <c r="L12" s="3" t="n">
        <f aca="false">IF(K12="reference",H12,E12)</f>
        <v>371.76</v>
      </c>
      <c r="M12" s="9" t="n">
        <f aca="false">IF(J12="","",L12-J12)</f>
        <v>0</v>
      </c>
      <c r="O12" s="0" t="s">
        <v>1067</v>
      </c>
      <c r="P12" s="8" t="s">
        <v>1068</v>
      </c>
    </row>
    <row r="13" customFormat="false" ht="15" hidden="false" customHeight="false" outlineLevel="0" collapsed="false">
      <c r="A13" s="0" t="s">
        <v>1082</v>
      </c>
      <c r="B13" s="0" t="s">
        <v>107</v>
      </c>
      <c r="C13" s="0" t="s">
        <v>1083</v>
      </c>
      <c r="D13" s="0" t="s">
        <v>1042</v>
      </c>
      <c r="E13" s="3" t="n">
        <f aca="false">SUMIFS(Tasks_Cost,Tasks_TaskID,$A13,Tasks_Tier,$D13,Tasks_Type,"base")</f>
        <v>159.1</v>
      </c>
      <c r="F13" s="3" t="n">
        <f aca="false">SUMIFS(Tasks_Cost,Tasks_TaskID,$A13,Tasks_Tier,$D13,Tasks_Type,"as-needed")</f>
        <v>52</v>
      </c>
      <c r="G13" s="3" t="n">
        <f aca="false">SUMIFS(Tasks_Cost,Tasks_TaskID,$A13,Tasks_Tier,$D13,Tasks_Type,"flagged")</f>
        <v>0</v>
      </c>
      <c r="H13" s="3" t="n">
        <f aca="false">SUMIFS(Tasks_Cost,Tasks_TaskID,$A13,Tasks_Tier,$D13,Tasks_Type,"reference")</f>
        <v>0</v>
      </c>
      <c r="I13" s="0" t="n">
        <f aca="false">COUNTIFS(Tasks_TaskID,$A13,Tasks_Tier,$D13)</f>
        <v>3</v>
      </c>
      <c r="J13" s="3" t="n">
        <v>159.1</v>
      </c>
      <c r="K13" s="0" t="s">
        <v>1100</v>
      </c>
      <c r="L13" s="3" t="n">
        <f aca="false">IF(K13="reference",H13,E13)</f>
        <v>159.1</v>
      </c>
      <c r="M13" s="9" t="n">
        <f aca="false">IF(J13="","",L13-J13)</f>
        <v>0</v>
      </c>
      <c r="O13" s="0" t="s">
        <v>1085</v>
      </c>
      <c r="P13" s="8" t="s">
        <v>1086</v>
      </c>
    </row>
    <row r="14" customFormat="false" ht="15" hidden="false" customHeight="false" outlineLevel="0" collapsed="false">
      <c r="A14" s="0" t="s">
        <v>1082</v>
      </c>
      <c r="B14" s="0" t="s">
        <v>107</v>
      </c>
      <c r="C14" s="0" t="s">
        <v>1083</v>
      </c>
      <c r="D14" s="0" t="s">
        <v>1049</v>
      </c>
      <c r="E14" s="3" t="n">
        <f aca="false">SUMIFS(Tasks_Cost,Tasks_TaskID,$A14,Tasks_Tier,$D14,Tasks_Type,"base")</f>
        <v>345.1</v>
      </c>
      <c r="F14" s="3" t="n">
        <f aca="false">SUMIFS(Tasks_Cost,Tasks_TaskID,$A14,Tasks_Tier,$D14,Tasks_Type,"as-needed")</f>
        <v>52</v>
      </c>
      <c r="G14" s="3" t="n">
        <f aca="false">SUMIFS(Tasks_Cost,Tasks_TaskID,$A14,Tasks_Tier,$D14,Tasks_Type,"flagged")</f>
        <v>0</v>
      </c>
      <c r="H14" s="3" t="n">
        <f aca="false">SUMIFS(Tasks_Cost,Tasks_TaskID,$A14,Tasks_Tier,$D14,Tasks_Type,"reference")</f>
        <v>0</v>
      </c>
      <c r="I14" s="0" t="n">
        <f aca="false">COUNTIFS(Tasks_TaskID,$A14,Tasks_Tier,$D14)</f>
        <v>3</v>
      </c>
      <c r="J14" s="3" t="n">
        <v>345.1</v>
      </c>
      <c r="K14" s="0" t="s">
        <v>1100</v>
      </c>
      <c r="L14" s="3" t="n">
        <f aca="false">IF(K14="reference",H14,E14)</f>
        <v>345.1</v>
      </c>
      <c r="M14" s="9" t="n">
        <f aca="false">IF(J14="","",L14-J14)</f>
        <v>0</v>
      </c>
      <c r="O14" s="0" t="s">
        <v>1085</v>
      </c>
      <c r="P14" s="8" t="s">
        <v>1086</v>
      </c>
    </row>
    <row r="15" customFormat="false" ht="15" hidden="false" customHeight="false" outlineLevel="0" collapsed="false">
      <c r="A15" s="0" t="s">
        <v>1082</v>
      </c>
      <c r="B15" s="0" t="s">
        <v>107</v>
      </c>
      <c r="C15" s="0" t="s">
        <v>1083</v>
      </c>
      <c r="D15" s="0" t="s">
        <v>1051</v>
      </c>
      <c r="E15" s="3" t="n">
        <f aca="false">SUMIFS(Tasks_Cost,Tasks_TaskID,$A15,Tasks_Tier,$D15,Tasks_Type,"base")</f>
        <v>561.1</v>
      </c>
      <c r="F15" s="3" t="n">
        <f aca="false">SUMIFS(Tasks_Cost,Tasks_TaskID,$A15,Tasks_Tier,$D15,Tasks_Type,"as-needed")</f>
        <v>52</v>
      </c>
      <c r="G15" s="3" t="n">
        <f aca="false">SUMIFS(Tasks_Cost,Tasks_TaskID,$A15,Tasks_Tier,$D15,Tasks_Type,"flagged")</f>
        <v>0</v>
      </c>
      <c r="H15" s="3" t="n">
        <f aca="false">SUMIFS(Tasks_Cost,Tasks_TaskID,$A15,Tasks_Tier,$D15,Tasks_Type,"reference")</f>
        <v>0</v>
      </c>
      <c r="I15" s="0" t="n">
        <f aca="false">COUNTIFS(Tasks_TaskID,$A15,Tasks_Tier,$D15)</f>
        <v>4</v>
      </c>
      <c r="J15" s="3" t="n">
        <v>561.1</v>
      </c>
      <c r="K15" s="0" t="s">
        <v>1100</v>
      </c>
      <c r="L15" s="3" t="n">
        <f aca="false">IF(K15="reference",H15,E15)</f>
        <v>561.1</v>
      </c>
      <c r="M15" s="9" t="n">
        <f aca="false">IF(J15="","",L15-J15)</f>
        <v>0</v>
      </c>
      <c r="O15" s="0" t="s">
        <v>1085</v>
      </c>
      <c r="P15" s="8" t="s">
        <v>1086</v>
      </c>
    </row>
    <row r="16" customFormat="false" ht="17.15" hidden="false" customHeight="false" outlineLevel="0" collapsed="false">
      <c r="A16" s="0" t="s">
        <v>1088</v>
      </c>
      <c r="B16" s="0" t="s">
        <v>107</v>
      </c>
      <c r="C16" s="0" t="s">
        <v>1089</v>
      </c>
      <c r="D16" s="0" t="s">
        <v>1042</v>
      </c>
      <c r="E16" s="3" t="n">
        <f aca="false">SUMIFS(Tasks_Cost,Tasks_TaskID,$A16,Tasks_Tier,$D16,Tasks_Type,"base")</f>
        <v>408.2</v>
      </c>
      <c r="F16" s="3" t="n">
        <f aca="false">SUMIFS(Tasks_Cost,Tasks_TaskID,$A16,Tasks_Tier,$D16,Tasks_Type,"as-needed")</f>
        <v>188</v>
      </c>
      <c r="G16" s="3" t="n">
        <f aca="false">SUMIFS(Tasks_Cost,Tasks_TaskID,$A16,Tasks_Tier,$D16,Tasks_Type,"flagged")</f>
        <v>244</v>
      </c>
      <c r="H16" s="3" t="n">
        <f aca="false">SUMIFS(Tasks_Cost,Tasks_TaskID,$A16,Tasks_Tier,$D16,Tasks_Type,"reference")</f>
        <v>0</v>
      </c>
      <c r="I16" s="0" t="n">
        <f aca="false">COUNTIFS(Tasks_TaskID,$A16,Tasks_Tier,$D16)</f>
        <v>4</v>
      </c>
      <c r="J16" s="3" t="n">
        <v>408.2</v>
      </c>
      <c r="K16" s="0" t="s">
        <v>1100</v>
      </c>
      <c r="L16" s="3" t="n">
        <f aca="false">IF(K16="reference",H16,E16)</f>
        <v>408.2</v>
      </c>
      <c r="M16" s="9" t="n">
        <f aca="false">IF(J16="","",L16-J16)</f>
        <v>0</v>
      </c>
      <c r="O16" s="0" t="s">
        <v>1091</v>
      </c>
      <c r="P16" s="8" t="s">
        <v>1092</v>
      </c>
    </row>
    <row r="17" customFormat="false" ht="17.15" hidden="false" customHeight="false" outlineLevel="0" collapsed="false">
      <c r="A17" s="0" t="s">
        <v>1088</v>
      </c>
      <c r="B17" s="0" t="s">
        <v>107</v>
      </c>
      <c r="C17" s="0" t="s">
        <v>1089</v>
      </c>
      <c r="D17" s="0" t="s">
        <v>1049</v>
      </c>
      <c r="E17" s="3" t="n">
        <f aca="false">SUMIFS(Tasks_Cost,Tasks_TaskID,$A17,Tasks_Tier,$D17,Tasks_Type,"base")</f>
        <v>408.2</v>
      </c>
      <c r="F17" s="3" t="n">
        <f aca="false">SUMIFS(Tasks_Cost,Tasks_TaskID,$A17,Tasks_Tier,$D17,Tasks_Type,"as-needed")</f>
        <v>408</v>
      </c>
      <c r="G17" s="3" t="n">
        <f aca="false">SUMIFS(Tasks_Cost,Tasks_TaskID,$A17,Tasks_Tier,$D17,Tasks_Type,"flagged")</f>
        <v>244</v>
      </c>
      <c r="H17" s="3" t="n">
        <f aca="false">SUMIFS(Tasks_Cost,Tasks_TaskID,$A17,Tasks_Tier,$D17,Tasks_Type,"reference")</f>
        <v>0</v>
      </c>
      <c r="I17" s="0" t="n">
        <f aca="false">COUNTIFS(Tasks_TaskID,$A17,Tasks_Tier,$D17)</f>
        <v>4</v>
      </c>
      <c r="J17" s="3" t="n">
        <v>408.2</v>
      </c>
      <c r="K17" s="0" t="s">
        <v>1100</v>
      </c>
      <c r="L17" s="3" t="n">
        <f aca="false">IF(K17="reference",H17,E17)</f>
        <v>408.2</v>
      </c>
      <c r="M17" s="9" t="n">
        <f aca="false">IF(J17="","",L17-J17)</f>
        <v>0</v>
      </c>
      <c r="O17" s="0" t="s">
        <v>1091</v>
      </c>
      <c r="P17" s="8" t="s">
        <v>1092</v>
      </c>
    </row>
    <row r="18" customFormat="false" ht="17.15" hidden="false" customHeight="false" outlineLevel="0" collapsed="false">
      <c r="A18" s="0" t="s">
        <v>1088</v>
      </c>
      <c r="B18" s="0" t="s">
        <v>107</v>
      </c>
      <c r="C18" s="0" t="s">
        <v>1089</v>
      </c>
      <c r="D18" s="0" t="s">
        <v>1051</v>
      </c>
      <c r="E18" s="3" t="n">
        <f aca="false">SUMIFS(Tasks_Cost,Tasks_TaskID,$A18,Tasks_Tier,$D18,Tasks_Type,"base")</f>
        <v>408.2</v>
      </c>
      <c r="F18" s="3" t="n">
        <f aca="false">SUMIFS(Tasks_Cost,Tasks_TaskID,$A18,Tasks_Tier,$D18,Tasks_Type,"as-needed")</f>
        <v>469</v>
      </c>
      <c r="G18" s="3" t="n">
        <f aca="false">SUMIFS(Tasks_Cost,Tasks_TaskID,$A18,Tasks_Tier,$D18,Tasks_Type,"flagged")</f>
        <v>244</v>
      </c>
      <c r="H18" s="3" t="n">
        <f aca="false">SUMIFS(Tasks_Cost,Tasks_TaskID,$A18,Tasks_Tier,$D18,Tasks_Type,"reference")</f>
        <v>0</v>
      </c>
      <c r="I18" s="0" t="n">
        <f aca="false">COUNTIFS(Tasks_TaskID,$A18,Tasks_Tier,$D18)</f>
        <v>4</v>
      </c>
      <c r="J18" s="3" t="n">
        <v>408.2</v>
      </c>
      <c r="K18" s="0" t="s">
        <v>1100</v>
      </c>
      <c r="L18" s="3" t="n">
        <f aca="false">IF(K18="reference",H18,E18)</f>
        <v>408.2</v>
      </c>
      <c r="M18" s="9" t="n">
        <f aca="false">IF(J18="","",L18-J18)</f>
        <v>0</v>
      </c>
      <c r="O18" s="0" t="s">
        <v>1091</v>
      </c>
      <c r="P18" s="8" t="s">
        <v>1092</v>
      </c>
    </row>
    <row r="19" customFormat="false" ht="15" hidden="false" customHeight="false" outlineLevel="0" collapsed="false">
      <c r="A19" s="0" t="s">
        <v>1097</v>
      </c>
      <c r="B19" s="0" t="s">
        <v>107</v>
      </c>
      <c r="C19" s="0" t="s">
        <v>1098</v>
      </c>
      <c r="D19" s="0" t="s">
        <v>1042</v>
      </c>
      <c r="E19" s="3" t="n">
        <f aca="false">SUMIFS(Tasks_Cost,Tasks_TaskID,$A19,Tasks_Tier,$D19,Tasks_Type,"base")</f>
        <v>189</v>
      </c>
      <c r="F19" s="3" t="n">
        <f aca="false">SUMIFS(Tasks_Cost,Tasks_TaskID,$A19,Tasks_Tier,$D19,Tasks_Type,"as-needed")</f>
        <v>0</v>
      </c>
      <c r="G19" s="3" t="n">
        <f aca="false">SUMIFS(Tasks_Cost,Tasks_TaskID,$A19,Tasks_Tier,$D19,Tasks_Type,"flagged")</f>
        <v>0</v>
      </c>
      <c r="H19" s="3" t="n">
        <f aca="false">SUMIFS(Tasks_Cost,Tasks_TaskID,$A19,Tasks_Tier,$D19,Tasks_Type,"reference")</f>
        <v>0</v>
      </c>
      <c r="I19" s="0" t="n">
        <f aca="false">COUNTIFS(Tasks_TaskID,$A19,Tasks_Tier,$D19)</f>
        <v>3</v>
      </c>
      <c r="J19" s="3" t="n">
        <v>189</v>
      </c>
      <c r="K19" s="0" t="s">
        <v>1100</v>
      </c>
      <c r="L19" s="3" t="n">
        <f aca="false">IF(K19="reference",H19,E19)</f>
        <v>189</v>
      </c>
      <c r="M19" s="9" t="n">
        <f aca="false">IF(J19="","",L19-J19)</f>
        <v>0</v>
      </c>
      <c r="O19" s="0" t="s">
        <v>1101</v>
      </c>
      <c r="P19" s="8" t="s">
        <v>1102</v>
      </c>
    </row>
    <row r="20" customFormat="false" ht="15" hidden="false" customHeight="false" outlineLevel="0" collapsed="false">
      <c r="A20" s="0" t="s">
        <v>1097</v>
      </c>
      <c r="B20" s="0" t="s">
        <v>107</v>
      </c>
      <c r="C20" s="0" t="s">
        <v>1098</v>
      </c>
      <c r="D20" s="0" t="s">
        <v>1049</v>
      </c>
      <c r="E20" s="3" t="n">
        <f aca="false">SUMIFS(Tasks_Cost,Tasks_TaskID,$A20,Tasks_Tier,$D20,Tasks_Type,"base")</f>
        <v>189</v>
      </c>
      <c r="F20" s="3" t="n">
        <f aca="false">SUMIFS(Tasks_Cost,Tasks_TaskID,$A20,Tasks_Tier,$D20,Tasks_Type,"as-needed")</f>
        <v>0</v>
      </c>
      <c r="G20" s="3" t="n">
        <f aca="false">SUMIFS(Tasks_Cost,Tasks_TaskID,$A20,Tasks_Tier,$D20,Tasks_Type,"flagged")</f>
        <v>0</v>
      </c>
      <c r="H20" s="3" t="n">
        <f aca="false">SUMIFS(Tasks_Cost,Tasks_TaskID,$A20,Tasks_Tier,$D20,Tasks_Type,"reference")</f>
        <v>0</v>
      </c>
      <c r="I20" s="0" t="n">
        <f aca="false">COUNTIFS(Tasks_TaskID,$A20,Tasks_Tier,$D20)</f>
        <v>3</v>
      </c>
      <c r="J20" s="3" t="n">
        <v>189</v>
      </c>
      <c r="K20" s="0" t="s">
        <v>1100</v>
      </c>
      <c r="L20" s="3" t="n">
        <f aca="false">IF(K20="reference",H20,E20)</f>
        <v>189</v>
      </c>
      <c r="M20" s="9" t="n">
        <f aca="false">IF(J20="","",L20-J20)</f>
        <v>0</v>
      </c>
      <c r="O20" s="0" t="s">
        <v>1101</v>
      </c>
      <c r="P20" s="8" t="s">
        <v>1102</v>
      </c>
    </row>
    <row r="21" customFormat="false" ht="15" hidden="false" customHeight="false" outlineLevel="0" collapsed="false">
      <c r="A21" s="0" t="s">
        <v>1097</v>
      </c>
      <c r="B21" s="0" t="s">
        <v>107</v>
      </c>
      <c r="C21" s="0" t="s">
        <v>1098</v>
      </c>
      <c r="D21" s="0" t="s">
        <v>1051</v>
      </c>
      <c r="E21" s="3" t="n">
        <f aca="false">SUMIFS(Tasks_Cost,Tasks_TaskID,$A21,Tasks_Tier,$D21,Tasks_Type,"base")</f>
        <v>189</v>
      </c>
      <c r="F21" s="3" t="n">
        <f aca="false">SUMIFS(Tasks_Cost,Tasks_TaskID,$A21,Tasks_Tier,$D21,Tasks_Type,"as-needed")</f>
        <v>0</v>
      </c>
      <c r="G21" s="3" t="n">
        <f aca="false">SUMIFS(Tasks_Cost,Tasks_TaskID,$A21,Tasks_Tier,$D21,Tasks_Type,"flagged")</f>
        <v>0</v>
      </c>
      <c r="H21" s="3" t="n">
        <f aca="false">SUMIFS(Tasks_Cost,Tasks_TaskID,$A21,Tasks_Tier,$D21,Tasks_Type,"reference")</f>
        <v>0</v>
      </c>
      <c r="I21" s="0" t="n">
        <f aca="false">COUNTIFS(Tasks_TaskID,$A21,Tasks_Tier,$D21)</f>
        <v>3</v>
      </c>
      <c r="J21" s="3" t="n">
        <v>189</v>
      </c>
      <c r="K21" s="0" t="s">
        <v>1100</v>
      </c>
      <c r="L21" s="3" t="n">
        <f aca="false">IF(K21="reference",H21,E21)</f>
        <v>189</v>
      </c>
      <c r="M21" s="9" t="n">
        <f aca="false">IF(J21="","",L21-J21)</f>
        <v>0</v>
      </c>
      <c r="O21" s="0" t="s">
        <v>1101</v>
      </c>
      <c r="P21" s="8" t="s">
        <v>1102</v>
      </c>
    </row>
    <row r="22" customFormat="false" ht="17.15" hidden="false" customHeight="false" outlineLevel="0" collapsed="false">
      <c r="A22" s="0" t="s">
        <v>1117</v>
      </c>
      <c r="B22" s="0" t="s">
        <v>107</v>
      </c>
      <c r="C22" s="0" t="s">
        <v>1118</v>
      </c>
      <c r="D22" s="0" t="s">
        <v>1042</v>
      </c>
      <c r="E22" s="3" t="n">
        <f aca="false">SUMIFS(Tasks_Cost,Tasks_TaskID,$A22,Tasks_Tier,$D22,Tasks_Type,"base")</f>
        <v>521.1</v>
      </c>
      <c r="F22" s="3" t="n">
        <f aca="false">SUMIFS(Tasks_Cost,Tasks_TaskID,$A22,Tasks_Tier,$D22,Tasks_Type,"as-needed")</f>
        <v>0</v>
      </c>
      <c r="G22" s="3" t="n">
        <f aca="false">SUMIFS(Tasks_Cost,Tasks_TaskID,$A22,Tasks_Tier,$D22,Tasks_Type,"flagged")</f>
        <v>0</v>
      </c>
      <c r="H22" s="3" t="n">
        <f aca="false">SUMIFS(Tasks_Cost,Tasks_TaskID,$A22,Tasks_Tier,$D22,Tasks_Type,"reference")</f>
        <v>0</v>
      </c>
      <c r="I22" s="0" t="n">
        <f aca="false">COUNTIFS(Tasks_TaskID,$A22,Tasks_Tier,$D22)</f>
        <v>3</v>
      </c>
      <c r="J22" s="3" t="n">
        <v>521.1</v>
      </c>
      <c r="K22" s="0" t="s">
        <v>1100</v>
      </c>
      <c r="L22" s="3" t="n">
        <f aca="false">IF(K22="reference",H22,E22)</f>
        <v>521.1</v>
      </c>
      <c r="M22" s="9" t="n">
        <f aca="false">IF(J22="","",L22-J22)</f>
        <v>0</v>
      </c>
      <c r="O22" s="0" t="s">
        <v>1120</v>
      </c>
      <c r="P22" s="8" t="s">
        <v>1121</v>
      </c>
    </row>
    <row r="23" customFormat="false" ht="17.15" hidden="false" customHeight="false" outlineLevel="0" collapsed="false">
      <c r="A23" s="0" t="s">
        <v>1117</v>
      </c>
      <c r="B23" s="0" t="s">
        <v>107</v>
      </c>
      <c r="C23" s="0" t="s">
        <v>1118</v>
      </c>
      <c r="D23" s="0" t="s">
        <v>1049</v>
      </c>
      <c r="E23" s="3" t="n">
        <f aca="false">SUMIFS(Tasks_Cost,Tasks_TaskID,$A23,Tasks_Tier,$D23,Tasks_Type,"base")</f>
        <v>640.1</v>
      </c>
      <c r="F23" s="3" t="n">
        <f aca="false">SUMIFS(Tasks_Cost,Tasks_TaskID,$A23,Tasks_Tier,$D23,Tasks_Type,"as-needed")</f>
        <v>0</v>
      </c>
      <c r="G23" s="3" t="n">
        <f aca="false">SUMIFS(Tasks_Cost,Tasks_TaskID,$A23,Tasks_Tier,$D23,Tasks_Type,"flagged")</f>
        <v>0</v>
      </c>
      <c r="H23" s="3" t="n">
        <f aca="false">SUMIFS(Tasks_Cost,Tasks_TaskID,$A23,Tasks_Tier,$D23,Tasks_Type,"reference")</f>
        <v>0</v>
      </c>
      <c r="I23" s="0" t="n">
        <f aca="false">COUNTIFS(Tasks_TaskID,$A23,Tasks_Tier,$D23)</f>
        <v>3</v>
      </c>
      <c r="J23" s="3" t="n">
        <v>640.1</v>
      </c>
      <c r="K23" s="0" t="s">
        <v>1100</v>
      </c>
      <c r="L23" s="3" t="n">
        <f aca="false">IF(K23="reference",H23,E23)</f>
        <v>640.1</v>
      </c>
      <c r="M23" s="9" t="n">
        <f aca="false">IF(J23="","",L23-J23)</f>
        <v>0</v>
      </c>
      <c r="O23" s="0" t="s">
        <v>1120</v>
      </c>
      <c r="P23" s="8" t="s">
        <v>1121</v>
      </c>
    </row>
    <row r="24" customFormat="false" ht="17.15" hidden="false" customHeight="false" outlineLevel="0" collapsed="false">
      <c r="A24" s="0" t="s">
        <v>1117</v>
      </c>
      <c r="B24" s="0" t="s">
        <v>107</v>
      </c>
      <c r="C24" s="0" t="s">
        <v>1118</v>
      </c>
      <c r="D24" s="0" t="s">
        <v>1051</v>
      </c>
      <c r="E24" s="3" t="n">
        <f aca="false">SUMIFS(Tasks_Cost,Tasks_TaskID,$A24,Tasks_Tier,$D24,Tasks_Type,"base")</f>
        <v>552.1</v>
      </c>
      <c r="F24" s="3" t="n">
        <f aca="false">SUMIFS(Tasks_Cost,Tasks_TaskID,$A24,Tasks_Tier,$D24,Tasks_Type,"as-needed")</f>
        <v>0</v>
      </c>
      <c r="G24" s="3" t="n">
        <f aca="false">SUMIFS(Tasks_Cost,Tasks_TaskID,$A24,Tasks_Tier,$D24,Tasks_Type,"flagged")</f>
        <v>0</v>
      </c>
      <c r="H24" s="3" t="n">
        <f aca="false">SUMIFS(Tasks_Cost,Tasks_TaskID,$A24,Tasks_Tier,$D24,Tasks_Type,"reference")</f>
        <v>0</v>
      </c>
      <c r="I24" s="0" t="n">
        <f aca="false">COUNTIFS(Tasks_TaskID,$A24,Tasks_Tier,$D24)</f>
        <v>3</v>
      </c>
      <c r="J24" s="3" t="n">
        <v>552.1</v>
      </c>
      <c r="K24" s="0" t="s">
        <v>1100</v>
      </c>
      <c r="L24" s="3" t="n">
        <f aca="false">IF(K24="reference",H24,E24)</f>
        <v>552.1</v>
      </c>
      <c r="M24" s="9" t="n">
        <f aca="false">IF(J24="","",L24-J24)</f>
        <v>0</v>
      </c>
      <c r="N24" s="0" t="s">
        <v>1867</v>
      </c>
      <c r="O24" s="0" t="s">
        <v>1120</v>
      </c>
      <c r="P24" s="8" t="s">
        <v>1121</v>
      </c>
    </row>
    <row r="25" customFormat="false" ht="17.15" hidden="false" customHeight="false" outlineLevel="0" collapsed="false">
      <c r="A25" s="0" t="s">
        <v>1126</v>
      </c>
      <c r="B25" s="0" t="s">
        <v>176</v>
      </c>
      <c r="C25" s="0" t="s">
        <v>1127</v>
      </c>
      <c r="D25" s="0" t="s">
        <v>1042</v>
      </c>
      <c r="E25" s="3" t="n">
        <f aca="false">SUMIFS(Tasks_Cost,Tasks_TaskID,$A25,Tasks_Tier,$D25,Tasks_Type,"base")</f>
        <v>11.5</v>
      </c>
      <c r="F25" s="3" t="n">
        <f aca="false">SUMIFS(Tasks_Cost,Tasks_TaskID,$A25,Tasks_Tier,$D25,Tasks_Type,"as-needed")</f>
        <v>0</v>
      </c>
      <c r="G25" s="3" t="n">
        <f aca="false">SUMIFS(Tasks_Cost,Tasks_TaskID,$A25,Tasks_Tier,$D25,Tasks_Type,"flagged")</f>
        <v>982</v>
      </c>
      <c r="H25" s="3" t="n">
        <f aca="false">SUMIFS(Tasks_Cost,Tasks_TaskID,$A25,Tasks_Tier,$D25,Tasks_Type,"reference")</f>
        <v>0</v>
      </c>
      <c r="I25" s="0" t="n">
        <f aca="false">COUNTIFS(Tasks_TaskID,$A25,Tasks_Tier,$D25)</f>
        <v>5</v>
      </c>
      <c r="J25" s="3" t="n">
        <v>11.5</v>
      </c>
      <c r="K25" s="0" t="s">
        <v>1100</v>
      </c>
      <c r="L25" s="3" t="n">
        <f aca="false">IF(K25="reference",H25,E25)</f>
        <v>11.5</v>
      </c>
      <c r="M25" s="9" t="n">
        <f aca="false">IF(J25="","",L25-J25)</f>
        <v>0</v>
      </c>
      <c r="N25" s="0" t="s">
        <v>1868</v>
      </c>
      <c r="O25" s="0" t="s">
        <v>1130</v>
      </c>
      <c r="P25" s="8" t="s">
        <v>1131</v>
      </c>
    </row>
    <row r="26" customFormat="false" ht="17.15" hidden="false" customHeight="false" outlineLevel="0" collapsed="false">
      <c r="A26" s="0" t="s">
        <v>1126</v>
      </c>
      <c r="B26" s="0" t="s">
        <v>176</v>
      </c>
      <c r="C26" s="0" t="s">
        <v>1127</v>
      </c>
      <c r="D26" s="0" t="s">
        <v>1049</v>
      </c>
      <c r="E26" s="3" t="n">
        <f aca="false">SUMIFS(Tasks_Cost,Tasks_TaskID,$A26,Tasks_Tier,$D26,Tasks_Type,"base")</f>
        <v>11.5</v>
      </c>
      <c r="F26" s="3" t="n">
        <f aca="false">SUMIFS(Tasks_Cost,Tasks_TaskID,$A26,Tasks_Tier,$D26,Tasks_Type,"as-needed")</f>
        <v>0</v>
      </c>
      <c r="G26" s="3" t="n">
        <f aca="false">SUMIFS(Tasks_Cost,Tasks_TaskID,$A26,Tasks_Tier,$D26,Tasks_Type,"flagged")</f>
        <v>982</v>
      </c>
      <c r="H26" s="3" t="n">
        <f aca="false">SUMIFS(Tasks_Cost,Tasks_TaskID,$A26,Tasks_Tier,$D26,Tasks_Type,"reference")</f>
        <v>0</v>
      </c>
      <c r="I26" s="0" t="n">
        <f aca="false">COUNTIFS(Tasks_TaskID,$A26,Tasks_Tier,$D26)</f>
        <v>5</v>
      </c>
      <c r="J26" s="3" t="n">
        <v>11.5</v>
      </c>
      <c r="K26" s="0" t="s">
        <v>1100</v>
      </c>
      <c r="L26" s="3" t="n">
        <f aca="false">IF(K26="reference",H26,E26)</f>
        <v>11.5</v>
      </c>
      <c r="M26" s="9" t="n">
        <f aca="false">IF(J26="","",L26-J26)</f>
        <v>0</v>
      </c>
      <c r="N26" s="0" t="s">
        <v>1868</v>
      </c>
      <c r="O26" s="0" t="s">
        <v>1130</v>
      </c>
      <c r="P26" s="8" t="s">
        <v>1131</v>
      </c>
    </row>
    <row r="27" customFormat="false" ht="17.15" hidden="false" customHeight="false" outlineLevel="0" collapsed="false">
      <c r="A27" s="0" t="s">
        <v>1126</v>
      </c>
      <c r="B27" s="0" t="s">
        <v>176</v>
      </c>
      <c r="C27" s="0" t="s">
        <v>1127</v>
      </c>
      <c r="D27" s="0" t="s">
        <v>1051</v>
      </c>
      <c r="E27" s="3" t="n">
        <f aca="false">SUMIFS(Tasks_Cost,Tasks_TaskID,$A27,Tasks_Tier,$D27,Tasks_Type,"base")</f>
        <v>11.5</v>
      </c>
      <c r="F27" s="3" t="n">
        <f aca="false">SUMIFS(Tasks_Cost,Tasks_TaskID,$A27,Tasks_Tier,$D27,Tasks_Type,"as-needed")</f>
        <v>0</v>
      </c>
      <c r="G27" s="3" t="n">
        <f aca="false">SUMIFS(Tasks_Cost,Tasks_TaskID,$A27,Tasks_Tier,$D27,Tasks_Type,"flagged")</f>
        <v>982</v>
      </c>
      <c r="H27" s="3" t="n">
        <f aca="false">SUMIFS(Tasks_Cost,Tasks_TaskID,$A27,Tasks_Tier,$D27,Tasks_Type,"reference")</f>
        <v>0</v>
      </c>
      <c r="I27" s="0" t="n">
        <f aca="false">COUNTIFS(Tasks_TaskID,$A27,Tasks_Tier,$D27)</f>
        <v>5</v>
      </c>
      <c r="J27" s="3" t="n">
        <v>11.5</v>
      </c>
      <c r="K27" s="0" t="s">
        <v>1100</v>
      </c>
      <c r="L27" s="3" t="n">
        <f aca="false">IF(K27="reference",H27,E27)</f>
        <v>11.5</v>
      </c>
      <c r="M27" s="9" t="n">
        <f aca="false">IF(J27="","",L27-J27)</f>
        <v>0</v>
      </c>
      <c r="N27" s="0" t="s">
        <v>1868</v>
      </c>
      <c r="O27" s="0" t="s">
        <v>1130</v>
      </c>
      <c r="P27" s="8" t="s">
        <v>1131</v>
      </c>
    </row>
    <row r="28" customFormat="false" ht="15" hidden="false" customHeight="false" outlineLevel="0" collapsed="false">
      <c r="A28" s="0" t="s">
        <v>1136</v>
      </c>
      <c r="B28" s="0" t="s">
        <v>176</v>
      </c>
      <c r="C28" s="0" t="s">
        <v>1137</v>
      </c>
      <c r="D28" s="0" t="s">
        <v>1042</v>
      </c>
      <c r="E28" s="3" t="n">
        <f aca="false">SUMIFS(Tasks_Cost,Tasks_TaskID,$A28,Tasks_Tier,$D28,Tasks_Type,"base")</f>
        <v>23</v>
      </c>
      <c r="F28" s="3" t="n">
        <f aca="false">SUMIFS(Tasks_Cost,Tasks_TaskID,$A28,Tasks_Tier,$D28,Tasks_Type,"as-needed")</f>
        <v>0</v>
      </c>
      <c r="G28" s="3" t="n">
        <f aca="false">SUMIFS(Tasks_Cost,Tasks_TaskID,$A28,Tasks_Tier,$D28,Tasks_Type,"flagged")</f>
        <v>161</v>
      </c>
      <c r="H28" s="3" t="n">
        <f aca="false">SUMIFS(Tasks_Cost,Tasks_TaskID,$A28,Tasks_Tier,$D28,Tasks_Type,"reference")</f>
        <v>0</v>
      </c>
      <c r="I28" s="0" t="n">
        <f aca="false">COUNTIFS(Tasks_TaskID,$A28,Tasks_Tier,$D28)</f>
        <v>3</v>
      </c>
      <c r="J28" s="3" t="n">
        <v>23</v>
      </c>
      <c r="K28" s="0" t="s">
        <v>1100</v>
      </c>
      <c r="L28" s="3" t="n">
        <f aca="false">IF(K28="reference",H28,E28)</f>
        <v>23</v>
      </c>
      <c r="M28" s="9" t="n">
        <f aca="false">IF(J28="","",L28-J28)</f>
        <v>0</v>
      </c>
      <c r="O28" s="0" t="s">
        <v>1140</v>
      </c>
      <c r="P28" s="8" t="s">
        <v>1141</v>
      </c>
    </row>
    <row r="29" customFormat="false" ht="15" hidden="false" customHeight="false" outlineLevel="0" collapsed="false">
      <c r="A29" s="0" t="s">
        <v>1136</v>
      </c>
      <c r="B29" s="0" t="s">
        <v>176</v>
      </c>
      <c r="C29" s="0" t="s">
        <v>1137</v>
      </c>
      <c r="D29" s="0" t="s">
        <v>1049</v>
      </c>
      <c r="E29" s="3" t="n">
        <f aca="false">SUMIFS(Tasks_Cost,Tasks_TaskID,$A29,Tasks_Tier,$D29,Tasks_Type,"base")</f>
        <v>23</v>
      </c>
      <c r="F29" s="3" t="n">
        <f aca="false">SUMIFS(Tasks_Cost,Tasks_TaskID,$A29,Tasks_Tier,$D29,Tasks_Type,"as-needed")</f>
        <v>0</v>
      </c>
      <c r="G29" s="3" t="n">
        <f aca="false">SUMIFS(Tasks_Cost,Tasks_TaskID,$A29,Tasks_Tier,$D29,Tasks_Type,"flagged")</f>
        <v>161</v>
      </c>
      <c r="H29" s="3" t="n">
        <f aca="false">SUMIFS(Tasks_Cost,Tasks_TaskID,$A29,Tasks_Tier,$D29,Tasks_Type,"reference")</f>
        <v>0</v>
      </c>
      <c r="I29" s="0" t="n">
        <f aca="false">COUNTIFS(Tasks_TaskID,$A29,Tasks_Tier,$D29)</f>
        <v>3</v>
      </c>
      <c r="J29" s="3" t="n">
        <v>23</v>
      </c>
      <c r="K29" s="0" t="s">
        <v>1100</v>
      </c>
      <c r="L29" s="3" t="n">
        <f aca="false">IF(K29="reference",H29,E29)</f>
        <v>23</v>
      </c>
      <c r="M29" s="9" t="n">
        <f aca="false">IF(J29="","",L29-J29)</f>
        <v>0</v>
      </c>
      <c r="O29" s="0" t="s">
        <v>1140</v>
      </c>
      <c r="P29" s="8" t="s">
        <v>1141</v>
      </c>
    </row>
    <row r="30" customFormat="false" ht="15" hidden="false" customHeight="false" outlineLevel="0" collapsed="false">
      <c r="A30" s="0" t="s">
        <v>1136</v>
      </c>
      <c r="B30" s="0" t="s">
        <v>176</v>
      </c>
      <c r="C30" s="0" t="s">
        <v>1137</v>
      </c>
      <c r="D30" s="0" t="s">
        <v>1051</v>
      </c>
      <c r="E30" s="3" t="n">
        <f aca="false">SUMIFS(Tasks_Cost,Tasks_TaskID,$A30,Tasks_Tier,$D30,Tasks_Type,"base")</f>
        <v>23</v>
      </c>
      <c r="F30" s="3" t="n">
        <f aca="false">SUMIFS(Tasks_Cost,Tasks_TaskID,$A30,Tasks_Tier,$D30,Tasks_Type,"as-needed")</f>
        <v>0</v>
      </c>
      <c r="G30" s="3" t="n">
        <f aca="false">SUMIFS(Tasks_Cost,Tasks_TaskID,$A30,Tasks_Tier,$D30,Tasks_Type,"flagged")</f>
        <v>161</v>
      </c>
      <c r="H30" s="3" t="n">
        <f aca="false">SUMIFS(Tasks_Cost,Tasks_TaskID,$A30,Tasks_Tier,$D30,Tasks_Type,"reference")</f>
        <v>0</v>
      </c>
      <c r="I30" s="0" t="n">
        <f aca="false">COUNTIFS(Tasks_TaskID,$A30,Tasks_Tier,$D30)</f>
        <v>3</v>
      </c>
      <c r="J30" s="3" t="n">
        <v>23</v>
      </c>
      <c r="K30" s="0" t="s">
        <v>1100</v>
      </c>
      <c r="L30" s="3" t="n">
        <f aca="false">IF(K30="reference",H30,E30)</f>
        <v>23</v>
      </c>
      <c r="M30" s="9" t="n">
        <f aca="false">IF(J30="","",L30-J30)</f>
        <v>0</v>
      </c>
      <c r="O30" s="0" t="s">
        <v>1140</v>
      </c>
      <c r="P30" s="8" t="s">
        <v>1141</v>
      </c>
    </row>
    <row r="31" customFormat="false" ht="17.15" hidden="false" customHeight="false" outlineLevel="0" collapsed="false">
      <c r="A31" s="0" t="s">
        <v>1151</v>
      </c>
      <c r="B31" s="0" t="s">
        <v>176</v>
      </c>
      <c r="C31" s="0" t="s">
        <v>1152</v>
      </c>
      <c r="D31" s="0" t="s">
        <v>1055</v>
      </c>
      <c r="E31" s="3" t="n">
        <f aca="false">SUMIFS(Tasks_Cost,Tasks_TaskID,$A31,Tasks_Tier,$D31,Tasks_Type,"base")</f>
        <v>839.7</v>
      </c>
      <c r="F31" s="3" t="n">
        <f aca="false">SUMIFS(Tasks_Cost,Tasks_TaskID,$A31,Tasks_Tier,$D31,Tasks_Type,"as-needed")</f>
        <v>0</v>
      </c>
      <c r="G31" s="3" t="n">
        <f aca="false">SUMIFS(Tasks_Cost,Tasks_TaskID,$A31,Tasks_Tier,$D31,Tasks_Type,"flagged")</f>
        <v>473</v>
      </c>
      <c r="H31" s="3" t="n">
        <f aca="false">SUMIFS(Tasks_Cost,Tasks_TaskID,$A31,Tasks_Tier,$D31,Tasks_Type,"reference")</f>
        <v>0</v>
      </c>
      <c r="I31" s="0" t="n">
        <f aca="false">COUNTIFS(Tasks_TaskID,$A31,Tasks_Tier,$D31)</f>
        <v>3</v>
      </c>
      <c r="J31" s="3" t="n">
        <v>734.7</v>
      </c>
      <c r="K31" s="0" t="s">
        <v>1100</v>
      </c>
      <c r="L31" s="3" t="n">
        <f aca="false">IF(K31="reference",H31,E31)</f>
        <v>839.7</v>
      </c>
      <c r="M31" s="9" t="n">
        <f aca="false">IF(J31="","",L31-J31)</f>
        <v>105</v>
      </c>
      <c r="O31" s="0" t="s">
        <v>1155</v>
      </c>
      <c r="P31" s="8" t="s">
        <v>1156</v>
      </c>
    </row>
    <row r="32" customFormat="false" ht="17.15" hidden="false" customHeight="false" outlineLevel="0" collapsed="false">
      <c r="A32" s="0" t="s">
        <v>1151</v>
      </c>
      <c r="B32" s="0" t="s">
        <v>176</v>
      </c>
      <c r="C32" s="0" t="s">
        <v>1152</v>
      </c>
      <c r="D32" s="0" t="s">
        <v>1070</v>
      </c>
      <c r="E32" s="3" t="n">
        <f aca="false">SUMIFS(Tasks_Cost,Tasks_TaskID,$A32,Tasks_Tier,$D32,Tasks_Type,"base")</f>
        <v>839.7</v>
      </c>
      <c r="F32" s="3" t="n">
        <f aca="false">SUMIFS(Tasks_Cost,Tasks_TaskID,$A32,Tasks_Tier,$D32,Tasks_Type,"as-needed")</f>
        <v>0</v>
      </c>
      <c r="G32" s="3" t="n">
        <f aca="false">SUMIFS(Tasks_Cost,Tasks_TaskID,$A32,Tasks_Tier,$D32,Tasks_Type,"flagged")</f>
        <v>473</v>
      </c>
      <c r="H32" s="3" t="n">
        <f aca="false">SUMIFS(Tasks_Cost,Tasks_TaskID,$A32,Tasks_Tier,$D32,Tasks_Type,"reference")</f>
        <v>0</v>
      </c>
      <c r="I32" s="0" t="n">
        <f aca="false">COUNTIFS(Tasks_TaskID,$A32,Tasks_Tier,$D32)</f>
        <v>3</v>
      </c>
      <c r="J32" s="3" t="n">
        <v>734.7</v>
      </c>
      <c r="K32" s="0" t="s">
        <v>1100</v>
      </c>
      <c r="L32" s="3" t="n">
        <f aca="false">IF(K32="reference",H32,E32)</f>
        <v>839.7</v>
      </c>
      <c r="M32" s="9" t="n">
        <f aca="false">IF(J32="","",L32-J32)</f>
        <v>105</v>
      </c>
      <c r="O32" s="0" t="s">
        <v>1155</v>
      </c>
      <c r="P32" s="8" t="s">
        <v>1156</v>
      </c>
    </row>
    <row r="33" customFormat="false" ht="17.15" hidden="false" customHeight="false" outlineLevel="0" collapsed="false">
      <c r="A33" s="0" t="s">
        <v>1151</v>
      </c>
      <c r="B33" s="0" t="s">
        <v>176</v>
      </c>
      <c r="C33" s="0" t="s">
        <v>1152</v>
      </c>
      <c r="D33" s="0" t="s">
        <v>1074</v>
      </c>
      <c r="E33" s="3" t="n">
        <f aca="false">SUMIFS(Tasks_Cost,Tasks_TaskID,$A33,Tasks_Tier,$D33,Tasks_Type,"base")</f>
        <v>839.7</v>
      </c>
      <c r="F33" s="3" t="n">
        <f aca="false">SUMIFS(Tasks_Cost,Tasks_TaskID,$A33,Tasks_Tier,$D33,Tasks_Type,"as-needed")</f>
        <v>0</v>
      </c>
      <c r="G33" s="3" t="n">
        <f aca="false">SUMIFS(Tasks_Cost,Tasks_TaskID,$A33,Tasks_Tier,$D33,Tasks_Type,"flagged")</f>
        <v>473</v>
      </c>
      <c r="H33" s="3" t="n">
        <f aca="false">SUMIFS(Tasks_Cost,Tasks_TaskID,$A33,Tasks_Tier,$D33,Tasks_Type,"reference")</f>
        <v>0</v>
      </c>
      <c r="I33" s="0" t="n">
        <f aca="false">COUNTIFS(Tasks_TaskID,$A33,Tasks_Tier,$D33)</f>
        <v>3</v>
      </c>
      <c r="J33" s="3" t="n">
        <v>734.7</v>
      </c>
      <c r="K33" s="0" t="s">
        <v>1100</v>
      </c>
      <c r="L33" s="3" t="n">
        <f aca="false">IF(K33="reference",H33,E33)</f>
        <v>839.7</v>
      </c>
      <c r="M33" s="9" t="n">
        <f aca="false">IF(J33="","",L33-J33)</f>
        <v>105</v>
      </c>
      <c r="O33" s="0" t="s">
        <v>1155</v>
      </c>
      <c r="P33" s="8" t="s">
        <v>1156</v>
      </c>
    </row>
    <row r="34" customFormat="false" ht="17.15" hidden="false" customHeight="false" outlineLevel="0" collapsed="false">
      <c r="A34" s="0" t="s">
        <v>1151</v>
      </c>
      <c r="B34" s="0" t="s">
        <v>176</v>
      </c>
      <c r="C34" s="0" t="s">
        <v>1152</v>
      </c>
      <c r="D34" s="0" t="s">
        <v>1078</v>
      </c>
      <c r="E34" s="3" t="n">
        <f aca="false">SUMIFS(Tasks_Cost,Tasks_TaskID,$A34,Tasks_Tier,$D34,Tasks_Type,"base")</f>
        <v>839.7</v>
      </c>
      <c r="F34" s="3" t="n">
        <f aca="false">SUMIFS(Tasks_Cost,Tasks_TaskID,$A34,Tasks_Tier,$D34,Tasks_Type,"as-needed")</f>
        <v>0</v>
      </c>
      <c r="G34" s="3" t="n">
        <f aca="false">SUMIFS(Tasks_Cost,Tasks_TaskID,$A34,Tasks_Tier,$D34,Tasks_Type,"flagged")</f>
        <v>473</v>
      </c>
      <c r="H34" s="3" t="n">
        <f aca="false">SUMIFS(Tasks_Cost,Tasks_TaskID,$A34,Tasks_Tier,$D34,Tasks_Type,"reference")</f>
        <v>0</v>
      </c>
      <c r="I34" s="0" t="n">
        <f aca="false">COUNTIFS(Tasks_TaskID,$A34,Tasks_Tier,$D34)</f>
        <v>3</v>
      </c>
      <c r="J34" s="3" t="n">
        <v>734.7</v>
      </c>
      <c r="K34" s="0" t="s">
        <v>1100</v>
      </c>
      <c r="L34" s="3" t="n">
        <f aca="false">IF(K34="reference",H34,E34)</f>
        <v>839.7</v>
      </c>
      <c r="M34" s="9" t="n">
        <f aca="false">IF(J34="","",L34-J34)</f>
        <v>105</v>
      </c>
      <c r="O34" s="0" t="s">
        <v>1155</v>
      </c>
      <c r="P34" s="8" t="s">
        <v>1156</v>
      </c>
    </row>
    <row r="35" customFormat="false" ht="17.15" hidden="false" customHeight="false" outlineLevel="0" collapsed="false">
      <c r="A35" s="0" t="s">
        <v>1161</v>
      </c>
      <c r="B35" s="0" t="s">
        <v>229</v>
      </c>
      <c r="C35" s="0" t="s">
        <v>1162</v>
      </c>
      <c r="D35" s="0" t="s">
        <v>1042</v>
      </c>
      <c r="E35" s="3" t="n">
        <f aca="false">SUMIFS(Tasks_Cost,Tasks_TaskID,$A35,Tasks_Tier,$D35,Tasks_Type,"base")</f>
        <v>0</v>
      </c>
      <c r="F35" s="3" t="n">
        <f aca="false">SUMIFS(Tasks_Cost,Tasks_TaskID,$A35,Tasks_Tier,$D35,Tasks_Type,"as-needed")</f>
        <v>0</v>
      </c>
      <c r="G35" s="3" t="n">
        <f aca="false">SUMIFS(Tasks_Cost,Tasks_TaskID,$A35,Tasks_Tier,$D35,Tasks_Type,"flagged")</f>
        <v>0</v>
      </c>
      <c r="H35" s="3" t="n">
        <f aca="false">SUMIFS(Tasks_Cost,Tasks_TaskID,$A35,Tasks_Tier,$D35,Tasks_Type,"reference")</f>
        <v>366</v>
      </c>
      <c r="I35" s="0" t="n">
        <f aca="false">COUNTIFS(Tasks_TaskID,$A35,Tasks_Tier,$D35)</f>
        <v>1</v>
      </c>
      <c r="J35" s="3" t="n">
        <v>366</v>
      </c>
      <c r="K35" s="0" t="s">
        <v>1164</v>
      </c>
      <c r="L35" s="3" t="n">
        <f aca="false">IF(K35="reference",H35,E35)</f>
        <v>366</v>
      </c>
      <c r="M35" s="9" t="n">
        <f aca="false">IF(J35="","",L35-J35)</f>
        <v>0</v>
      </c>
      <c r="N35" s="0" t="s">
        <v>1869</v>
      </c>
      <c r="O35" s="0" t="s">
        <v>1166</v>
      </c>
      <c r="P35" s="8" t="s">
        <v>1167</v>
      </c>
    </row>
    <row r="36" customFormat="false" ht="17.15" hidden="false" customHeight="false" outlineLevel="0" collapsed="false">
      <c r="A36" s="0" t="s">
        <v>1161</v>
      </c>
      <c r="B36" s="0" t="s">
        <v>229</v>
      </c>
      <c r="C36" s="0" t="s">
        <v>1162</v>
      </c>
      <c r="D36" s="0" t="s">
        <v>1049</v>
      </c>
      <c r="E36" s="3" t="n">
        <f aca="false">SUMIFS(Tasks_Cost,Tasks_TaskID,$A36,Tasks_Tier,$D36,Tasks_Type,"base")</f>
        <v>0</v>
      </c>
      <c r="F36" s="3" t="n">
        <f aca="false">SUMIFS(Tasks_Cost,Tasks_TaskID,$A36,Tasks_Tier,$D36,Tasks_Type,"as-needed")</f>
        <v>0</v>
      </c>
      <c r="G36" s="3" t="n">
        <f aca="false">SUMIFS(Tasks_Cost,Tasks_TaskID,$A36,Tasks_Tier,$D36,Tasks_Type,"flagged")</f>
        <v>0</v>
      </c>
      <c r="H36" s="3" t="n">
        <f aca="false">SUMIFS(Tasks_Cost,Tasks_TaskID,$A36,Tasks_Tier,$D36,Tasks_Type,"reference")</f>
        <v>417</v>
      </c>
      <c r="I36" s="0" t="n">
        <f aca="false">COUNTIFS(Tasks_TaskID,$A36,Tasks_Tier,$D36)</f>
        <v>1</v>
      </c>
      <c r="J36" s="3" t="n">
        <v>417</v>
      </c>
      <c r="K36" s="0" t="s">
        <v>1164</v>
      </c>
      <c r="L36" s="3" t="n">
        <f aca="false">IF(K36="reference",H36,E36)</f>
        <v>417</v>
      </c>
      <c r="M36" s="9" t="n">
        <f aca="false">IF(J36="","",L36-J36)</f>
        <v>0</v>
      </c>
      <c r="N36" s="0" t="s">
        <v>1869</v>
      </c>
      <c r="O36" s="0" t="s">
        <v>1166</v>
      </c>
      <c r="P36" s="8" t="s">
        <v>1167</v>
      </c>
    </row>
    <row r="37" customFormat="false" ht="17.15" hidden="false" customHeight="false" outlineLevel="0" collapsed="false">
      <c r="A37" s="0" t="s">
        <v>1161</v>
      </c>
      <c r="B37" s="0" t="s">
        <v>229</v>
      </c>
      <c r="C37" s="0" t="s">
        <v>1162</v>
      </c>
      <c r="D37" s="0" t="s">
        <v>1051</v>
      </c>
      <c r="E37" s="3" t="n">
        <f aca="false">SUMIFS(Tasks_Cost,Tasks_TaskID,$A37,Tasks_Tier,$D37,Tasks_Type,"base")</f>
        <v>0</v>
      </c>
      <c r="F37" s="3" t="n">
        <f aca="false">SUMIFS(Tasks_Cost,Tasks_TaskID,$A37,Tasks_Tier,$D37,Tasks_Type,"as-needed")</f>
        <v>0</v>
      </c>
      <c r="G37" s="3" t="n">
        <f aca="false">SUMIFS(Tasks_Cost,Tasks_TaskID,$A37,Tasks_Tier,$D37,Tasks_Type,"flagged")</f>
        <v>0</v>
      </c>
      <c r="H37" s="3" t="n">
        <f aca="false">SUMIFS(Tasks_Cost,Tasks_TaskID,$A37,Tasks_Tier,$D37,Tasks_Type,"reference")</f>
        <v>484</v>
      </c>
      <c r="I37" s="0" t="n">
        <f aca="false">COUNTIFS(Tasks_TaskID,$A37,Tasks_Tier,$D37)</f>
        <v>1</v>
      </c>
      <c r="J37" s="3" t="n">
        <v>484</v>
      </c>
      <c r="K37" s="0" t="s">
        <v>1164</v>
      </c>
      <c r="L37" s="3" t="n">
        <f aca="false">IF(K37="reference",H37,E37)</f>
        <v>484</v>
      </c>
      <c r="M37" s="9" t="n">
        <f aca="false">IF(J37="","",L37-J37)</f>
        <v>0</v>
      </c>
      <c r="N37" s="0" t="s">
        <v>1869</v>
      </c>
      <c r="O37" s="0" t="s">
        <v>1166</v>
      </c>
      <c r="P37" s="8" t="s">
        <v>1167</v>
      </c>
    </row>
    <row r="38" customFormat="false" ht="17.15" hidden="false" customHeight="false" outlineLevel="0" collapsed="false">
      <c r="A38" s="0" t="s">
        <v>1171</v>
      </c>
      <c r="B38" s="0" t="s">
        <v>229</v>
      </c>
      <c r="C38" s="0" t="s">
        <v>1172</v>
      </c>
      <c r="D38" s="0" t="s">
        <v>1042</v>
      </c>
      <c r="E38" s="3" t="n">
        <f aca="false">SUMIFS(Tasks_Cost,Tasks_TaskID,$A38,Tasks_Tier,$D38,Tasks_Type,"base")</f>
        <v>0</v>
      </c>
      <c r="F38" s="3" t="n">
        <f aca="false">SUMIFS(Tasks_Cost,Tasks_TaskID,$A38,Tasks_Tier,$D38,Tasks_Type,"as-needed")</f>
        <v>0</v>
      </c>
      <c r="G38" s="3" t="n">
        <f aca="false">SUMIFS(Tasks_Cost,Tasks_TaskID,$A38,Tasks_Tier,$D38,Tasks_Type,"flagged")</f>
        <v>0</v>
      </c>
      <c r="H38" s="3" t="n">
        <f aca="false">SUMIFS(Tasks_Cost,Tasks_TaskID,$A38,Tasks_Tier,$D38,Tasks_Type,"reference")</f>
        <v>205</v>
      </c>
      <c r="I38" s="0" t="n">
        <f aca="false">COUNTIFS(Tasks_TaskID,$A38,Tasks_Tier,$D38)</f>
        <v>1</v>
      </c>
      <c r="J38" s="3" t="n">
        <v>205</v>
      </c>
      <c r="K38" s="0" t="s">
        <v>1164</v>
      </c>
      <c r="L38" s="3" t="n">
        <f aca="false">IF(K38="reference",H38,E38)</f>
        <v>205</v>
      </c>
      <c r="M38" s="9" t="n">
        <f aca="false">IF(J38="","",L38-J38)</f>
        <v>0</v>
      </c>
      <c r="N38" s="0" t="s">
        <v>1869</v>
      </c>
      <c r="O38" s="0" t="s">
        <v>1173</v>
      </c>
      <c r="P38" s="8" t="s">
        <v>1174</v>
      </c>
    </row>
    <row r="39" customFormat="false" ht="17.15" hidden="false" customHeight="false" outlineLevel="0" collapsed="false">
      <c r="A39" s="0" t="s">
        <v>1171</v>
      </c>
      <c r="B39" s="0" t="s">
        <v>229</v>
      </c>
      <c r="C39" s="0" t="s">
        <v>1172</v>
      </c>
      <c r="D39" s="0" t="s">
        <v>1049</v>
      </c>
      <c r="E39" s="3" t="n">
        <f aca="false">SUMIFS(Tasks_Cost,Tasks_TaskID,$A39,Tasks_Tier,$D39,Tasks_Type,"base")</f>
        <v>0</v>
      </c>
      <c r="F39" s="3" t="n">
        <f aca="false">SUMIFS(Tasks_Cost,Tasks_TaskID,$A39,Tasks_Tier,$D39,Tasks_Type,"as-needed")</f>
        <v>0</v>
      </c>
      <c r="G39" s="3" t="n">
        <f aca="false">SUMIFS(Tasks_Cost,Tasks_TaskID,$A39,Tasks_Tier,$D39,Tasks_Type,"flagged")</f>
        <v>0</v>
      </c>
      <c r="H39" s="3" t="n">
        <f aca="false">SUMIFS(Tasks_Cost,Tasks_TaskID,$A39,Tasks_Tier,$D39,Tasks_Type,"reference")</f>
        <v>272</v>
      </c>
      <c r="I39" s="0" t="n">
        <f aca="false">COUNTIFS(Tasks_TaskID,$A39,Tasks_Tier,$D39)</f>
        <v>1</v>
      </c>
      <c r="J39" s="3" t="n">
        <v>272</v>
      </c>
      <c r="K39" s="0" t="s">
        <v>1164</v>
      </c>
      <c r="L39" s="3" t="n">
        <f aca="false">IF(K39="reference",H39,E39)</f>
        <v>272</v>
      </c>
      <c r="M39" s="9" t="n">
        <f aca="false">IF(J39="","",L39-J39)</f>
        <v>0</v>
      </c>
      <c r="N39" s="0" t="s">
        <v>1869</v>
      </c>
      <c r="O39" s="0" t="s">
        <v>1173</v>
      </c>
      <c r="P39" s="8" t="s">
        <v>1174</v>
      </c>
    </row>
    <row r="40" customFormat="false" ht="17.15" hidden="false" customHeight="false" outlineLevel="0" collapsed="false">
      <c r="A40" s="0" t="s">
        <v>1171</v>
      </c>
      <c r="B40" s="0" t="s">
        <v>229</v>
      </c>
      <c r="C40" s="0" t="s">
        <v>1172</v>
      </c>
      <c r="D40" s="0" t="s">
        <v>1051</v>
      </c>
      <c r="E40" s="3" t="n">
        <f aca="false">SUMIFS(Tasks_Cost,Tasks_TaskID,$A40,Tasks_Tier,$D40,Tasks_Type,"base")</f>
        <v>0</v>
      </c>
      <c r="F40" s="3" t="n">
        <f aca="false">SUMIFS(Tasks_Cost,Tasks_TaskID,$A40,Tasks_Tier,$D40,Tasks_Type,"as-needed")</f>
        <v>0</v>
      </c>
      <c r="G40" s="3" t="n">
        <f aca="false">SUMIFS(Tasks_Cost,Tasks_TaskID,$A40,Tasks_Tier,$D40,Tasks_Type,"flagged")</f>
        <v>0</v>
      </c>
      <c r="H40" s="3" t="n">
        <f aca="false">SUMIFS(Tasks_Cost,Tasks_TaskID,$A40,Tasks_Tier,$D40,Tasks_Type,"reference")</f>
        <v>327</v>
      </c>
      <c r="I40" s="0" t="n">
        <f aca="false">COUNTIFS(Tasks_TaskID,$A40,Tasks_Tier,$D40)</f>
        <v>1</v>
      </c>
      <c r="J40" s="3" t="n">
        <v>327</v>
      </c>
      <c r="K40" s="0" t="s">
        <v>1164</v>
      </c>
      <c r="L40" s="3" t="n">
        <f aca="false">IF(K40="reference",H40,E40)</f>
        <v>327</v>
      </c>
      <c r="M40" s="9" t="n">
        <f aca="false">IF(J40="","",L40-J40)</f>
        <v>0</v>
      </c>
      <c r="N40" s="0" t="s">
        <v>1869</v>
      </c>
      <c r="O40" s="0" t="s">
        <v>1173</v>
      </c>
      <c r="P40" s="8" t="s">
        <v>1174</v>
      </c>
    </row>
    <row r="41" customFormat="false" ht="15" hidden="false" customHeight="false" outlineLevel="0" collapsed="false">
      <c r="A41" s="0" t="s">
        <v>1178</v>
      </c>
      <c r="B41" s="0" t="s">
        <v>229</v>
      </c>
      <c r="C41" s="0" t="s">
        <v>1179</v>
      </c>
      <c r="D41" s="0" t="s">
        <v>1042</v>
      </c>
      <c r="E41" s="3" t="n">
        <f aca="false">SUMIFS(Tasks_Cost,Tasks_TaskID,$A41,Tasks_Tier,$D41,Tasks_Type,"base")</f>
        <v>0</v>
      </c>
      <c r="F41" s="3" t="n">
        <f aca="false">SUMIFS(Tasks_Cost,Tasks_TaskID,$A41,Tasks_Tier,$D41,Tasks_Type,"as-needed")</f>
        <v>0</v>
      </c>
      <c r="G41" s="3" t="n">
        <f aca="false">SUMIFS(Tasks_Cost,Tasks_TaskID,$A41,Tasks_Tier,$D41,Tasks_Type,"flagged")</f>
        <v>0</v>
      </c>
      <c r="H41" s="3" t="n">
        <f aca="false">SUMIFS(Tasks_Cost,Tasks_TaskID,$A41,Tasks_Tier,$D41,Tasks_Type,"reference")</f>
        <v>598</v>
      </c>
      <c r="I41" s="0" t="n">
        <f aca="false">COUNTIFS(Tasks_TaskID,$A41,Tasks_Tier,$D41)</f>
        <v>1</v>
      </c>
      <c r="J41" s="3" t="n">
        <v>598</v>
      </c>
      <c r="K41" s="0" t="s">
        <v>1164</v>
      </c>
      <c r="L41" s="3" t="n">
        <f aca="false">IF(K41="reference",H41,E41)</f>
        <v>598</v>
      </c>
      <c r="M41" s="9" t="n">
        <f aca="false">IF(J41="","",L41-J41)</f>
        <v>0</v>
      </c>
      <c r="N41" s="0" t="s">
        <v>1869</v>
      </c>
      <c r="O41" s="0" t="s">
        <v>1180</v>
      </c>
      <c r="P41" s="8" t="s">
        <v>1181</v>
      </c>
    </row>
    <row r="42" customFormat="false" ht="15" hidden="false" customHeight="false" outlineLevel="0" collapsed="false">
      <c r="A42" s="0" t="s">
        <v>1178</v>
      </c>
      <c r="B42" s="0" t="s">
        <v>229</v>
      </c>
      <c r="C42" s="0" t="s">
        <v>1179</v>
      </c>
      <c r="D42" s="0" t="s">
        <v>1049</v>
      </c>
      <c r="E42" s="3" t="n">
        <f aca="false">SUMIFS(Tasks_Cost,Tasks_TaskID,$A42,Tasks_Tier,$D42,Tasks_Type,"base")</f>
        <v>0</v>
      </c>
      <c r="F42" s="3" t="n">
        <f aca="false">SUMIFS(Tasks_Cost,Tasks_TaskID,$A42,Tasks_Tier,$D42,Tasks_Type,"as-needed")</f>
        <v>0</v>
      </c>
      <c r="G42" s="3" t="n">
        <f aca="false">SUMIFS(Tasks_Cost,Tasks_TaskID,$A42,Tasks_Tier,$D42,Tasks_Type,"flagged")</f>
        <v>0</v>
      </c>
      <c r="H42" s="3" t="n">
        <f aca="false">SUMIFS(Tasks_Cost,Tasks_TaskID,$A42,Tasks_Tier,$D42,Tasks_Type,"reference")</f>
        <v>664</v>
      </c>
      <c r="I42" s="0" t="n">
        <f aca="false">COUNTIFS(Tasks_TaskID,$A42,Tasks_Tier,$D42)</f>
        <v>1</v>
      </c>
      <c r="J42" s="3" t="n">
        <v>664</v>
      </c>
      <c r="K42" s="0" t="s">
        <v>1164</v>
      </c>
      <c r="L42" s="3" t="n">
        <f aca="false">IF(K42="reference",H42,E42)</f>
        <v>664</v>
      </c>
      <c r="M42" s="9" t="n">
        <f aca="false">IF(J42="","",L42-J42)</f>
        <v>0</v>
      </c>
      <c r="N42" s="0" t="s">
        <v>1869</v>
      </c>
      <c r="O42" s="0" t="s">
        <v>1180</v>
      </c>
      <c r="P42" s="8" t="s">
        <v>1181</v>
      </c>
    </row>
    <row r="43" customFormat="false" ht="15" hidden="false" customHeight="false" outlineLevel="0" collapsed="false">
      <c r="A43" s="0" t="s">
        <v>1178</v>
      </c>
      <c r="B43" s="0" t="s">
        <v>229</v>
      </c>
      <c r="C43" s="0" t="s">
        <v>1179</v>
      </c>
      <c r="D43" s="0" t="s">
        <v>1051</v>
      </c>
      <c r="E43" s="3" t="n">
        <f aca="false">SUMIFS(Tasks_Cost,Tasks_TaskID,$A43,Tasks_Tier,$D43,Tasks_Type,"base")</f>
        <v>0</v>
      </c>
      <c r="F43" s="3" t="n">
        <f aca="false">SUMIFS(Tasks_Cost,Tasks_TaskID,$A43,Tasks_Tier,$D43,Tasks_Type,"as-needed")</f>
        <v>0</v>
      </c>
      <c r="G43" s="3" t="n">
        <f aca="false">SUMIFS(Tasks_Cost,Tasks_TaskID,$A43,Tasks_Tier,$D43,Tasks_Type,"flagged")</f>
        <v>0</v>
      </c>
      <c r="H43" s="3" t="n">
        <f aca="false">SUMIFS(Tasks_Cost,Tasks_TaskID,$A43,Tasks_Tier,$D43,Tasks_Type,"reference")</f>
        <v>1016</v>
      </c>
      <c r="I43" s="0" t="n">
        <f aca="false">COUNTIFS(Tasks_TaskID,$A43,Tasks_Tier,$D43)</f>
        <v>1</v>
      </c>
      <c r="J43" s="3" t="n">
        <v>1016</v>
      </c>
      <c r="K43" s="0" t="s">
        <v>1164</v>
      </c>
      <c r="L43" s="3" t="n">
        <f aca="false">IF(K43="reference",H43,E43)</f>
        <v>1016</v>
      </c>
      <c r="M43" s="9" t="n">
        <f aca="false">IF(J43="","",L43-J43)</f>
        <v>0</v>
      </c>
      <c r="N43" s="0" t="s">
        <v>1869</v>
      </c>
      <c r="O43" s="0" t="s">
        <v>1180</v>
      </c>
      <c r="P43" s="8" t="s">
        <v>1181</v>
      </c>
    </row>
    <row r="44" customFormat="false" ht="17.15" hidden="false" customHeight="false" outlineLevel="0" collapsed="false">
      <c r="A44" s="0" t="s">
        <v>1185</v>
      </c>
      <c r="B44" s="0" t="s">
        <v>273</v>
      </c>
      <c r="C44" s="0" t="s">
        <v>1186</v>
      </c>
      <c r="D44" s="0" t="s">
        <v>1042</v>
      </c>
      <c r="E44" s="3" t="n">
        <f aca="false">SUMIFS(Tasks_Cost,Tasks_TaskID,$A44,Tasks_Tier,$D44,Tasks_Type,"base")</f>
        <v>809.778825</v>
      </c>
      <c r="F44" s="3" t="n">
        <f aca="false">SUMIFS(Tasks_Cost,Tasks_TaskID,$A44,Tasks_Tier,$D44,Tasks_Type,"as-needed")</f>
        <v>2113</v>
      </c>
      <c r="G44" s="3" t="n">
        <f aca="false">SUMIFS(Tasks_Cost,Tasks_TaskID,$A44,Tasks_Tier,$D44,Tasks_Type,"flagged")</f>
        <v>0</v>
      </c>
      <c r="H44" s="3" t="n">
        <f aca="false">SUMIFS(Tasks_Cost,Tasks_TaskID,$A44,Tasks_Tier,$D44,Tasks_Type,"reference")</f>
        <v>0</v>
      </c>
      <c r="I44" s="0" t="n">
        <f aca="false">COUNTIFS(Tasks_TaskID,$A44,Tasks_Tier,$D44)</f>
        <v>8</v>
      </c>
      <c r="J44" s="3" t="n">
        <v>810</v>
      </c>
      <c r="K44" s="0" t="s">
        <v>1100</v>
      </c>
      <c r="L44" s="3" t="n">
        <f aca="false">IF(K44="reference",H44,E44)</f>
        <v>809.778825</v>
      </c>
      <c r="M44" s="9" t="n">
        <f aca="false">IF(J44="","",L44-J44)</f>
        <v>-0.221175000000017</v>
      </c>
      <c r="N44" s="0" t="s">
        <v>1870</v>
      </c>
      <c r="O44" s="0" t="s">
        <v>1188</v>
      </c>
      <c r="P44" s="8" t="s">
        <v>1189</v>
      </c>
    </row>
    <row r="45" customFormat="false" ht="17.15" hidden="false" customHeight="false" outlineLevel="0" collapsed="false">
      <c r="A45" s="0" t="s">
        <v>1185</v>
      </c>
      <c r="B45" s="0" t="s">
        <v>273</v>
      </c>
      <c r="C45" s="0" t="s">
        <v>1186</v>
      </c>
      <c r="D45" s="0" t="s">
        <v>1049</v>
      </c>
      <c r="E45" s="3" t="n">
        <f aca="false">SUMIFS(Tasks_Cost,Tasks_TaskID,$A45,Tasks_Tier,$D45,Tasks_Type,"base")</f>
        <v>910.416655</v>
      </c>
      <c r="F45" s="3" t="n">
        <f aca="false">SUMIFS(Tasks_Cost,Tasks_TaskID,$A45,Tasks_Tier,$D45,Tasks_Type,"as-needed")</f>
        <v>2113</v>
      </c>
      <c r="G45" s="3" t="n">
        <f aca="false">SUMIFS(Tasks_Cost,Tasks_TaskID,$A45,Tasks_Tier,$D45,Tasks_Type,"flagged")</f>
        <v>0</v>
      </c>
      <c r="H45" s="3" t="n">
        <f aca="false">SUMIFS(Tasks_Cost,Tasks_TaskID,$A45,Tasks_Tier,$D45,Tasks_Type,"reference")</f>
        <v>0</v>
      </c>
      <c r="I45" s="0" t="n">
        <f aca="false">COUNTIFS(Tasks_TaskID,$A45,Tasks_Tier,$D45)</f>
        <v>8</v>
      </c>
      <c r="J45" s="3" t="n">
        <v>911</v>
      </c>
      <c r="K45" s="0" t="s">
        <v>1100</v>
      </c>
      <c r="L45" s="3" t="n">
        <f aca="false">IF(K45="reference",H45,E45)</f>
        <v>910.416655</v>
      </c>
      <c r="M45" s="9" t="n">
        <f aca="false">IF(J45="","",L45-J45)</f>
        <v>-0.583345000000008</v>
      </c>
      <c r="N45" s="0" t="s">
        <v>1870</v>
      </c>
      <c r="O45" s="0" t="s">
        <v>1188</v>
      </c>
      <c r="P45" s="8" t="s">
        <v>1189</v>
      </c>
    </row>
    <row r="46" customFormat="false" ht="17.15" hidden="false" customHeight="false" outlineLevel="0" collapsed="false">
      <c r="A46" s="0" t="s">
        <v>1185</v>
      </c>
      <c r="B46" s="0" t="s">
        <v>273</v>
      </c>
      <c r="C46" s="0" t="s">
        <v>1186</v>
      </c>
      <c r="D46" s="0" t="s">
        <v>1051</v>
      </c>
      <c r="E46" s="3" t="n">
        <f aca="false">SUMIFS(Tasks_Cost,Tasks_TaskID,$A46,Tasks_Tier,$D46,Tasks_Type,"base")</f>
        <v>1053.416655</v>
      </c>
      <c r="F46" s="3" t="n">
        <f aca="false">SUMIFS(Tasks_Cost,Tasks_TaskID,$A46,Tasks_Tier,$D46,Tasks_Type,"as-needed")</f>
        <v>4291</v>
      </c>
      <c r="G46" s="3" t="n">
        <f aca="false">SUMIFS(Tasks_Cost,Tasks_TaskID,$A46,Tasks_Tier,$D46,Tasks_Type,"flagged")</f>
        <v>0</v>
      </c>
      <c r="H46" s="3" t="n">
        <f aca="false">SUMIFS(Tasks_Cost,Tasks_TaskID,$A46,Tasks_Tier,$D46,Tasks_Type,"reference")</f>
        <v>0</v>
      </c>
      <c r="I46" s="0" t="n">
        <f aca="false">COUNTIFS(Tasks_TaskID,$A46,Tasks_Tier,$D46)</f>
        <v>9</v>
      </c>
      <c r="J46" s="3" t="n">
        <v>1054</v>
      </c>
      <c r="K46" s="0" t="s">
        <v>1100</v>
      </c>
      <c r="L46" s="3" t="n">
        <f aca="false">IF(K46="reference",H46,E46)</f>
        <v>1053.416655</v>
      </c>
      <c r="M46" s="9" t="n">
        <f aca="false">IF(J46="","",L46-J46)</f>
        <v>-0.583345000000008</v>
      </c>
      <c r="N46" s="0" t="s">
        <v>1870</v>
      </c>
      <c r="O46" s="0" t="s">
        <v>1188</v>
      </c>
      <c r="P46" s="8" t="s">
        <v>1189</v>
      </c>
    </row>
    <row r="47" customFormat="false" ht="17.15" hidden="false" customHeight="false" outlineLevel="0" collapsed="false">
      <c r="A47" s="0" t="s">
        <v>1228</v>
      </c>
      <c r="B47" s="0" t="s">
        <v>273</v>
      </c>
      <c r="C47" s="0" t="s">
        <v>1229</v>
      </c>
      <c r="D47" s="0" t="s">
        <v>1042</v>
      </c>
      <c r="E47" s="3" t="n">
        <f aca="false">SUMIFS(Tasks_Cost,Tasks_TaskID,$A47,Tasks_Tier,$D47,Tasks_Type,"base")</f>
        <v>92.634645</v>
      </c>
      <c r="F47" s="3" t="n">
        <f aca="false">SUMIFS(Tasks_Cost,Tasks_TaskID,$A47,Tasks_Tier,$D47,Tasks_Type,"as-needed")</f>
        <v>297</v>
      </c>
      <c r="G47" s="3" t="n">
        <f aca="false">SUMIFS(Tasks_Cost,Tasks_TaskID,$A47,Tasks_Tier,$D47,Tasks_Type,"flagged")</f>
        <v>0</v>
      </c>
      <c r="H47" s="3" t="n">
        <f aca="false">SUMIFS(Tasks_Cost,Tasks_TaskID,$A47,Tasks_Tier,$D47,Tasks_Type,"reference")</f>
        <v>0</v>
      </c>
      <c r="I47" s="0" t="n">
        <f aca="false">COUNTIFS(Tasks_TaskID,$A47,Tasks_Tier,$D47)</f>
        <v>4</v>
      </c>
      <c r="J47" s="3" t="n">
        <v>93</v>
      </c>
      <c r="K47" s="0" t="s">
        <v>1100</v>
      </c>
      <c r="L47" s="3" t="n">
        <f aca="false">IF(K47="reference",H47,E47)</f>
        <v>92.634645</v>
      </c>
      <c r="M47" s="9" t="n">
        <f aca="false">IF(J47="","",L47-J47)</f>
        <v>-0.365354999999994</v>
      </c>
      <c r="N47" s="0" t="s">
        <v>1870</v>
      </c>
      <c r="O47" s="0" t="s">
        <v>1231</v>
      </c>
      <c r="P47" s="8" t="s">
        <v>1232</v>
      </c>
    </row>
    <row r="48" customFormat="false" ht="17.15" hidden="false" customHeight="false" outlineLevel="0" collapsed="false">
      <c r="A48" s="0" t="s">
        <v>1228</v>
      </c>
      <c r="B48" s="0" t="s">
        <v>273</v>
      </c>
      <c r="C48" s="0" t="s">
        <v>1229</v>
      </c>
      <c r="D48" s="0" t="s">
        <v>1049</v>
      </c>
      <c r="E48" s="3" t="n">
        <f aca="false">SUMIFS(Tasks_Cost,Tasks_TaskID,$A48,Tasks_Tier,$D48,Tasks_Type,"base")</f>
        <v>161.160785</v>
      </c>
      <c r="F48" s="3" t="n">
        <f aca="false">SUMIFS(Tasks_Cost,Tasks_TaskID,$A48,Tasks_Tier,$D48,Tasks_Type,"as-needed")</f>
        <v>554</v>
      </c>
      <c r="G48" s="3" t="n">
        <f aca="false">SUMIFS(Tasks_Cost,Tasks_TaskID,$A48,Tasks_Tier,$D48,Tasks_Type,"flagged")</f>
        <v>0</v>
      </c>
      <c r="H48" s="3" t="n">
        <f aca="false">SUMIFS(Tasks_Cost,Tasks_TaskID,$A48,Tasks_Tier,$D48,Tasks_Type,"reference")</f>
        <v>0</v>
      </c>
      <c r="I48" s="0" t="n">
        <f aca="false">COUNTIFS(Tasks_TaskID,$A48,Tasks_Tier,$D48)</f>
        <v>3</v>
      </c>
      <c r="J48" s="3" t="n">
        <v>162</v>
      </c>
      <c r="K48" s="0" t="s">
        <v>1100</v>
      </c>
      <c r="L48" s="3" t="n">
        <f aca="false">IF(K48="reference",H48,E48)</f>
        <v>161.160785</v>
      </c>
      <c r="M48" s="9" t="n">
        <f aca="false">IF(J48="","",L48-J48)</f>
        <v>-0.839214999999996</v>
      </c>
      <c r="N48" s="0" t="s">
        <v>1870</v>
      </c>
      <c r="O48" s="0" t="s">
        <v>1231</v>
      </c>
      <c r="P48" s="8" t="s">
        <v>1232</v>
      </c>
    </row>
    <row r="49" customFormat="false" ht="17.15" hidden="false" customHeight="false" outlineLevel="0" collapsed="false">
      <c r="A49" s="0" t="s">
        <v>1228</v>
      </c>
      <c r="B49" s="0" t="s">
        <v>273</v>
      </c>
      <c r="C49" s="0" t="s">
        <v>1229</v>
      </c>
      <c r="D49" s="0" t="s">
        <v>1051</v>
      </c>
      <c r="E49" s="3" t="n">
        <f aca="false">SUMIFS(Tasks_Cost,Tasks_TaskID,$A49,Tasks_Tier,$D49,Tasks_Type,"base")</f>
        <v>143.231096</v>
      </c>
      <c r="F49" s="3" t="n">
        <f aca="false">SUMIFS(Tasks_Cost,Tasks_TaskID,$A49,Tasks_Tier,$D49,Tasks_Type,"as-needed")</f>
        <v>570</v>
      </c>
      <c r="G49" s="3" t="n">
        <f aca="false">SUMIFS(Tasks_Cost,Tasks_TaskID,$A49,Tasks_Tier,$D49,Tasks_Type,"flagged")</f>
        <v>0</v>
      </c>
      <c r="H49" s="3" t="n">
        <f aca="false">SUMIFS(Tasks_Cost,Tasks_TaskID,$A49,Tasks_Tier,$D49,Tasks_Type,"reference")</f>
        <v>0</v>
      </c>
      <c r="I49" s="0" t="n">
        <f aca="false">COUNTIFS(Tasks_TaskID,$A49,Tasks_Tier,$D49)</f>
        <v>3</v>
      </c>
      <c r="J49" s="3" t="n">
        <v>144</v>
      </c>
      <c r="K49" s="0" t="s">
        <v>1100</v>
      </c>
      <c r="L49" s="3" t="n">
        <f aca="false">IF(K49="reference",H49,E49)</f>
        <v>143.231096</v>
      </c>
      <c r="M49" s="9" t="n">
        <f aca="false">IF(J49="","",L49-J49)</f>
        <v>-0.768903999999992</v>
      </c>
      <c r="N49" s="0" t="s">
        <v>1870</v>
      </c>
      <c r="O49" s="0" t="s">
        <v>1231</v>
      </c>
      <c r="P49" s="8" t="s">
        <v>1232</v>
      </c>
    </row>
    <row r="50" customFormat="false" ht="17.15" hidden="false" customHeight="false" outlineLevel="0" collapsed="false">
      <c r="A50" s="0" t="s">
        <v>1249</v>
      </c>
      <c r="B50" s="0" t="s">
        <v>273</v>
      </c>
      <c r="C50" s="0" t="s">
        <v>1250</v>
      </c>
      <c r="D50" s="0" t="s">
        <v>1042</v>
      </c>
      <c r="E50" s="3" t="n">
        <f aca="false">SUMIFS(Tasks_Cost,Tasks_TaskID,$A50,Tasks_Tier,$D50,Tasks_Type,"base")</f>
        <v>30.65</v>
      </c>
      <c r="F50" s="3" t="n">
        <f aca="false">SUMIFS(Tasks_Cost,Tasks_TaskID,$A50,Tasks_Tier,$D50,Tasks_Type,"as-needed")</f>
        <v>420</v>
      </c>
      <c r="G50" s="3" t="n">
        <f aca="false">SUMIFS(Tasks_Cost,Tasks_TaskID,$A50,Tasks_Tier,$D50,Tasks_Type,"flagged")</f>
        <v>0</v>
      </c>
      <c r="H50" s="3" t="n">
        <f aca="false">SUMIFS(Tasks_Cost,Tasks_TaskID,$A50,Tasks_Tier,$D50,Tasks_Type,"reference")</f>
        <v>0</v>
      </c>
      <c r="I50" s="0" t="n">
        <f aca="false">COUNTIFS(Tasks_TaskID,$A50,Tasks_Tier,$D50)</f>
        <v>3</v>
      </c>
      <c r="J50" s="3" t="n">
        <v>31</v>
      </c>
      <c r="K50" s="0" t="s">
        <v>1100</v>
      </c>
      <c r="L50" s="3" t="n">
        <f aca="false">IF(K50="reference",H50,E50)</f>
        <v>30.65</v>
      </c>
      <c r="M50" s="9" t="n">
        <f aca="false">IF(J50="","",L50-J50)</f>
        <v>-0.350000000000001</v>
      </c>
      <c r="N50" s="0" t="s">
        <v>1870</v>
      </c>
      <c r="O50" s="0" t="s">
        <v>1252</v>
      </c>
      <c r="P50" s="8" t="s">
        <v>1253</v>
      </c>
    </row>
    <row r="51" customFormat="false" ht="17.15" hidden="false" customHeight="false" outlineLevel="0" collapsed="false">
      <c r="A51" s="0" t="s">
        <v>1249</v>
      </c>
      <c r="B51" s="0" t="s">
        <v>273</v>
      </c>
      <c r="C51" s="0" t="s">
        <v>1250</v>
      </c>
      <c r="D51" s="0" t="s">
        <v>1049</v>
      </c>
      <c r="E51" s="3" t="n">
        <f aca="false">SUMIFS(Tasks_Cost,Tasks_TaskID,$A51,Tasks_Tier,$D51,Tasks_Type,"base")</f>
        <v>60.19</v>
      </c>
      <c r="F51" s="3" t="n">
        <f aca="false">SUMIFS(Tasks_Cost,Tasks_TaskID,$A51,Tasks_Tier,$D51,Tasks_Type,"as-needed")</f>
        <v>420</v>
      </c>
      <c r="G51" s="3" t="n">
        <f aca="false">SUMIFS(Tasks_Cost,Tasks_TaskID,$A51,Tasks_Tier,$D51,Tasks_Type,"flagged")</f>
        <v>0</v>
      </c>
      <c r="H51" s="3" t="n">
        <f aca="false">SUMIFS(Tasks_Cost,Tasks_TaskID,$A51,Tasks_Tier,$D51,Tasks_Type,"reference")</f>
        <v>0</v>
      </c>
      <c r="I51" s="0" t="n">
        <f aca="false">COUNTIFS(Tasks_TaskID,$A51,Tasks_Tier,$D51)</f>
        <v>3</v>
      </c>
      <c r="J51" s="3" t="n">
        <v>61</v>
      </c>
      <c r="K51" s="0" t="s">
        <v>1100</v>
      </c>
      <c r="L51" s="3" t="n">
        <f aca="false">IF(K51="reference",H51,E51)</f>
        <v>60.19</v>
      </c>
      <c r="M51" s="9" t="n">
        <f aca="false">IF(J51="","",L51-J51)</f>
        <v>-0.810000000000002</v>
      </c>
      <c r="N51" s="0" t="s">
        <v>1870</v>
      </c>
      <c r="O51" s="0" t="s">
        <v>1252</v>
      </c>
      <c r="P51" s="8" t="s">
        <v>1253</v>
      </c>
    </row>
    <row r="52" customFormat="false" ht="17.15" hidden="false" customHeight="false" outlineLevel="0" collapsed="false">
      <c r="A52" s="0" t="s">
        <v>1249</v>
      </c>
      <c r="B52" s="0" t="s">
        <v>273</v>
      </c>
      <c r="C52" s="0" t="s">
        <v>1250</v>
      </c>
      <c r="D52" s="0" t="s">
        <v>1051</v>
      </c>
      <c r="E52" s="3" t="n">
        <f aca="false">SUMIFS(Tasks_Cost,Tasks_TaskID,$A52,Tasks_Tier,$D52,Tasks_Type,"base")</f>
        <v>60.19</v>
      </c>
      <c r="F52" s="3" t="n">
        <f aca="false">SUMIFS(Tasks_Cost,Tasks_TaskID,$A52,Tasks_Tier,$D52,Tasks_Type,"as-needed")</f>
        <v>420</v>
      </c>
      <c r="G52" s="3" t="n">
        <f aca="false">SUMIFS(Tasks_Cost,Tasks_TaskID,$A52,Tasks_Tier,$D52,Tasks_Type,"flagged")</f>
        <v>0</v>
      </c>
      <c r="H52" s="3" t="n">
        <f aca="false">SUMIFS(Tasks_Cost,Tasks_TaskID,$A52,Tasks_Tier,$D52,Tasks_Type,"reference")</f>
        <v>0</v>
      </c>
      <c r="I52" s="0" t="n">
        <f aca="false">COUNTIFS(Tasks_TaskID,$A52,Tasks_Tier,$D52)</f>
        <v>3</v>
      </c>
      <c r="J52" s="3" t="n">
        <v>61</v>
      </c>
      <c r="K52" s="0" t="s">
        <v>1100</v>
      </c>
      <c r="L52" s="3" t="n">
        <f aca="false">IF(K52="reference",H52,E52)</f>
        <v>60.19</v>
      </c>
      <c r="M52" s="9" t="n">
        <f aca="false">IF(J52="","",L52-J52)</f>
        <v>-0.810000000000002</v>
      </c>
      <c r="N52" s="0" t="s">
        <v>1870</v>
      </c>
      <c r="O52" s="0" t="s">
        <v>1252</v>
      </c>
      <c r="P52" s="8" t="s">
        <v>1253</v>
      </c>
    </row>
    <row r="53" customFormat="false" ht="17.15" hidden="false" customHeight="false" outlineLevel="0" collapsed="false">
      <c r="A53" s="0" t="s">
        <v>1267</v>
      </c>
      <c r="B53" s="0" t="s">
        <v>397</v>
      </c>
      <c r="C53" s="0" t="s">
        <v>1268</v>
      </c>
      <c r="D53" s="0" t="s">
        <v>1042</v>
      </c>
      <c r="E53" s="3" t="n">
        <f aca="false">SUMIFS(Tasks_Cost,Tasks_TaskID,$A53,Tasks_Tier,$D53,Tasks_Type,"base")</f>
        <v>1694</v>
      </c>
      <c r="F53" s="3" t="n">
        <f aca="false">SUMIFS(Tasks_Cost,Tasks_TaskID,$A53,Tasks_Tier,$D53,Tasks_Type,"as-needed")</f>
        <v>0</v>
      </c>
      <c r="G53" s="3" t="n">
        <f aca="false">SUMIFS(Tasks_Cost,Tasks_TaskID,$A53,Tasks_Tier,$D53,Tasks_Type,"flagged")</f>
        <v>0</v>
      </c>
      <c r="H53" s="3" t="n">
        <f aca="false">SUMIFS(Tasks_Cost,Tasks_TaskID,$A53,Tasks_Tier,$D53,Tasks_Type,"reference")</f>
        <v>0</v>
      </c>
      <c r="I53" s="0" t="n">
        <f aca="false">COUNTIFS(Tasks_TaskID,$A53,Tasks_Tier,$D53)</f>
        <v>3</v>
      </c>
      <c r="J53" s="3" t="n">
        <v>1694</v>
      </c>
      <c r="K53" s="0" t="s">
        <v>1100</v>
      </c>
      <c r="L53" s="3" t="n">
        <f aca="false">IF(K53="reference",H53,E53)</f>
        <v>1694</v>
      </c>
      <c r="M53" s="9" t="n">
        <f aca="false">IF(J53="","",L53-J53)</f>
        <v>0</v>
      </c>
      <c r="O53" s="0" t="s">
        <v>1270</v>
      </c>
      <c r="P53" s="8" t="s">
        <v>1271</v>
      </c>
    </row>
    <row r="54" customFormat="false" ht="17.15" hidden="false" customHeight="false" outlineLevel="0" collapsed="false">
      <c r="A54" s="0" t="s">
        <v>1267</v>
      </c>
      <c r="B54" s="0" t="s">
        <v>397</v>
      </c>
      <c r="C54" s="0" t="s">
        <v>1268</v>
      </c>
      <c r="D54" s="0" t="s">
        <v>1049</v>
      </c>
      <c r="E54" s="3" t="n">
        <f aca="false">SUMIFS(Tasks_Cost,Tasks_TaskID,$A54,Tasks_Tier,$D54,Tasks_Type,"base")</f>
        <v>2862</v>
      </c>
      <c r="F54" s="3" t="n">
        <f aca="false">SUMIFS(Tasks_Cost,Tasks_TaskID,$A54,Tasks_Tier,$D54,Tasks_Type,"as-needed")</f>
        <v>0</v>
      </c>
      <c r="G54" s="3" t="n">
        <f aca="false">SUMIFS(Tasks_Cost,Tasks_TaskID,$A54,Tasks_Tier,$D54,Tasks_Type,"flagged")</f>
        <v>0</v>
      </c>
      <c r="H54" s="3" t="n">
        <f aca="false">SUMIFS(Tasks_Cost,Tasks_TaskID,$A54,Tasks_Tier,$D54,Tasks_Type,"reference")</f>
        <v>0</v>
      </c>
      <c r="I54" s="0" t="n">
        <f aca="false">COUNTIFS(Tasks_TaskID,$A54,Tasks_Tier,$D54)</f>
        <v>3</v>
      </c>
      <c r="J54" s="3" t="n">
        <v>2862</v>
      </c>
      <c r="K54" s="0" t="s">
        <v>1100</v>
      </c>
      <c r="L54" s="3" t="n">
        <f aca="false">IF(K54="reference",H54,E54)</f>
        <v>2862</v>
      </c>
      <c r="M54" s="9" t="n">
        <f aca="false">IF(J54="","",L54-J54)</f>
        <v>0</v>
      </c>
      <c r="O54" s="0" t="s">
        <v>1270</v>
      </c>
      <c r="P54" s="8" t="s">
        <v>1271</v>
      </c>
    </row>
    <row r="55" customFormat="false" ht="17.15" hidden="false" customHeight="false" outlineLevel="0" collapsed="false">
      <c r="A55" s="0" t="s">
        <v>1267</v>
      </c>
      <c r="B55" s="0" t="s">
        <v>397</v>
      </c>
      <c r="C55" s="0" t="s">
        <v>1268</v>
      </c>
      <c r="D55" s="0" t="s">
        <v>1051</v>
      </c>
      <c r="E55" s="3" t="n">
        <f aca="false">SUMIFS(Tasks_Cost,Tasks_TaskID,$A55,Tasks_Tier,$D55,Tasks_Type,"base")</f>
        <v>3202</v>
      </c>
      <c r="F55" s="3" t="n">
        <f aca="false">SUMIFS(Tasks_Cost,Tasks_TaskID,$A55,Tasks_Tier,$D55,Tasks_Type,"as-needed")</f>
        <v>0</v>
      </c>
      <c r="G55" s="3" t="n">
        <f aca="false">SUMIFS(Tasks_Cost,Tasks_TaskID,$A55,Tasks_Tier,$D55,Tasks_Type,"flagged")</f>
        <v>0</v>
      </c>
      <c r="H55" s="3" t="n">
        <f aca="false">SUMIFS(Tasks_Cost,Tasks_TaskID,$A55,Tasks_Tier,$D55,Tasks_Type,"reference")</f>
        <v>0</v>
      </c>
      <c r="I55" s="0" t="n">
        <f aca="false">COUNTIFS(Tasks_TaskID,$A55,Tasks_Tier,$D55)</f>
        <v>3</v>
      </c>
      <c r="J55" s="3" t="n">
        <v>3202</v>
      </c>
      <c r="K55" s="0" t="s">
        <v>1100</v>
      </c>
      <c r="L55" s="3" t="n">
        <f aca="false">IF(K55="reference",H55,E55)</f>
        <v>3202</v>
      </c>
      <c r="M55" s="9" t="n">
        <f aca="false">IF(J55="","",L55-J55)</f>
        <v>0</v>
      </c>
      <c r="O55" s="0" t="s">
        <v>1270</v>
      </c>
      <c r="P55" s="8" t="s">
        <v>1271</v>
      </c>
    </row>
    <row r="56" customFormat="false" ht="15" hidden="false" customHeight="false" outlineLevel="0" collapsed="false">
      <c r="A56" s="0" t="s">
        <v>1284</v>
      </c>
      <c r="B56" s="0" t="s">
        <v>397</v>
      </c>
      <c r="C56" s="0" t="s">
        <v>1285</v>
      </c>
      <c r="D56" s="0" t="s">
        <v>1042</v>
      </c>
      <c r="E56" s="3" t="n">
        <f aca="false">SUMIFS(Tasks_Cost,Tasks_TaskID,$A56,Tasks_Tier,$D56,Tasks_Type,"base")</f>
        <v>398</v>
      </c>
      <c r="F56" s="3" t="n">
        <f aca="false">SUMIFS(Tasks_Cost,Tasks_TaskID,$A56,Tasks_Tier,$D56,Tasks_Type,"as-needed")</f>
        <v>0</v>
      </c>
      <c r="G56" s="3" t="n">
        <f aca="false">SUMIFS(Tasks_Cost,Tasks_TaskID,$A56,Tasks_Tier,$D56,Tasks_Type,"flagged")</f>
        <v>0</v>
      </c>
      <c r="H56" s="3" t="n">
        <f aca="false">SUMIFS(Tasks_Cost,Tasks_TaskID,$A56,Tasks_Tier,$D56,Tasks_Type,"reference")</f>
        <v>0</v>
      </c>
      <c r="I56" s="0" t="n">
        <f aca="false">COUNTIFS(Tasks_TaskID,$A56,Tasks_Tier,$D56)</f>
        <v>1</v>
      </c>
      <c r="J56" s="3" t="n">
        <v>398</v>
      </c>
      <c r="K56" s="0" t="s">
        <v>1100</v>
      </c>
      <c r="L56" s="3" t="n">
        <f aca="false">IF(K56="reference",H56,E56)</f>
        <v>398</v>
      </c>
      <c r="M56" s="9" t="n">
        <f aca="false">IF(J56="","",L56-J56)</f>
        <v>0</v>
      </c>
      <c r="O56" s="0" t="s">
        <v>1286</v>
      </c>
      <c r="P56" s="8" t="s">
        <v>1287</v>
      </c>
    </row>
    <row r="57" customFormat="false" ht="15" hidden="false" customHeight="false" outlineLevel="0" collapsed="false">
      <c r="A57" s="0" t="s">
        <v>1284</v>
      </c>
      <c r="B57" s="0" t="s">
        <v>397</v>
      </c>
      <c r="C57" s="0" t="s">
        <v>1285</v>
      </c>
      <c r="D57" s="0" t="s">
        <v>1049</v>
      </c>
      <c r="E57" s="3" t="n">
        <f aca="false">SUMIFS(Tasks_Cost,Tasks_TaskID,$A57,Tasks_Tier,$D57,Tasks_Type,"base")</f>
        <v>547</v>
      </c>
      <c r="F57" s="3" t="n">
        <f aca="false">SUMIFS(Tasks_Cost,Tasks_TaskID,$A57,Tasks_Tier,$D57,Tasks_Type,"as-needed")</f>
        <v>0</v>
      </c>
      <c r="G57" s="3" t="n">
        <f aca="false">SUMIFS(Tasks_Cost,Tasks_TaskID,$A57,Tasks_Tier,$D57,Tasks_Type,"flagged")</f>
        <v>0</v>
      </c>
      <c r="H57" s="3" t="n">
        <f aca="false">SUMIFS(Tasks_Cost,Tasks_TaskID,$A57,Tasks_Tier,$D57,Tasks_Type,"reference")</f>
        <v>0</v>
      </c>
      <c r="I57" s="0" t="n">
        <f aca="false">COUNTIFS(Tasks_TaskID,$A57,Tasks_Tier,$D57)</f>
        <v>1</v>
      </c>
      <c r="J57" s="3" t="n">
        <v>547</v>
      </c>
      <c r="K57" s="0" t="s">
        <v>1100</v>
      </c>
      <c r="L57" s="3" t="n">
        <f aca="false">IF(K57="reference",H57,E57)</f>
        <v>547</v>
      </c>
      <c r="M57" s="9" t="n">
        <f aca="false">IF(J57="","",L57-J57)</f>
        <v>0</v>
      </c>
      <c r="O57" s="0" t="s">
        <v>1286</v>
      </c>
      <c r="P57" s="8" t="s">
        <v>1287</v>
      </c>
    </row>
    <row r="58" customFormat="false" ht="15" hidden="false" customHeight="false" outlineLevel="0" collapsed="false">
      <c r="A58" s="0" t="s">
        <v>1284</v>
      </c>
      <c r="B58" s="0" t="s">
        <v>397</v>
      </c>
      <c r="C58" s="0" t="s">
        <v>1285</v>
      </c>
      <c r="D58" s="0" t="s">
        <v>1051</v>
      </c>
      <c r="E58" s="3" t="n">
        <f aca="false">SUMIFS(Tasks_Cost,Tasks_TaskID,$A58,Tasks_Tier,$D58,Tasks_Type,"base")</f>
        <v>583</v>
      </c>
      <c r="F58" s="3" t="n">
        <f aca="false">SUMIFS(Tasks_Cost,Tasks_TaskID,$A58,Tasks_Tier,$D58,Tasks_Type,"as-needed")</f>
        <v>0</v>
      </c>
      <c r="G58" s="3" t="n">
        <f aca="false">SUMIFS(Tasks_Cost,Tasks_TaskID,$A58,Tasks_Tier,$D58,Tasks_Type,"flagged")</f>
        <v>0</v>
      </c>
      <c r="H58" s="3" t="n">
        <f aca="false">SUMIFS(Tasks_Cost,Tasks_TaskID,$A58,Tasks_Tier,$D58,Tasks_Type,"reference")</f>
        <v>0</v>
      </c>
      <c r="I58" s="0" t="n">
        <f aca="false">COUNTIFS(Tasks_TaskID,$A58,Tasks_Tier,$D58)</f>
        <v>1</v>
      </c>
      <c r="J58" s="3" t="n">
        <v>583</v>
      </c>
      <c r="K58" s="0" t="s">
        <v>1100</v>
      </c>
      <c r="L58" s="3" t="n">
        <f aca="false">IF(K58="reference",H58,E58)</f>
        <v>583</v>
      </c>
      <c r="M58" s="9" t="n">
        <f aca="false">IF(J58="","",L58-J58)</f>
        <v>0</v>
      </c>
      <c r="O58" s="0" t="s">
        <v>1286</v>
      </c>
      <c r="P58" s="8" t="s">
        <v>1287</v>
      </c>
    </row>
    <row r="59" customFormat="false" ht="17.15" hidden="false" customHeight="false" outlineLevel="0" collapsed="false">
      <c r="A59" s="0" t="s">
        <v>1291</v>
      </c>
      <c r="B59" s="0" t="s">
        <v>397</v>
      </c>
      <c r="C59" s="0" t="s">
        <v>1292</v>
      </c>
      <c r="D59" s="0" t="s">
        <v>1042</v>
      </c>
      <c r="E59" s="3" t="n">
        <f aca="false">SUMIFS(Tasks_Cost,Tasks_TaskID,$A59,Tasks_Tier,$D59,Tasks_Type,"base")</f>
        <v>771.57653</v>
      </c>
      <c r="F59" s="3" t="n">
        <f aca="false">SUMIFS(Tasks_Cost,Tasks_TaskID,$A59,Tasks_Tier,$D59,Tasks_Type,"as-needed")</f>
        <v>573</v>
      </c>
      <c r="G59" s="3" t="n">
        <f aca="false">SUMIFS(Tasks_Cost,Tasks_TaskID,$A59,Tasks_Tier,$D59,Tasks_Type,"flagged")</f>
        <v>0</v>
      </c>
      <c r="H59" s="3" t="n">
        <f aca="false">SUMIFS(Tasks_Cost,Tasks_TaskID,$A59,Tasks_Tier,$D59,Tasks_Type,"reference")</f>
        <v>0</v>
      </c>
      <c r="I59" s="0" t="n">
        <f aca="false">COUNTIFS(Tasks_TaskID,$A59,Tasks_Tier,$D59)</f>
        <v>6</v>
      </c>
      <c r="J59" s="3" t="n">
        <v>771.730263157895</v>
      </c>
      <c r="K59" s="0" t="s">
        <v>1100</v>
      </c>
      <c r="L59" s="3" t="n">
        <f aca="false">IF(K59="reference",H59,E59)</f>
        <v>771.57653</v>
      </c>
      <c r="M59" s="9" t="n">
        <f aca="false">IF(J59="","",L59-J59)</f>
        <v>-0.153733157894749</v>
      </c>
      <c r="N59" s="0" t="s">
        <v>1870</v>
      </c>
      <c r="O59" s="0" t="s">
        <v>1294</v>
      </c>
      <c r="P59" s="8" t="s">
        <v>1295</v>
      </c>
    </row>
    <row r="60" customFormat="false" ht="17.15" hidden="false" customHeight="false" outlineLevel="0" collapsed="false">
      <c r="A60" s="0" t="s">
        <v>1291</v>
      </c>
      <c r="B60" s="0" t="s">
        <v>397</v>
      </c>
      <c r="C60" s="0" t="s">
        <v>1292</v>
      </c>
      <c r="D60" s="0" t="s">
        <v>1049</v>
      </c>
      <c r="E60" s="3" t="n">
        <f aca="false">SUMIFS(Tasks_Cost,Tasks_TaskID,$A60,Tasks_Tier,$D60,Tasks_Type,"base")</f>
        <v>1427.241375</v>
      </c>
      <c r="F60" s="3" t="n">
        <f aca="false">SUMIFS(Tasks_Cost,Tasks_TaskID,$A60,Tasks_Tier,$D60,Tasks_Type,"as-needed")</f>
        <v>573</v>
      </c>
      <c r="G60" s="3" t="n">
        <f aca="false">SUMIFS(Tasks_Cost,Tasks_TaskID,$A60,Tasks_Tier,$D60,Tasks_Type,"flagged")</f>
        <v>0</v>
      </c>
      <c r="H60" s="3" t="n">
        <f aca="false">SUMIFS(Tasks_Cost,Tasks_TaskID,$A60,Tasks_Tier,$D60,Tasks_Type,"reference")</f>
        <v>0</v>
      </c>
      <c r="I60" s="0" t="n">
        <f aca="false">COUNTIFS(Tasks_TaskID,$A60,Tasks_Tier,$D60)</f>
        <v>6</v>
      </c>
      <c r="J60" s="3" t="n">
        <v>1427.075</v>
      </c>
      <c r="K60" s="0" t="s">
        <v>1100</v>
      </c>
      <c r="L60" s="3" t="n">
        <f aca="false">IF(K60="reference",H60,E60)</f>
        <v>1427.241375</v>
      </c>
      <c r="M60" s="9" t="n">
        <f aca="false">IF(J60="","",L60-J60)</f>
        <v>0.166375000000016</v>
      </c>
      <c r="N60" s="0" t="s">
        <v>1870</v>
      </c>
      <c r="O60" s="0" t="s">
        <v>1294</v>
      </c>
      <c r="P60" s="8" t="s">
        <v>1295</v>
      </c>
    </row>
    <row r="61" customFormat="false" ht="17.15" hidden="false" customHeight="false" outlineLevel="0" collapsed="false">
      <c r="A61" s="0" t="s">
        <v>1291</v>
      </c>
      <c r="B61" s="0" t="s">
        <v>397</v>
      </c>
      <c r="C61" s="0" t="s">
        <v>1292</v>
      </c>
      <c r="D61" s="0" t="s">
        <v>1051</v>
      </c>
      <c r="E61" s="3" t="n">
        <f aca="false">SUMIFS(Tasks_Cost,Tasks_TaskID,$A61,Tasks_Tier,$D61,Tasks_Type,"base")</f>
        <v>1862.166375</v>
      </c>
      <c r="F61" s="3" t="n">
        <f aca="false">SUMIFS(Tasks_Cost,Tasks_TaskID,$A61,Tasks_Tier,$D61,Tasks_Type,"as-needed")</f>
        <v>573</v>
      </c>
      <c r="G61" s="3" t="n">
        <f aca="false">SUMIFS(Tasks_Cost,Tasks_TaskID,$A61,Tasks_Tier,$D61,Tasks_Type,"flagged")</f>
        <v>0</v>
      </c>
      <c r="H61" s="3" t="n">
        <f aca="false">SUMIFS(Tasks_Cost,Tasks_TaskID,$A61,Tasks_Tier,$D61,Tasks_Type,"reference")</f>
        <v>0</v>
      </c>
      <c r="I61" s="0" t="n">
        <f aca="false">COUNTIFS(Tasks_TaskID,$A61,Tasks_Tier,$D61)</f>
        <v>6</v>
      </c>
      <c r="J61" s="3" t="n">
        <v>1862</v>
      </c>
      <c r="K61" s="0" t="s">
        <v>1100</v>
      </c>
      <c r="L61" s="3" t="n">
        <f aca="false">IF(K61="reference",H61,E61)</f>
        <v>1862.166375</v>
      </c>
      <c r="M61" s="9" t="n">
        <f aca="false">IF(J61="","",L61-J61)</f>
        <v>0.166375000000016</v>
      </c>
      <c r="N61" s="0" t="s">
        <v>1870</v>
      </c>
      <c r="O61" s="0" t="s">
        <v>1294</v>
      </c>
      <c r="P61" s="8" t="s">
        <v>1295</v>
      </c>
    </row>
    <row r="62" customFormat="false" ht="17.15" hidden="false" customHeight="false" outlineLevel="0" collapsed="false">
      <c r="A62" s="0" t="s">
        <v>1318</v>
      </c>
      <c r="B62" s="0" t="s">
        <v>496</v>
      </c>
      <c r="C62" s="0" t="s">
        <v>1319</v>
      </c>
      <c r="D62" s="0" t="s">
        <v>1042</v>
      </c>
      <c r="E62" s="3" t="n">
        <f aca="false">SUMIFS(Tasks_Cost,Tasks_TaskID,$A62,Tasks_Tier,$D62,Tasks_Type,"base")</f>
        <v>1817</v>
      </c>
      <c r="F62" s="3" t="n">
        <f aca="false">SUMIFS(Tasks_Cost,Tasks_TaskID,$A62,Tasks_Tier,$D62,Tasks_Type,"as-needed")</f>
        <v>0</v>
      </c>
      <c r="G62" s="3" t="n">
        <f aca="false">SUMIFS(Tasks_Cost,Tasks_TaskID,$A62,Tasks_Tier,$D62,Tasks_Type,"flagged")</f>
        <v>0</v>
      </c>
      <c r="H62" s="3" t="n">
        <f aca="false">SUMIFS(Tasks_Cost,Tasks_TaskID,$A62,Tasks_Tier,$D62,Tasks_Type,"reference")</f>
        <v>0</v>
      </c>
      <c r="I62" s="0" t="n">
        <f aca="false">COUNTIFS(Tasks_TaskID,$A62,Tasks_Tier,$D62)</f>
        <v>3</v>
      </c>
      <c r="J62" s="3" t="n">
        <v>1817</v>
      </c>
      <c r="K62" s="0" t="s">
        <v>1100</v>
      </c>
      <c r="L62" s="3" t="n">
        <f aca="false">IF(K62="reference",H62,E62)</f>
        <v>1817</v>
      </c>
      <c r="M62" s="9" t="n">
        <f aca="false">IF(J62="","",L62-J62)</f>
        <v>0</v>
      </c>
      <c r="O62" s="0" t="s">
        <v>1321</v>
      </c>
      <c r="P62" s="8" t="s">
        <v>1322</v>
      </c>
    </row>
    <row r="63" customFormat="false" ht="17.15" hidden="false" customHeight="false" outlineLevel="0" collapsed="false">
      <c r="A63" s="0" t="s">
        <v>1318</v>
      </c>
      <c r="B63" s="0" t="s">
        <v>496</v>
      </c>
      <c r="C63" s="0" t="s">
        <v>1319</v>
      </c>
      <c r="D63" s="0" t="s">
        <v>1049</v>
      </c>
      <c r="E63" s="3" t="n">
        <f aca="false">SUMIFS(Tasks_Cost,Tasks_TaskID,$A63,Tasks_Tier,$D63,Tasks_Type,"base")</f>
        <v>4035</v>
      </c>
      <c r="F63" s="3" t="n">
        <f aca="false">SUMIFS(Tasks_Cost,Tasks_TaskID,$A63,Tasks_Tier,$D63,Tasks_Type,"as-needed")</f>
        <v>0</v>
      </c>
      <c r="G63" s="3" t="n">
        <f aca="false">SUMIFS(Tasks_Cost,Tasks_TaskID,$A63,Tasks_Tier,$D63,Tasks_Type,"flagged")</f>
        <v>0</v>
      </c>
      <c r="H63" s="3" t="n">
        <f aca="false">SUMIFS(Tasks_Cost,Tasks_TaskID,$A63,Tasks_Tier,$D63,Tasks_Type,"reference")</f>
        <v>0</v>
      </c>
      <c r="I63" s="0" t="n">
        <f aca="false">COUNTIFS(Tasks_TaskID,$A63,Tasks_Tier,$D63)</f>
        <v>3</v>
      </c>
      <c r="J63" s="3" t="n">
        <v>3019</v>
      </c>
      <c r="K63" s="0" t="s">
        <v>1100</v>
      </c>
      <c r="L63" s="3" t="n">
        <f aca="false">IF(K63="reference",H63,E63)</f>
        <v>4035</v>
      </c>
      <c r="M63" s="9" t="n">
        <f aca="false">IF(J63="","",L63-J63)</f>
        <v>1016</v>
      </c>
      <c r="O63" s="0" t="s">
        <v>1321</v>
      </c>
      <c r="P63" s="8" t="s">
        <v>1322</v>
      </c>
    </row>
    <row r="64" customFormat="false" ht="17.15" hidden="false" customHeight="false" outlineLevel="0" collapsed="false">
      <c r="A64" s="0" t="s">
        <v>1318</v>
      </c>
      <c r="B64" s="0" t="s">
        <v>496</v>
      </c>
      <c r="C64" s="0" t="s">
        <v>1319</v>
      </c>
      <c r="D64" s="0" t="s">
        <v>1051</v>
      </c>
      <c r="E64" s="3" t="n">
        <f aca="false">SUMIFS(Tasks_Cost,Tasks_TaskID,$A64,Tasks_Tier,$D64,Tasks_Type,"base")</f>
        <v>3737</v>
      </c>
      <c r="F64" s="3" t="n">
        <f aca="false">SUMIFS(Tasks_Cost,Tasks_TaskID,$A64,Tasks_Tier,$D64,Tasks_Type,"as-needed")</f>
        <v>0</v>
      </c>
      <c r="G64" s="3" t="n">
        <f aca="false">SUMIFS(Tasks_Cost,Tasks_TaskID,$A64,Tasks_Tier,$D64,Tasks_Type,"flagged")</f>
        <v>0</v>
      </c>
      <c r="H64" s="3" t="n">
        <f aca="false">SUMIFS(Tasks_Cost,Tasks_TaskID,$A64,Tasks_Tier,$D64,Tasks_Type,"reference")</f>
        <v>0</v>
      </c>
      <c r="I64" s="0" t="n">
        <f aca="false">COUNTIFS(Tasks_TaskID,$A64,Tasks_Tier,$D64)</f>
        <v>3</v>
      </c>
      <c r="J64" s="3" t="n">
        <v>3737</v>
      </c>
      <c r="K64" s="0" t="s">
        <v>1100</v>
      </c>
      <c r="L64" s="3" t="n">
        <f aca="false">IF(K64="reference",H64,E64)</f>
        <v>3737</v>
      </c>
      <c r="M64" s="9" t="n">
        <f aca="false">IF(J64="","",L64-J64)</f>
        <v>0</v>
      </c>
      <c r="O64" s="0" t="s">
        <v>1321</v>
      </c>
      <c r="P64" s="8" t="s">
        <v>1322</v>
      </c>
    </row>
    <row r="65" customFormat="false" ht="17.15" hidden="false" customHeight="false" outlineLevel="0" collapsed="false">
      <c r="A65" s="0" t="s">
        <v>1334</v>
      </c>
      <c r="B65" s="0" t="s">
        <v>496</v>
      </c>
      <c r="C65" s="0" t="s">
        <v>1335</v>
      </c>
      <c r="D65" s="0" t="s">
        <v>1042</v>
      </c>
      <c r="E65" s="3" t="n">
        <f aca="false">SUMIFS(Tasks_Cost,Tasks_TaskID,$A65,Tasks_Tier,$D65,Tasks_Type,"base")</f>
        <v>3083</v>
      </c>
      <c r="F65" s="3" t="n">
        <f aca="false">SUMIFS(Tasks_Cost,Tasks_TaskID,$A65,Tasks_Tier,$D65,Tasks_Type,"as-needed")</f>
        <v>0</v>
      </c>
      <c r="G65" s="3" t="n">
        <f aca="false">SUMIFS(Tasks_Cost,Tasks_TaskID,$A65,Tasks_Tier,$D65,Tasks_Type,"flagged")</f>
        <v>0</v>
      </c>
      <c r="H65" s="3" t="n">
        <f aca="false">SUMIFS(Tasks_Cost,Tasks_TaskID,$A65,Tasks_Tier,$D65,Tasks_Type,"reference")</f>
        <v>0</v>
      </c>
      <c r="I65" s="0" t="n">
        <f aca="false">COUNTIFS(Tasks_TaskID,$A65,Tasks_Tier,$D65)</f>
        <v>8</v>
      </c>
      <c r="J65" s="3" t="n">
        <v>3083</v>
      </c>
      <c r="K65" s="0" t="s">
        <v>1100</v>
      </c>
      <c r="L65" s="3" t="n">
        <f aca="false">IF(K65="reference",H65,E65)</f>
        <v>3083</v>
      </c>
      <c r="M65" s="9" t="n">
        <f aca="false">IF(J65="","",L65-J65)</f>
        <v>0</v>
      </c>
      <c r="O65" s="0" t="s">
        <v>1337</v>
      </c>
      <c r="P65" s="8" t="s">
        <v>1338</v>
      </c>
    </row>
    <row r="66" customFormat="false" ht="17.15" hidden="false" customHeight="false" outlineLevel="0" collapsed="false">
      <c r="A66" s="0" t="s">
        <v>1334</v>
      </c>
      <c r="B66" s="0" t="s">
        <v>496</v>
      </c>
      <c r="C66" s="0" t="s">
        <v>1335</v>
      </c>
      <c r="D66" s="0" t="s">
        <v>1049</v>
      </c>
      <c r="E66" s="3" t="n">
        <f aca="false">SUMIFS(Tasks_Cost,Tasks_TaskID,$A66,Tasks_Tier,$D66,Tasks_Type,"base")</f>
        <v>3147.32</v>
      </c>
      <c r="F66" s="3" t="n">
        <f aca="false">SUMIFS(Tasks_Cost,Tasks_TaskID,$A66,Tasks_Tier,$D66,Tasks_Type,"as-needed")</f>
        <v>0</v>
      </c>
      <c r="G66" s="3" t="n">
        <f aca="false">SUMIFS(Tasks_Cost,Tasks_TaskID,$A66,Tasks_Tier,$D66,Tasks_Type,"flagged")</f>
        <v>0</v>
      </c>
      <c r="H66" s="3" t="n">
        <f aca="false">SUMIFS(Tasks_Cost,Tasks_TaskID,$A66,Tasks_Tier,$D66,Tasks_Type,"reference")</f>
        <v>0</v>
      </c>
      <c r="I66" s="0" t="n">
        <f aca="false">COUNTIFS(Tasks_TaskID,$A66,Tasks_Tier,$D66)</f>
        <v>8</v>
      </c>
      <c r="J66" s="3" t="n">
        <v>3147</v>
      </c>
      <c r="K66" s="0" t="s">
        <v>1100</v>
      </c>
      <c r="L66" s="3" t="n">
        <f aca="false">IF(K66="reference",H66,E66)</f>
        <v>3147.32</v>
      </c>
      <c r="M66" s="9" t="n">
        <f aca="false">IF(J66="","",L66-J66)</f>
        <v>0.320000000000164</v>
      </c>
      <c r="N66" s="0" t="s">
        <v>1871</v>
      </c>
      <c r="O66" s="0" t="s">
        <v>1337</v>
      </c>
      <c r="P66" s="8" t="s">
        <v>1338</v>
      </c>
    </row>
    <row r="67" customFormat="false" ht="17.15" hidden="false" customHeight="false" outlineLevel="0" collapsed="false">
      <c r="A67" s="0" t="s">
        <v>1334</v>
      </c>
      <c r="B67" s="0" t="s">
        <v>496</v>
      </c>
      <c r="C67" s="0" t="s">
        <v>1335</v>
      </c>
      <c r="D67" s="0" t="s">
        <v>1051</v>
      </c>
      <c r="E67" s="3" t="n">
        <f aca="false">SUMIFS(Tasks_Cost,Tasks_TaskID,$A67,Tasks_Tier,$D67,Tasks_Type,"base")</f>
        <v>10763</v>
      </c>
      <c r="F67" s="3" t="n">
        <f aca="false">SUMIFS(Tasks_Cost,Tasks_TaskID,$A67,Tasks_Tier,$D67,Tasks_Type,"as-needed")</f>
        <v>0</v>
      </c>
      <c r="G67" s="3" t="n">
        <f aca="false">SUMIFS(Tasks_Cost,Tasks_TaskID,$A67,Tasks_Tier,$D67,Tasks_Type,"flagged")</f>
        <v>0</v>
      </c>
      <c r="H67" s="3" t="n">
        <f aca="false">SUMIFS(Tasks_Cost,Tasks_TaskID,$A67,Tasks_Tier,$D67,Tasks_Type,"reference")</f>
        <v>0</v>
      </c>
      <c r="I67" s="0" t="n">
        <f aca="false">COUNTIFS(Tasks_TaskID,$A67,Tasks_Tier,$D67)</f>
        <v>7</v>
      </c>
      <c r="J67" s="3" t="n">
        <v>10763</v>
      </c>
      <c r="K67" s="0" t="s">
        <v>1100</v>
      </c>
      <c r="L67" s="3" t="n">
        <f aca="false">IF(K67="reference",H67,E67)</f>
        <v>10763</v>
      </c>
      <c r="M67" s="9" t="n">
        <f aca="false">IF(J67="","",L67-J67)</f>
        <v>0</v>
      </c>
      <c r="O67" s="0" t="s">
        <v>1337</v>
      </c>
      <c r="P67" s="8" t="s">
        <v>1338</v>
      </c>
    </row>
    <row r="68" customFormat="false" ht="17.15" hidden="false" customHeight="false" outlineLevel="0" collapsed="false">
      <c r="A68" s="0" t="s">
        <v>1365</v>
      </c>
      <c r="B68" s="0" t="s">
        <v>496</v>
      </c>
      <c r="C68" s="0" t="s">
        <v>1366</v>
      </c>
      <c r="D68" s="0" t="s">
        <v>1042</v>
      </c>
      <c r="E68" s="3" t="n">
        <f aca="false">SUMIFS(Tasks_Cost,Tasks_TaskID,$A68,Tasks_Tier,$D68,Tasks_Type,"base")</f>
        <v>320</v>
      </c>
      <c r="F68" s="3" t="n">
        <f aca="false">SUMIFS(Tasks_Cost,Tasks_TaskID,$A68,Tasks_Tier,$D68,Tasks_Type,"as-needed")</f>
        <v>0</v>
      </c>
      <c r="G68" s="3" t="n">
        <f aca="false">SUMIFS(Tasks_Cost,Tasks_TaskID,$A68,Tasks_Tier,$D68,Tasks_Type,"flagged")</f>
        <v>0</v>
      </c>
      <c r="H68" s="3" t="n">
        <f aca="false">SUMIFS(Tasks_Cost,Tasks_TaskID,$A68,Tasks_Tier,$D68,Tasks_Type,"reference")</f>
        <v>0</v>
      </c>
      <c r="I68" s="0" t="n">
        <f aca="false">COUNTIFS(Tasks_TaskID,$A68,Tasks_Tier,$D68)</f>
        <v>1</v>
      </c>
      <c r="J68" s="3" t="n">
        <v>320</v>
      </c>
      <c r="K68" s="0" t="s">
        <v>1100</v>
      </c>
      <c r="L68" s="3" t="n">
        <f aca="false">IF(K68="reference",H68,E68)</f>
        <v>320</v>
      </c>
      <c r="M68" s="9" t="n">
        <f aca="false">IF(J68="","",L68-J68)</f>
        <v>0</v>
      </c>
      <c r="O68" s="0" t="s">
        <v>1367</v>
      </c>
      <c r="P68" s="8" t="s">
        <v>1368</v>
      </c>
    </row>
    <row r="69" customFormat="false" ht="17.15" hidden="false" customHeight="false" outlineLevel="0" collapsed="false">
      <c r="A69" s="0" t="s">
        <v>1365</v>
      </c>
      <c r="B69" s="0" t="s">
        <v>496</v>
      </c>
      <c r="C69" s="0" t="s">
        <v>1366</v>
      </c>
      <c r="D69" s="0" t="s">
        <v>1049</v>
      </c>
      <c r="E69" s="3" t="n">
        <f aca="false">SUMIFS(Tasks_Cost,Tasks_TaskID,$A69,Tasks_Tier,$D69,Tasks_Type,"base")</f>
        <v>358</v>
      </c>
      <c r="F69" s="3" t="n">
        <f aca="false">SUMIFS(Tasks_Cost,Tasks_TaskID,$A69,Tasks_Tier,$D69,Tasks_Type,"as-needed")</f>
        <v>0</v>
      </c>
      <c r="G69" s="3" t="n">
        <f aca="false">SUMIFS(Tasks_Cost,Tasks_TaskID,$A69,Tasks_Tier,$D69,Tasks_Type,"flagged")</f>
        <v>0</v>
      </c>
      <c r="H69" s="3" t="n">
        <f aca="false">SUMIFS(Tasks_Cost,Tasks_TaskID,$A69,Tasks_Tier,$D69,Tasks_Type,"reference")</f>
        <v>0</v>
      </c>
      <c r="I69" s="0" t="n">
        <f aca="false">COUNTIFS(Tasks_TaskID,$A69,Tasks_Tier,$D69)</f>
        <v>1</v>
      </c>
      <c r="J69" s="3" t="n">
        <v>358</v>
      </c>
      <c r="K69" s="0" t="s">
        <v>1100</v>
      </c>
      <c r="L69" s="3" t="n">
        <f aca="false">IF(K69="reference",H69,E69)</f>
        <v>358</v>
      </c>
      <c r="M69" s="9" t="n">
        <f aca="false">IF(J69="","",L69-J69)</f>
        <v>0</v>
      </c>
      <c r="O69" s="0" t="s">
        <v>1367</v>
      </c>
      <c r="P69" s="8" t="s">
        <v>1368</v>
      </c>
    </row>
    <row r="70" customFormat="false" ht="17.15" hidden="false" customHeight="false" outlineLevel="0" collapsed="false">
      <c r="A70" s="0" t="s">
        <v>1365</v>
      </c>
      <c r="B70" s="0" t="s">
        <v>496</v>
      </c>
      <c r="C70" s="0" t="s">
        <v>1366</v>
      </c>
      <c r="D70" s="0" t="s">
        <v>1051</v>
      </c>
      <c r="E70" s="3" t="n">
        <f aca="false">SUMIFS(Tasks_Cost,Tasks_TaskID,$A70,Tasks_Tier,$D70,Tasks_Type,"base")</f>
        <v>1105</v>
      </c>
      <c r="F70" s="3" t="n">
        <f aca="false">SUMIFS(Tasks_Cost,Tasks_TaskID,$A70,Tasks_Tier,$D70,Tasks_Type,"as-needed")</f>
        <v>0</v>
      </c>
      <c r="G70" s="3" t="n">
        <f aca="false">SUMIFS(Tasks_Cost,Tasks_TaskID,$A70,Tasks_Tier,$D70,Tasks_Type,"flagged")</f>
        <v>0</v>
      </c>
      <c r="H70" s="3" t="n">
        <f aca="false">SUMIFS(Tasks_Cost,Tasks_TaskID,$A70,Tasks_Tier,$D70,Tasks_Type,"reference")</f>
        <v>0</v>
      </c>
      <c r="I70" s="0" t="n">
        <f aca="false">COUNTIFS(Tasks_TaskID,$A70,Tasks_Tier,$D70)</f>
        <v>1</v>
      </c>
      <c r="J70" s="3" t="n">
        <v>1105</v>
      </c>
      <c r="K70" s="0" t="s">
        <v>1100</v>
      </c>
      <c r="L70" s="3" t="n">
        <f aca="false">IF(K70="reference",H70,E70)</f>
        <v>1105</v>
      </c>
      <c r="M70" s="9" t="n">
        <f aca="false">IF(J70="","",L70-J70)</f>
        <v>0</v>
      </c>
      <c r="O70" s="0" t="s">
        <v>1367</v>
      </c>
      <c r="P70" s="8" t="s">
        <v>1368</v>
      </c>
    </row>
    <row r="71" customFormat="false" ht="17.15" hidden="false" customHeight="false" outlineLevel="0" collapsed="false">
      <c r="A71" s="0" t="s">
        <v>1372</v>
      </c>
      <c r="B71" s="0" t="s">
        <v>590</v>
      </c>
      <c r="C71" s="0" t="s">
        <v>1373</v>
      </c>
      <c r="D71" s="0" t="s">
        <v>1042</v>
      </c>
      <c r="E71" s="3" t="n">
        <f aca="false">SUMIFS(Tasks_Cost,Tasks_TaskID,$A71,Tasks_Tier,$D71,Tasks_Type,"base")</f>
        <v>102</v>
      </c>
      <c r="F71" s="3" t="n">
        <f aca="false">SUMIFS(Tasks_Cost,Tasks_TaskID,$A71,Tasks_Tier,$D71,Tasks_Type,"as-needed")</f>
        <v>37</v>
      </c>
      <c r="G71" s="3" t="n">
        <f aca="false">SUMIFS(Tasks_Cost,Tasks_TaskID,$A71,Tasks_Tier,$D71,Tasks_Type,"flagged")</f>
        <v>0</v>
      </c>
      <c r="H71" s="3" t="n">
        <f aca="false">SUMIFS(Tasks_Cost,Tasks_TaskID,$A71,Tasks_Tier,$D71,Tasks_Type,"reference")</f>
        <v>0</v>
      </c>
      <c r="I71" s="0" t="n">
        <f aca="false">COUNTIFS(Tasks_TaskID,$A71,Tasks_Tier,$D71)</f>
        <v>2</v>
      </c>
      <c r="J71" s="3" t="n">
        <v>102</v>
      </c>
      <c r="K71" s="0" t="s">
        <v>1100</v>
      </c>
      <c r="L71" s="3" t="n">
        <f aca="false">IF(K71="reference",H71,E71)</f>
        <v>102</v>
      </c>
      <c r="M71" s="9" t="n">
        <f aca="false">IF(J71="","",L71-J71)</f>
        <v>0</v>
      </c>
      <c r="O71" s="0" t="s">
        <v>1376</v>
      </c>
      <c r="P71" s="8" t="s">
        <v>1377</v>
      </c>
    </row>
    <row r="72" customFormat="false" ht="17.15" hidden="false" customHeight="false" outlineLevel="0" collapsed="false">
      <c r="A72" s="0" t="s">
        <v>1372</v>
      </c>
      <c r="B72" s="0" t="s">
        <v>590</v>
      </c>
      <c r="C72" s="0" t="s">
        <v>1373</v>
      </c>
      <c r="D72" s="0" t="s">
        <v>1049</v>
      </c>
      <c r="E72" s="3" t="n">
        <f aca="false">SUMIFS(Tasks_Cost,Tasks_TaskID,$A72,Tasks_Tier,$D72,Tasks_Type,"base")</f>
        <v>107</v>
      </c>
      <c r="F72" s="3" t="n">
        <f aca="false">SUMIFS(Tasks_Cost,Tasks_TaskID,$A72,Tasks_Tier,$D72,Tasks_Type,"as-needed")</f>
        <v>37</v>
      </c>
      <c r="G72" s="3" t="n">
        <f aca="false">SUMIFS(Tasks_Cost,Tasks_TaskID,$A72,Tasks_Tier,$D72,Tasks_Type,"flagged")</f>
        <v>0</v>
      </c>
      <c r="H72" s="3" t="n">
        <f aca="false">SUMIFS(Tasks_Cost,Tasks_TaskID,$A72,Tasks_Tier,$D72,Tasks_Type,"reference")</f>
        <v>0</v>
      </c>
      <c r="I72" s="0" t="n">
        <f aca="false">COUNTIFS(Tasks_TaskID,$A72,Tasks_Tier,$D72)</f>
        <v>2</v>
      </c>
      <c r="J72" s="3" t="n">
        <v>107</v>
      </c>
      <c r="K72" s="0" t="s">
        <v>1100</v>
      </c>
      <c r="L72" s="3" t="n">
        <f aca="false">IF(K72="reference",H72,E72)</f>
        <v>107</v>
      </c>
      <c r="M72" s="9" t="n">
        <f aca="false">IF(J72="","",L72-J72)</f>
        <v>0</v>
      </c>
      <c r="O72" s="0" t="s">
        <v>1376</v>
      </c>
      <c r="P72" s="8" t="s">
        <v>1377</v>
      </c>
    </row>
    <row r="73" customFormat="false" ht="17.15" hidden="false" customHeight="false" outlineLevel="0" collapsed="false">
      <c r="A73" s="0" t="s">
        <v>1372</v>
      </c>
      <c r="B73" s="0" t="s">
        <v>590</v>
      </c>
      <c r="C73" s="0" t="s">
        <v>1373</v>
      </c>
      <c r="D73" s="0" t="s">
        <v>1051</v>
      </c>
      <c r="E73" s="3" t="n">
        <f aca="false">SUMIFS(Tasks_Cost,Tasks_TaskID,$A73,Tasks_Tier,$D73,Tasks_Type,"base")</f>
        <v>156</v>
      </c>
      <c r="F73" s="3" t="n">
        <f aca="false">SUMIFS(Tasks_Cost,Tasks_TaskID,$A73,Tasks_Tier,$D73,Tasks_Type,"as-needed")</f>
        <v>37</v>
      </c>
      <c r="G73" s="3" t="n">
        <f aca="false">SUMIFS(Tasks_Cost,Tasks_TaskID,$A73,Tasks_Tier,$D73,Tasks_Type,"flagged")</f>
        <v>0</v>
      </c>
      <c r="H73" s="3" t="n">
        <f aca="false">SUMIFS(Tasks_Cost,Tasks_TaskID,$A73,Tasks_Tier,$D73,Tasks_Type,"reference")</f>
        <v>0</v>
      </c>
      <c r="I73" s="0" t="n">
        <f aca="false">COUNTIFS(Tasks_TaskID,$A73,Tasks_Tier,$D73)</f>
        <v>2</v>
      </c>
      <c r="J73" s="3" t="n">
        <v>156</v>
      </c>
      <c r="K73" s="0" t="s">
        <v>1100</v>
      </c>
      <c r="L73" s="3" t="n">
        <f aca="false">IF(K73="reference",H73,E73)</f>
        <v>156</v>
      </c>
      <c r="M73" s="9" t="n">
        <f aca="false">IF(J73="","",L73-J73)</f>
        <v>0</v>
      </c>
      <c r="O73" s="0" t="s">
        <v>1376</v>
      </c>
      <c r="P73" s="8" t="s">
        <v>1377</v>
      </c>
    </row>
    <row r="74" customFormat="false" ht="17.15" hidden="false" customHeight="false" outlineLevel="0" collapsed="false">
      <c r="A74" s="0" t="s">
        <v>1386</v>
      </c>
      <c r="B74" s="0" t="s">
        <v>618</v>
      </c>
      <c r="C74" s="0" t="s">
        <v>1387</v>
      </c>
      <c r="D74" s="0" t="s">
        <v>1042</v>
      </c>
      <c r="E74" s="3" t="n">
        <f aca="false">SUMIFS(Tasks_Cost,Tasks_TaskID,$A74,Tasks_Tier,$D74,Tasks_Type,"base")</f>
        <v>34.25</v>
      </c>
      <c r="F74" s="3" t="n">
        <f aca="false">SUMIFS(Tasks_Cost,Tasks_TaskID,$A74,Tasks_Tier,$D74,Tasks_Type,"as-needed")</f>
        <v>0</v>
      </c>
      <c r="G74" s="3" t="n">
        <f aca="false">SUMIFS(Tasks_Cost,Tasks_TaskID,$A74,Tasks_Tier,$D74,Tasks_Type,"flagged")</f>
        <v>0</v>
      </c>
      <c r="H74" s="3" t="n">
        <f aca="false">SUMIFS(Tasks_Cost,Tasks_TaskID,$A74,Tasks_Tier,$D74,Tasks_Type,"reference")</f>
        <v>0</v>
      </c>
      <c r="I74" s="0" t="n">
        <f aca="false">COUNTIFS(Tasks_TaskID,$A74,Tasks_Tier,$D74)</f>
        <v>2</v>
      </c>
      <c r="J74" s="3" t="n">
        <v>34.25</v>
      </c>
      <c r="K74" s="0" t="s">
        <v>1100</v>
      </c>
      <c r="L74" s="3" t="n">
        <f aca="false">IF(K74="reference",H74,E74)</f>
        <v>34.25</v>
      </c>
      <c r="M74" s="9" t="n">
        <f aca="false">IF(J74="","",L74-J74)</f>
        <v>0</v>
      </c>
      <c r="N74" s="0" t="s">
        <v>1872</v>
      </c>
      <c r="O74" s="0" t="s">
        <v>1390</v>
      </c>
      <c r="P74" s="8" t="s">
        <v>1391</v>
      </c>
    </row>
    <row r="75" customFormat="false" ht="17.15" hidden="false" customHeight="false" outlineLevel="0" collapsed="false">
      <c r="A75" s="0" t="s">
        <v>1386</v>
      </c>
      <c r="B75" s="0" t="s">
        <v>618</v>
      </c>
      <c r="C75" s="0" t="s">
        <v>1387</v>
      </c>
      <c r="D75" s="0" t="s">
        <v>1049</v>
      </c>
      <c r="E75" s="3" t="n">
        <f aca="false">SUMIFS(Tasks_Cost,Tasks_TaskID,$A75,Tasks_Tier,$D75,Tasks_Type,"base")</f>
        <v>40</v>
      </c>
      <c r="F75" s="3" t="n">
        <f aca="false">SUMIFS(Tasks_Cost,Tasks_TaskID,$A75,Tasks_Tier,$D75,Tasks_Type,"as-needed")</f>
        <v>0</v>
      </c>
      <c r="G75" s="3" t="n">
        <f aca="false">SUMIFS(Tasks_Cost,Tasks_TaskID,$A75,Tasks_Tier,$D75,Tasks_Type,"flagged")</f>
        <v>0</v>
      </c>
      <c r="H75" s="3" t="n">
        <f aca="false">SUMIFS(Tasks_Cost,Tasks_TaskID,$A75,Tasks_Tier,$D75,Tasks_Type,"reference")</f>
        <v>0</v>
      </c>
      <c r="I75" s="0" t="n">
        <f aca="false">COUNTIFS(Tasks_TaskID,$A75,Tasks_Tier,$D75)</f>
        <v>2</v>
      </c>
      <c r="J75" s="3" t="n">
        <v>40</v>
      </c>
      <c r="K75" s="0" t="s">
        <v>1100</v>
      </c>
      <c r="L75" s="3" t="n">
        <f aca="false">IF(K75="reference",H75,E75)</f>
        <v>40</v>
      </c>
      <c r="M75" s="9" t="n">
        <f aca="false">IF(J75="","",L75-J75)</f>
        <v>0</v>
      </c>
      <c r="N75" s="0" t="s">
        <v>1872</v>
      </c>
      <c r="O75" s="0" t="s">
        <v>1390</v>
      </c>
      <c r="P75" s="8" t="s">
        <v>1391</v>
      </c>
    </row>
    <row r="76" customFormat="false" ht="17.15" hidden="false" customHeight="false" outlineLevel="0" collapsed="false">
      <c r="A76" s="0" t="s">
        <v>1386</v>
      </c>
      <c r="B76" s="0" t="s">
        <v>618</v>
      </c>
      <c r="C76" s="0" t="s">
        <v>1387</v>
      </c>
      <c r="D76" s="0" t="s">
        <v>1051</v>
      </c>
      <c r="E76" s="3" t="n">
        <f aca="false">SUMIFS(Tasks_Cost,Tasks_TaskID,$A76,Tasks_Tier,$D76,Tasks_Type,"base")</f>
        <v>56.3175</v>
      </c>
      <c r="F76" s="3" t="n">
        <f aca="false">SUMIFS(Tasks_Cost,Tasks_TaskID,$A76,Tasks_Tier,$D76,Tasks_Type,"as-needed")</f>
        <v>0</v>
      </c>
      <c r="G76" s="3" t="n">
        <f aca="false">SUMIFS(Tasks_Cost,Tasks_TaskID,$A76,Tasks_Tier,$D76,Tasks_Type,"flagged")</f>
        <v>0</v>
      </c>
      <c r="H76" s="3" t="n">
        <f aca="false">SUMIFS(Tasks_Cost,Tasks_TaskID,$A76,Tasks_Tier,$D76,Tasks_Type,"reference")</f>
        <v>0</v>
      </c>
      <c r="I76" s="0" t="n">
        <f aca="false">COUNTIFS(Tasks_TaskID,$A76,Tasks_Tier,$D76)</f>
        <v>2</v>
      </c>
      <c r="J76" s="3" t="n">
        <v>56.32</v>
      </c>
      <c r="K76" s="0" t="s">
        <v>1100</v>
      </c>
      <c r="L76" s="3" t="n">
        <f aca="false">IF(K76="reference",H76,E76)</f>
        <v>56.3175</v>
      </c>
      <c r="M76" s="9" t="n">
        <f aca="false">IF(J76="","",L76-J76)</f>
        <v>-0.00249999999999773</v>
      </c>
      <c r="N76" s="0" t="s">
        <v>1872</v>
      </c>
      <c r="O76" s="0" t="s">
        <v>1390</v>
      </c>
      <c r="P76" s="8" t="s">
        <v>1391</v>
      </c>
    </row>
    <row r="77" customFormat="false" ht="17.15" hidden="false" customHeight="false" outlineLevel="0" collapsed="false">
      <c r="A77" s="0" t="s">
        <v>1396</v>
      </c>
      <c r="B77" s="0" t="s">
        <v>618</v>
      </c>
      <c r="C77" s="0" t="s">
        <v>1397</v>
      </c>
      <c r="D77" s="0" t="s">
        <v>1042</v>
      </c>
      <c r="E77" s="3" t="n">
        <f aca="false">SUMIFS(Tasks_Cost,Tasks_TaskID,$A77,Tasks_Tier,$D77,Tasks_Type,"base")</f>
        <v>34.25</v>
      </c>
      <c r="F77" s="3" t="n">
        <f aca="false">SUMIFS(Tasks_Cost,Tasks_TaskID,$A77,Tasks_Tier,$D77,Tasks_Type,"as-needed")</f>
        <v>0</v>
      </c>
      <c r="G77" s="3" t="n">
        <f aca="false">SUMIFS(Tasks_Cost,Tasks_TaskID,$A77,Tasks_Tier,$D77,Tasks_Type,"flagged")</f>
        <v>0</v>
      </c>
      <c r="H77" s="3" t="n">
        <f aca="false">SUMIFS(Tasks_Cost,Tasks_TaskID,$A77,Tasks_Tier,$D77,Tasks_Type,"reference")</f>
        <v>0</v>
      </c>
      <c r="I77" s="0" t="n">
        <f aca="false">COUNTIFS(Tasks_TaskID,$A77,Tasks_Tier,$D77)</f>
        <v>3</v>
      </c>
      <c r="J77" s="3" t="n">
        <v>34.25</v>
      </c>
      <c r="K77" s="0" t="s">
        <v>1100</v>
      </c>
      <c r="L77" s="3" t="n">
        <f aca="false">IF(K77="reference",H77,E77)</f>
        <v>34.25</v>
      </c>
      <c r="M77" s="9" t="n">
        <f aca="false">IF(J77="","",L77-J77)</f>
        <v>0</v>
      </c>
      <c r="N77" s="0" t="s">
        <v>1872</v>
      </c>
      <c r="O77" s="0" t="s">
        <v>1398</v>
      </c>
      <c r="P77" s="8" t="s">
        <v>1399</v>
      </c>
    </row>
    <row r="78" customFormat="false" ht="17.15" hidden="false" customHeight="false" outlineLevel="0" collapsed="false">
      <c r="A78" s="0" t="s">
        <v>1396</v>
      </c>
      <c r="B78" s="0" t="s">
        <v>618</v>
      </c>
      <c r="C78" s="0" t="s">
        <v>1397</v>
      </c>
      <c r="D78" s="0" t="s">
        <v>1049</v>
      </c>
      <c r="E78" s="3" t="n">
        <f aca="false">SUMIFS(Tasks_Cost,Tasks_TaskID,$A78,Tasks_Tier,$D78,Tasks_Type,"base")</f>
        <v>40</v>
      </c>
      <c r="F78" s="3" t="n">
        <f aca="false">SUMIFS(Tasks_Cost,Tasks_TaskID,$A78,Tasks_Tier,$D78,Tasks_Type,"as-needed")</f>
        <v>0</v>
      </c>
      <c r="G78" s="3" t="n">
        <f aca="false">SUMIFS(Tasks_Cost,Tasks_TaskID,$A78,Tasks_Tier,$D78,Tasks_Type,"flagged")</f>
        <v>0</v>
      </c>
      <c r="H78" s="3" t="n">
        <f aca="false">SUMIFS(Tasks_Cost,Tasks_TaskID,$A78,Tasks_Tier,$D78,Tasks_Type,"reference")</f>
        <v>0</v>
      </c>
      <c r="I78" s="0" t="n">
        <f aca="false">COUNTIFS(Tasks_TaskID,$A78,Tasks_Tier,$D78)</f>
        <v>3</v>
      </c>
      <c r="J78" s="3" t="n">
        <v>40</v>
      </c>
      <c r="K78" s="0" t="s">
        <v>1100</v>
      </c>
      <c r="L78" s="3" t="n">
        <f aca="false">IF(K78="reference",H78,E78)</f>
        <v>40</v>
      </c>
      <c r="M78" s="9" t="n">
        <f aca="false">IF(J78="","",L78-J78)</f>
        <v>0</v>
      </c>
      <c r="N78" s="0" t="s">
        <v>1872</v>
      </c>
      <c r="O78" s="0" t="s">
        <v>1398</v>
      </c>
      <c r="P78" s="8" t="s">
        <v>1399</v>
      </c>
    </row>
    <row r="79" customFormat="false" ht="17.15" hidden="false" customHeight="false" outlineLevel="0" collapsed="false">
      <c r="A79" s="0" t="s">
        <v>1396</v>
      </c>
      <c r="B79" s="0" t="s">
        <v>618</v>
      </c>
      <c r="C79" s="0" t="s">
        <v>1397</v>
      </c>
      <c r="D79" s="0" t="s">
        <v>1051</v>
      </c>
      <c r="E79" s="3" t="n">
        <f aca="false">SUMIFS(Tasks_Cost,Tasks_TaskID,$A79,Tasks_Tier,$D79,Tasks_Type,"base")</f>
        <v>56.3175</v>
      </c>
      <c r="F79" s="3" t="n">
        <f aca="false">SUMIFS(Tasks_Cost,Tasks_TaskID,$A79,Tasks_Tier,$D79,Tasks_Type,"as-needed")</f>
        <v>0</v>
      </c>
      <c r="G79" s="3" t="n">
        <f aca="false">SUMIFS(Tasks_Cost,Tasks_TaskID,$A79,Tasks_Tier,$D79,Tasks_Type,"flagged")</f>
        <v>0</v>
      </c>
      <c r="H79" s="3" t="n">
        <f aca="false">SUMIFS(Tasks_Cost,Tasks_TaskID,$A79,Tasks_Tier,$D79,Tasks_Type,"reference")</f>
        <v>0</v>
      </c>
      <c r="I79" s="0" t="n">
        <f aca="false">COUNTIFS(Tasks_TaskID,$A79,Tasks_Tier,$D79)</f>
        <v>3</v>
      </c>
      <c r="J79" s="3" t="n">
        <v>56.32</v>
      </c>
      <c r="K79" s="0" t="s">
        <v>1100</v>
      </c>
      <c r="L79" s="3" t="n">
        <f aca="false">IF(K79="reference",H79,E79)</f>
        <v>56.3175</v>
      </c>
      <c r="M79" s="9" t="n">
        <f aca="false">IF(J79="","",L79-J79)</f>
        <v>-0.00249999999999773</v>
      </c>
      <c r="N79" s="0" t="s">
        <v>1872</v>
      </c>
      <c r="O79" s="0" t="s">
        <v>1398</v>
      </c>
      <c r="P79" s="8" t="s">
        <v>1399</v>
      </c>
    </row>
    <row r="80" customFormat="false" ht="17.15" hidden="false" customHeight="false" outlineLevel="0" collapsed="false">
      <c r="A80" s="0" t="s">
        <v>1415</v>
      </c>
      <c r="B80" s="0" t="s">
        <v>646</v>
      </c>
      <c r="C80" s="0" t="s">
        <v>1416</v>
      </c>
      <c r="D80" s="0" t="s">
        <v>1042</v>
      </c>
      <c r="E80" s="3" t="n">
        <f aca="false">SUMIFS(Tasks_Cost,Tasks_TaskID,$A80,Tasks_Tier,$D80,Tasks_Type,"base")</f>
        <v>4210.000274</v>
      </c>
      <c r="F80" s="3" t="n">
        <f aca="false">SUMIFS(Tasks_Cost,Tasks_TaskID,$A80,Tasks_Tier,$D80,Tasks_Type,"as-needed")</f>
        <v>0</v>
      </c>
      <c r="G80" s="3" t="n">
        <f aca="false">SUMIFS(Tasks_Cost,Tasks_TaskID,$A80,Tasks_Tier,$D80,Tasks_Type,"flagged")</f>
        <v>0</v>
      </c>
      <c r="H80" s="3" t="n">
        <f aca="false">SUMIFS(Tasks_Cost,Tasks_TaskID,$A80,Tasks_Tier,$D80,Tasks_Type,"reference")</f>
        <v>0</v>
      </c>
      <c r="I80" s="0" t="n">
        <f aca="false">COUNTIFS(Tasks_TaskID,$A80,Tasks_Tier,$D80)</f>
        <v>2</v>
      </c>
      <c r="J80" s="3" t="n">
        <v>4210</v>
      </c>
      <c r="K80" s="0" t="s">
        <v>1100</v>
      </c>
      <c r="L80" s="3" t="n">
        <f aca="false">IF(K80="reference",H80,E80)</f>
        <v>4210.000274</v>
      </c>
      <c r="M80" s="9" t="n">
        <f aca="false">IF(J80="","",L80-J80)</f>
        <v>0.000273999999990338</v>
      </c>
      <c r="N80" s="0" t="s">
        <v>1872</v>
      </c>
      <c r="O80" s="0" t="s">
        <v>1418</v>
      </c>
      <c r="P80" s="8" t="s">
        <v>1419</v>
      </c>
    </row>
    <row r="81" customFormat="false" ht="17.15" hidden="false" customHeight="false" outlineLevel="0" collapsed="false">
      <c r="A81" s="0" t="s">
        <v>1415</v>
      </c>
      <c r="B81" s="0" t="s">
        <v>646</v>
      </c>
      <c r="C81" s="0" t="s">
        <v>1416</v>
      </c>
      <c r="D81" s="0" t="s">
        <v>1049</v>
      </c>
      <c r="E81" s="3" t="n">
        <f aca="false">SUMIFS(Tasks_Cost,Tasks_TaskID,$A81,Tasks_Tier,$D81,Tasks_Type,"base")</f>
        <v>5230.000274</v>
      </c>
      <c r="F81" s="3" t="n">
        <f aca="false">SUMIFS(Tasks_Cost,Tasks_TaskID,$A81,Tasks_Tier,$D81,Tasks_Type,"as-needed")</f>
        <v>0</v>
      </c>
      <c r="G81" s="3" t="n">
        <f aca="false">SUMIFS(Tasks_Cost,Tasks_TaskID,$A81,Tasks_Tier,$D81,Tasks_Type,"flagged")</f>
        <v>0</v>
      </c>
      <c r="H81" s="3" t="n">
        <f aca="false">SUMIFS(Tasks_Cost,Tasks_TaskID,$A81,Tasks_Tier,$D81,Tasks_Type,"reference")</f>
        <v>0</v>
      </c>
      <c r="I81" s="0" t="n">
        <f aca="false">COUNTIFS(Tasks_TaskID,$A81,Tasks_Tier,$D81)</f>
        <v>2</v>
      </c>
      <c r="J81" s="3" t="n">
        <v>5230</v>
      </c>
      <c r="K81" s="0" t="s">
        <v>1100</v>
      </c>
      <c r="L81" s="3" t="n">
        <f aca="false">IF(K81="reference",H81,E81)</f>
        <v>5230.000274</v>
      </c>
      <c r="M81" s="9" t="n">
        <f aca="false">IF(J81="","",L81-J81)</f>
        <v>0.000273999999990338</v>
      </c>
      <c r="N81" s="0" t="s">
        <v>1872</v>
      </c>
      <c r="O81" s="0" t="s">
        <v>1418</v>
      </c>
      <c r="P81" s="8" t="s">
        <v>1419</v>
      </c>
    </row>
    <row r="82" customFormat="false" ht="17.15" hidden="false" customHeight="false" outlineLevel="0" collapsed="false">
      <c r="A82" s="0" t="s">
        <v>1415</v>
      </c>
      <c r="B82" s="0" t="s">
        <v>646</v>
      </c>
      <c r="C82" s="0" t="s">
        <v>1416</v>
      </c>
      <c r="D82" s="0" t="s">
        <v>1051</v>
      </c>
      <c r="E82" s="3" t="n">
        <f aca="false">SUMIFS(Tasks_Cost,Tasks_TaskID,$A82,Tasks_Tier,$D82,Tasks_Type,"base")</f>
        <v>11568.210884</v>
      </c>
      <c r="F82" s="3" t="n">
        <f aca="false">SUMIFS(Tasks_Cost,Tasks_TaskID,$A82,Tasks_Tier,$D82,Tasks_Type,"as-needed")</f>
        <v>0</v>
      </c>
      <c r="G82" s="3" t="n">
        <f aca="false">SUMIFS(Tasks_Cost,Tasks_TaskID,$A82,Tasks_Tier,$D82,Tasks_Type,"flagged")</f>
        <v>0</v>
      </c>
      <c r="H82" s="3" t="n">
        <f aca="false">SUMIFS(Tasks_Cost,Tasks_TaskID,$A82,Tasks_Tier,$D82,Tasks_Type,"reference")</f>
        <v>0</v>
      </c>
      <c r="I82" s="0" t="n">
        <f aca="false">COUNTIFS(Tasks_TaskID,$A82,Tasks_Tier,$D82)</f>
        <v>2</v>
      </c>
      <c r="J82" s="3" t="n">
        <v>11568.2105263158</v>
      </c>
      <c r="K82" s="0" t="s">
        <v>1100</v>
      </c>
      <c r="L82" s="3" t="n">
        <f aca="false">IF(K82="reference",H82,E82)</f>
        <v>11568.210884</v>
      </c>
      <c r="M82" s="9" t="n">
        <f aca="false">IF(J82="","",L82-J82)</f>
        <v>0.000357684210030129</v>
      </c>
      <c r="N82" s="0" t="s">
        <v>1872</v>
      </c>
      <c r="O82" s="0" t="s">
        <v>1418</v>
      </c>
      <c r="P82" s="8" t="s">
        <v>1419</v>
      </c>
    </row>
    <row r="83" customFormat="false" ht="17.15" hidden="false" customHeight="false" outlineLevel="0" collapsed="false">
      <c r="A83" s="0" t="s">
        <v>1430</v>
      </c>
      <c r="B83" s="0" t="s">
        <v>677</v>
      </c>
      <c r="C83" s="0" t="s">
        <v>1431</v>
      </c>
      <c r="D83" s="0" t="s">
        <v>1042</v>
      </c>
      <c r="E83" s="3" t="n">
        <f aca="false">SUMIFS(Tasks_Cost,Tasks_TaskID,$A83,Tasks_Tier,$D83,Tasks_Type,"base")</f>
        <v>234</v>
      </c>
      <c r="F83" s="3" t="n">
        <f aca="false">SUMIFS(Tasks_Cost,Tasks_TaskID,$A83,Tasks_Tier,$D83,Tasks_Type,"as-needed")</f>
        <v>0</v>
      </c>
      <c r="G83" s="3" t="n">
        <f aca="false">SUMIFS(Tasks_Cost,Tasks_TaskID,$A83,Tasks_Tier,$D83,Tasks_Type,"flagged")</f>
        <v>0</v>
      </c>
      <c r="H83" s="3" t="n">
        <f aca="false">SUMIFS(Tasks_Cost,Tasks_TaskID,$A83,Tasks_Tier,$D83,Tasks_Type,"reference")</f>
        <v>0</v>
      </c>
      <c r="I83" s="0" t="n">
        <f aca="false">COUNTIFS(Tasks_TaskID,$A83,Tasks_Tier,$D83)</f>
        <v>2</v>
      </c>
      <c r="J83" s="3" t="n">
        <v>234</v>
      </c>
      <c r="K83" s="0" t="s">
        <v>1100</v>
      </c>
      <c r="L83" s="3" t="n">
        <f aca="false">IF(K83="reference",H83,E83)</f>
        <v>234</v>
      </c>
      <c r="M83" s="9" t="n">
        <f aca="false">IF(J83="","",L83-J83)</f>
        <v>0</v>
      </c>
      <c r="O83" s="0" t="s">
        <v>1433</v>
      </c>
      <c r="P83" s="0" t="s">
        <v>1434</v>
      </c>
    </row>
    <row r="84" customFormat="false" ht="17.15" hidden="false" customHeight="false" outlineLevel="0" collapsed="false">
      <c r="A84" s="0" t="s">
        <v>1430</v>
      </c>
      <c r="B84" s="0" t="s">
        <v>677</v>
      </c>
      <c r="C84" s="0" t="s">
        <v>1431</v>
      </c>
      <c r="D84" s="0" t="s">
        <v>1049</v>
      </c>
      <c r="E84" s="3" t="n">
        <f aca="false">SUMIFS(Tasks_Cost,Tasks_TaskID,$A84,Tasks_Tier,$D84,Tasks_Type,"base")</f>
        <v>332</v>
      </c>
      <c r="F84" s="3" t="n">
        <f aca="false">SUMIFS(Tasks_Cost,Tasks_TaskID,$A84,Tasks_Tier,$D84,Tasks_Type,"as-needed")</f>
        <v>0</v>
      </c>
      <c r="G84" s="3" t="n">
        <f aca="false">SUMIFS(Tasks_Cost,Tasks_TaskID,$A84,Tasks_Tier,$D84,Tasks_Type,"flagged")</f>
        <v>0</v>
      </c>
      <c r="H84" s="3" t="n">
        <f aca="false">SUMIFS(Tasks_Cost,Tasks_TaskID,$A84,Tasks_Tier,$D84,Tasks_Type,"reference")</f>
        <v>0</v>
      </c>
      <c r="I84" s="0" t="n">
        <f aca="false">COUNTIFS(Tasks_TaskID,$A84,Tasks_Tier,$D84)</f>
        <v>2</v>
      </c>
      <c r="J84" s="3" t="n">
        <v>332</v>
      </c>
      <c r="K84" s="0" t="s">
        <v>1100</v>
      </c>
      <c r="L84" s="3" t="n">
        <f aca="false">IF(K84="reference",H84,E84)</f>
        <v>332</v>
      </c>
      <c r="M84" s="9" t="n">
        <f aca="false">IF(J84="","",L84-J84)</f>
        <v>0</v>
      </c>
      <c r="O84" s="0" t="s">
        <v>1433</v>
      </c>
      <c r="P84" s="0" t="s">
        <v>1434</v>
      </c>
    </row>
    <row r="85" customFormat="false" ht="17.15" hidden="false" customHeight="false" outlineLevel="0" collapsed="false">
      <c r="A85" s="0" t="s">
        <v>1430</v>
      </c>
      <c r="B85" s="0" t="s">
        <v>677</v>
      </c>
      <c r="C85" s="0" t="s">
        <v>1431</v>
      </c>
      <c r="D85" s="0" t="s">
        <v>1051</v>
      </c>
      <c r="E85" s="3" t="n">
        <f aca="false">SUMIFS(Tasks_Cost,Tasks_TaskID,$A85,Tasks_Tier,$D85,Tasks_Type,"base")</f>
        <v>1187</v>
      </c>
      <c r="F85" s="3" t="n">
        <f aca="false">SUMIFS(Tasks_Cost,Tasks_TaskID,$A85,Tasks_Tier,$D85,Tasks_Type,"as-needed")</f>
        <v>0</v>
      </c>
      <c r="G85" s="3" t="n">
        <f aca="false">SUMIFS(Tasks_Cost,Tasks_TaskID,$A85,Tasks_Tier,$D85,Tasks_Type,"flagged")</f>
        <v>0</v>
      </c>
      <c r="H85" s="3" t="n">
        <f aca="false">SUMIFS(Tasks_Cost,Tasks_TaskID,$A85,Tasks_Tier,$D85,Tasks_Type,"reference")</f>
        <v>0</v>
      </c>
      <c r="I85" s="0" t="n">
        <f aca="false">COUNTIFS(Tasks_TaskID,$A85,Tasks_Tier,$D85)</f>
        <v>2</v>
      </c>
      <c r="J85" s="3" t="n">
        <v>1187</v>
      </c>
      <c r="K85" s="0" t="s">
        <v>1100</v>
      </c>
      <c r="L85" s="3" t="n">
        <f aca="false">IF(K85="reference",H85,E85)</f>
        <v>1187</v>
      </c>
      <c r="M85" s="9" t="n">
        <f aca="false">IF(J85="","",L85-J85)</f>
        <v>0</v>
      </c>
      <c r="O85" s="0" t="s">
        <v>1433</v>
      </c>
      <c r="P85" s="0" t="s">
        <v>1434</v>
      </c>
    </row>
    <row r="86" customFormat="false" ht="17.15" hidden="false" customHeight="false" outlineLevel="0" collapsed="false">
      <c r="A86" s="0" t="s">
        <v>1439</v>
      </c>
      <c r="B86" s="0" t="s">
        <v>677</v>
      </c>
      <c r="C86" s="0" t="s">
        <v>1440</v>
      </c>
      <c r="D86" s="0" t="s">
        <v>1042</v>
      </c>
      <c r="E86" s="3" t="n">
        <f aca="false">SUMIFS(Tasks_Cost,Tasks_TaskID,$A86,Tasks_Tier,$D86,Tasks_Type,"base")</f>
        <v>37</v>
      </c>
      <c r="F86" s="3" t="n">
        <f aca="false">SUMIFS(Tasks_Cost,Tasks_TaskID,$A86,Tasks_Tier,$D86,Tasks_Type,"as-needed")</f>
        <v>136</v>
      </c>
      <c r="G86" s="3" t="n">
        <f aca="false">SUMIFS(Tasks_Cost,Tasks_TaskID,$A86,Tasks_Tier,$D86,Tasks_Type,"flagged")</f>
        <v>0</v>
      </c>
      <c r="H86" s="3" t="n">
        <f aca="false">SUMIFS(Tasks_Cost,Tasks_TaskID,$A86,Tasks_Tier,$D86,Tasks_Type,"reference")</f>
        <v>0</v>
      </c>
      <c r="I86" s="0" t="n">
        <f aca="false">COUNTIFS(Tasks_TaskID,$A86,Tasks_Tier,$D86)</f>
        <v>2</v>
      </c>
      <c r="J86" s="3" t="n">
        <v>37</v>
      </c>
      <c r="K86" s="0" t="s">
        <v>1100</v>
      </c>
      <c r="L86" s="3" t="n">
        <f aca="false">IF(K86="reference",H86,E86)</f>
        <v>37</v>
      </c>
      <c r="M86" s="9" t="n">
        <f aca="false">IF(J86="","",L86-J86)</f>
        <v>0</v>
      </c>
      <c r="O86" s="0" t="s">
        <v>1442</v>
      </c>
      <c r="P86" s="8" t="s">
        <v>1443</v>
      </c>
    </row>
    <row r="87" customFormat="false" ht="17.15" hidden="false" customHeight="false" outlineLevel="0" collapsed="false">
      <c r="A87" s="0" t="s">
        <v>1439</v>
      </c>
      <c r="B87" s="0" t="s">
        <v>677</v>
      </c>
      <c r="C87" s="0" t="s">
        <v>1440</v>
      </c>
      <c r="D87" s="0" t="s">
        <v>1049</v>
      </c>
      <c r="E87" s="3" t="n">
        <f aca="false">SUMIFS(Tasks_Cost,Tasks_TaskID,$A87,Tasks_Tier,$D87,Tasks_Type,"base")</f>
        <v>37</v>
      </c>
      <c r="F87" s="3" t="n">
        <f aca="false">SUMIFS(Tasks_Cost,Tasks_TaskID,$A87,Tasks_Tier,$D87,Tasks_Type,"as-needed")</f>
        <v>136</v>
      </c>
      <c r="G87" s="3" t="n">
        <f aca="false">SUMIFS(Tasks_Cost,Tasks_TaskID,$A87,Tasks_Tier,$D87,Tasks_Type,"flagged")</f>
        <v>0</v>
      </c>
      <c r="H87" s="3" t="n">
        <f aca="false">SUMIFS(Tasks_Cost,Tasks_TaskID,$A87,Tasks_Tier,$D87,Tasks_Type,"reference")</f>
        <v>0</v>
      </c>
      <c r="I87" s="0" t="n">
        <f aca="false">COUNTIFS(Tasks_TaskID,$A87,Tasks_Tier,$D87)</f>
        <v>2</v>
      </c>
      <c r="J87" s="3" t="n">
        <v>37</v>
      </c>
      <c r="K87" s="0" t="s">
        <v>1100</v>
      </c>
      <c r="L87" s="3" t="n">
        <f aca="false">IF(K87="reference",H87,E87)</f>
        <v>37</v>
      </c>
      <c r="M87" s="9" t="n">
        <f aca="false">IF(J87="","",L87-J87)</f>
        <v>0</v>
      </c>
      <c r="O87" s="0" t="s">
        <v>1442</v>
      </c>
      <c r="P87" s="8" t="s">
        <v>1443</v>
      </c>
    </row>
    <row r="88" customFormat="false" ht="17.15" hidden="false" customHeight="false" outlineLevel="0" collapsed="false">
      <c r="A88" s="0" t="s">
        <v>1439</v>
      </c>
      <c r="B88" s="0" t="s">
        <v>677</v>
      </c>
      <c r="C88" s="0" t="s">
        <v>1440</v>
      </c>
      <c r="D88" s="0" t="s">
        <v>1051</v>
      </c>
      <c r="E88" s="3" t="n">
        <f aca="false">SUMIFS(Tasks_Cost,Tasks_TaskID,$A88,Tasks_Tier,$D88,Tasks_Type,"base")</f>
        <v>37</v>
      </c>
      <c r="F88" s="3" t="n">
        <f aca="false">SUMIFS(Tasks_Cost,Tasks_TaskID,$A88,Tasks_Tier,$D88,Tasks_Type,"as-needed")</f>
        <v>136</v>
      </c>
      <c r="G88" s="3" t="n">
        <f aca="false">SUMIFS(Tasks_Cost,Tasks_TaskID,$A88,Tasks_Tier,$D88,Tasks_Type,"flagged")</f>
        <v>0</v>
      </c>
      <c r="H88" s="3" t="n">
        <f aca="false">SUMIFS(Tasks_Cost,Tasks_TaskID,$A88,Tasks_Tier,$D88,Tasks_Type,"reference")</f>
        <v>0</v>
      </c>
      <c r="I88" s="0" t="n">
        <f aca="false">COUNTIFS(Tasks_TaskID,$A88,Tasks_Tier,$D88)</f>
        <v>2</v>
      </c>
      <c r="J88" s="3" t="n">
        <v>37</v>
      </c>
      <c r="K88" s="0" t="s">
        <v>1100</v>
      </c>
      <c r="L88" s="3" t="n">
        <f aca="false">IF(K88="reference",H88,E88)</f>
        <v>37</v>
      </c>
      <c r="M88" s="9" t="n">
        <f aca="false">IF(J88="","",L88-J88)</f>
        <v>0</v>
      </c>
      <c r="O88" s="0" t="s">
        <v>1442</v>
      </c>
      <c r="P88" s="8" t="s">
        <v>1443</v>
      </c>
    </row>
    <row r="89" customFormat="false" ht="17.15" hidden="false" customHeight="false" outlineLevel="0" collapsed="false">
      <c r="A89" s="0" t="s">
        <v>1454</v>
      </c>
      <c r="B89" s="0" t="s">
        <v>699</v>
      </c>
      <c r="C89" s="0" t="s">
        <v>1455</v>
      </c>
      <c r="D89" s="0" t="s">
        <v>1042</v>
      </c>
      <c r="E89" s="3" t="n">
        <f aca="false">SUMIFS(Tasks_Cost,Tasks_TaskID,$A89,Tasks_Tier,$D89,Tasks_Type,"base")</f>
        <v>179</v>
      </c>
      <c r="F89" s="3" t="n">
        <f aca="false">SUMIFS(Tasks_Cost,Tasks_TaskID,$A89,Tasks_Tier,$D89,Tasks_Type,"as-needed")</f>
        <v>0</v>
      </c>
      <c r="G89" s="3" t="n">
        <f aca="false">SUMIFS(Tasks_Cost,Tasks_TaskID,$A89,Tasks_Tier,$D89,Tasks_Type,"flagged")</f>
        <v>0</v>
      </c>
      <c r="H89" s="3" t="n">
        <f aca="false">SUMIFS(Tasks_Cost,Tasks_TaskID,$A89,Tasks_Tier,$D89,Tasks_Type,"reference")</f>
        <v>0</v>
      </c>
      <c r="I89" s="0" t="n">
        <f aca="false">COUNTIFS(Tasks_TaskID,$A89,Tasks_Tier,$D89)</f>
        <v>1</v>
      </c>
      <c r="J89" s="3" t="n">
        <v>175</v>
      </c>
      <c r="K89" s="0" t="s">
        <v>1100</v>
      </c>
      <c r="L89" s="3" t="n">
        <f aca="false">IF(K89="reference",H89,E89)</f>
        <v>179</v>
      </c>
      <c r="M89" s="9" t="n">
        <f aca="false">IF(J89="","",L89-J89)</f>
        <v>4</v>
      </c>
      <c r="O89" s="0" t="s">
        <v>1457</v>
      </c>
      <c r="P89" s="8" t="s">
        <v>1458</v>
      </c>
    </row>
    <row r="90" customFormat="false" ht="17.15" hidden="false" customHeight="false" outlineLevel="0" collapsed="false">
      <c r="A90" s="0" t="s">
        <v>1454</v>
      </c>
      <c r="B90" s="0" t="s">
        <v>699</v>
      </c>
      <c r="C90" s="0" t="s">
        <v>1455</v>
      </c>
      <c r="D90" s="0" t="s">
        <v>1049</v>
      </c>
      <c r="E90" s="3" t="n">
        <f aca="false">SUMIFS(Tasks_Cost,Tasks_TaskID,$A90,Tasks_Tier,$D90,Tasks_Type,"base")</f>
        <v>197</v>
      </c>
      <c r="F90" s="3" t="n">
        <f aca="false">SUMIFS(Tasks_Cost,Tasks_TaskID,$A90,Tasks_Tier,$D90,Tasks_Type,"as-needed")</f>
        <v>0</v>
      </c>
      <c r="G90" s="3" t="n">
        <f aca="false">SUMIFS(Tasks_Cost,Tasks_TaskID,$A90,Tasks_Tier,$D90,Tasks_Type,"flagged")</f>
        <v>0</v>
      </c>
      <c r="H90" s="3" t="n">
        <f aca="false">SUMIFS(Tasks_Cost,Tasks_TaskID,$A90,Tasks_Tier,$D90,Tasks_Type,"reference")</f>
        <v>0</v>
      </c>
      <c r="I90" s="0" t="n">
        <f aca="false">COUNTIFS(Tasks_TaskID,$A90,Tasks_Tier,$D90)</f>
        <v>1</v>
      </c>
      <c r="J90" s="3" t="n">
        <v>197</v>
      </c>
      <c r="K90" s="0" t="s">
        <v>1100</v>
      </c>
      <c r="L90" s="3" t="n">
        <f aca="false">IF(K90="reference",H90,E90)</f>
        <v>197</v>
      </c>
      <c r="M90" s="9" t="n">
        <f aca="false">IF(J90="","",L90-J90)</f>
        <v>0</v>
      </c>
      <c r="O90" s="0" t="s">
        <v>1457</v>
      </c>
      <c r="P90" s="8" t="s">
        <v>1458</v>
      </c>
    </row>
    <row r="91" customFormat="false" ht="17.15" hidden="false" customHeight="false" outlineLevel="0" collapsed="false">
      <c r="A91" s="0" t="s">
        <v>1454</v>
      </c>
      <c r="B91" s="0" t="s">
        <v>699</v>
      </c>
      <c r="C91" s="0" t="s">
        <v>1455</v>
      </c>
      <c r="D91" s="0" t="s">
        <v>1051</v>
      </c>
      <c r="E91" s="3" t="n">
        <f aca="false">SUMIFS(Tasks_Cost,Tasks_TaskID,$A91,Tasks_Tier,$D91,Tasks_Type,"base")</f>
        <v>305</v>
      </c>
      <c r="F91" s="3" t="n">
        <f aca="false">SUMIFS(Tasks_Cost,Tasks_TaskID,$A91,Tasks_Tier,$D91,Tasks_Type,"as-needed")</f>
        <v>0</v>
      </c>
      <c r="G91" s="3" t="n">
        <f aca="false">SUMIFS(Tasks_Cost,Tasks_TaskID,$A91,Tasks_Tier,$D91,Tasks_Type,"flagged")</f>
        <v>0</v>
      </c>
      <c r="H91" s="3" t="n">
        <f aca="false">SUMIFS(Tasks_Cost,Tasks_TaskID,$A91,Tasks_Tier,$D91,Tasks_Type,"reference")</f>
        <v>0</v>
      </c>
      <c r="I91" s="0" t="n">
        <f aca="false">COUNTIFS(Tasks_TaskID,$A91,Tasks_Tier,$D91)</f>
        <v>1</v>
      </c>
      <c r="J91" s="3" t="n">
        <v>305</v>
      </c>
      <c r="K91" s="0" t="s">
        <v>1100</v>
      </c>
      <c r="L91" s="3" t="n">
        <f aca="false">IF(K91="reference",H91,E91)</f>
        <v>305</v>
      </c>
      <c r="M91" s="9" t="n">
        <f aca="false">IF(J91="","",L91-J91)</f>
        <v>0</v>
      </c>
      <c r="O91" s="0" t="s">
        <v>1457</v>
      </c>
      <c r="P91" s="8" t="s">
        <v>1458</v>
      </c>
    </row>
    <row r="92" customFormat="false" ht="17.15" hidden="false" customHeight="false" outlineLevel="0" collapsed="false">
      <c r="A92" s="0" t="s">
        <v>1460</v>
      </c>
      <c r="B92" s="0" t="s">
        <v>699</v>
      </c>
      <c r="C92" s="0" t="s">
        <v>1461</v>
      </c>
      <c r="D92" s="0" t="s">
        <v>1042</v>
      </c>
      <c r="E92" s="3" t="n">
        <f aca="false">SUMIFS(Tasks_Cost,Tasks_TaskID,$A92,Tasks_Tier,$D92,Tasks_Type,"base")</f>
        <v>0</v>
      </c>
      <c r="F92" s="3" t="n">
        <f aca="false">SUMIFS(Tasks_Cost,Tasks_TaskID,$A92,Tasks_Tier,$D92,Tasks_Type,"as-needed")</f>
        <v>0</v>
      </c>
      <c r="G92" s="3" t="n">
        <f aca="false">SUMIFS(Tasks_Cost,Tasks_TaskID,$A92,Tasks_Tier,$D92,Tasks_Type,"flagged")</f>
        <v>0</v>
      </c>
      <c r="H92" s="3" t="n">
        <f aca="false">SUMIFS(Tasks_Cost,Tasks_TaskID,$A92,Tasks_Tier,$D92,Tasks_Type,"reference")</f>
        <v>0</v>
      </c>
      <c r="I92" s="0" t="n">
        <f aca="false">COUNTIFS(Tasks_TaskID,$A92,Tasks_Tier,$D92)</f>
        <v>1</v>
      </c>
      <c r="J92" s="3" t="n">
        <v>0</v>
      </c>
      <c r="K92" s="0" t="s">
        <v>1100</v>
      </c>
      <c r="L92" s="3" t="n">
        <f aca="false">IF(K92="reference",H92,E92)</f>
        <v>0</v>
      </c>
      <c r="M92" s="9" t="n">
        <f aca="false">IF(J92="","",L92-J92)</f>
        <v>0</v>
      </c>
      <c r="O92" s="0" t="s">
        <v>1463</v>
      </c>
      <c r="P92" s="8" t="s">
        <v>1464</v>
      </c>
    </row>
    <row r="93" customFormat="false" ht="17.15" hidden="false" customHeight="false" outlineLevel="0" collapsed="false">
      <c r="A93" s="0" t="s">
        <v>1460</v>
      </c>
      <c r="B93" s="0" t="s">
        <v>699</v>
      </c>
      <c r="C93" s="0" t="s">
        <v>1461</v>
      </c>
      <c r="D93" s="0" t="s">
        <v>1049</v>
      </c>
      <c r="E93" s="3" t="n">
        <f aca="false">SUMIFS(Tasks_Cost,Tasks_TaskID,$A93,Tasks_Tier,$D93,Tasks_Type,"base")</f>
        <v>0</v>
      </c>
      <c r="F93" s="3" t="n">
        <f aca="false">SUMIFS(Tasks_Cost,Tasks_TaskID,$A93,Tasks_Tier,$D93,Tasks_Type,"as-needed")</f>
        <v>0</v>
      </c>
      <c r="G93" s="3" t="n">
        <f aca="false">SUMIFS(Tasks_Cost,Tasks_TaskID,$A93,Tasks_Tier,$D93,Tasks_Type,"flagged")</f>
        <v>0</v>
      </c>
      <c r="H93" s="3" t="n">
        <f aca="false">SUMIFS(Tasks_Cost,Tasks_TaskID,$A93,Tasks_Tier,$D93,Tasks_Type,"reference")</f>
        <v>0</v>
      </c>
      <c r="I93" s="0" t="n">
        <f aca="false">COUNTIFS(Tasks_TaskID,$A93,Tasks_Tier,$D93)</f>
        <v>1</v>
      </c>
      <c r="J93" s="3" t="n">
        <v>0</v>
      </c>
      <c r="K93" s="0" t="s">
        <v>1100</v>
      </c>
      <c r="L93" s="3" t="n">
        <f aca="false">IF(K93="reference",H93,E93)</f>
        <v>0</v>
      </c>
      <c r="M93" s="9" t="n">
        <f aca="false">IF(J93="","",L93-J93)</f>
        <v>0</v>
      </c>
      <c r="O93" s="0" t="s">
        <v>1463</v>
      </c>
      <c r="P93" s="8" t="s">
        <v>1464</v>
      </c>
    </row>
    <row r="94" customFormat="false" ht="17.15" hidden="false" customHeight="false" outlineLevel="0" collapsed="false">
      <c r="A94" s="0" t="s">
        <v>1460</v>
      </c>
      <c r="B94" s="0" t="s">
        <v>699</v>
      </c>
      <c r="C94" s="0" t="s">
        <v>1461</v>
      </c>
      <c r="D94" s="0" t="s">
        <v>1051</v>
      </c>
      <c r="E94" s="3" t="n">
        <f aca="false">SUMIFS(Tasks_Cost,Tasks_TaskID,$A94,Tasks_Tier,$D94,Tasks_Type,"base")</f>
        <v>0</v>
      </c>
      <c r="F94" s="3" t="n">
        <f aca="false">SUMIFS(Tasks_Cost,Tasks_TaskID,$A94,Tasks_Tier,$D94,Tasks_Type,"as-needed")</f>
        <v>0</v>
      </c>
      <c r="G94" s="3" t="n">
        <f aca="false">SUMIFS(Tasks_Cost,Tasks_TaskID,$A94,Tasks_Tier,$D94,Tasks_Type,"flagged")</f>
        <v>0</v>
      </c>
      <c r="H94" s="3" t="n">
        <f aca="false">SUMIFS(Tasks_Cost,Tasks_TaskID,$A94,Tasks_Tier,$D94,Tasks_Type,"reference")</f>
        <v>0</v>
      </c>
      <c r="I94" s="0" t="n">
        <f aca="false">COUNTIFS(Tasks_TaskID,$A94,Tasks_Tier,$D94)</f>
        <v>1</v>
      </c>
      <c r="J94" s="3" t="n">
        <v>0</v>
      </c>
      <c r="K94" s="0" t="s">
        <v>1100</v>
      </c>
      <c r="L94" s="3" t="n">
        <f aca="false">IF(K94="reference",H94,E94)</f>
        <v>0</v>
      </c>
      <c r="M94" s="9" t="n">
        <f aca="false">IF(J94="","",L94-J94)</f>
        <v>0</v>
      </c>
      <c r="O94" s="0" t="s">
        <v>1463</v>
      </c>
      <c r="P94" s="8" t="s">
        <v>1464</v>
      </c>
    </row>
    <row r="95" customFormat="false" ht="17.15" hidden="false" customHeight="false" outlineLevel="0" collapsed="false">
      <c r="A95" s="0" t="s">
        <v>1555</v>
      </c>
      <c r="B95" s="0" t="s">
        <v>107</v>
      </c>
      <c r="C95" s="0" t="s">
        <v>1556</v>
      </c>
      <c r="D95" s="0" t="s">
        <v>1042</v>
      </c>
      <c r="E95" s="3" t="n">
        <f aca="false">SUMIFS(Tasks_Cost,Tasks_TaskID,$A95,Tasks_Tier,$D95,Tasks_Type,"base")</f>
        <v>156.1</v>
      </c>
      <c r="F95" s="3" t="n">
        <f aca="false">SUMIFS(Tasks_Cost,Tasks_TaskID,$A95,Tasks_Tier,$D95,Tasks_Type,"as-needed")</f>
        <v>0</v>
      </c>
      <c r="G95" s="3" t="n">
        <f aca="false">SUMIFS(Tasks_Cost,Tasks_TaskID,$A95,Tasks_Tier,$D95,Tasks_Type,"flagged")</f>
        <v>0</v>
      </c>
      <c r="H95" s="3" t="n">
        <f aca="false">SUMIFS(Tasks_Cost,Tasks_TaskID,$A95,Tasks_Tier,$D95,Tasks_Type,"reference")</f>
        <v>0</v>
      </c>
      <c r="I95" s="0" t="n">
        <f aca="false">COUNTIFS(Tasks_TaskID,$A95,Tasks_Tier,$D95)</f>
        <v>2</v>
      </c>
      <c r="J95" s="3" t="n">
        <v>156.1</v>
      </c>
      <c r="K95" s="0" t="s">
        <v>1100</v>
      </c>
      <c r="L95" s="3" t="n">
        <f aca="false">IF(K95="reference",H95,E95)</f>
        <v>156.1</v>
      </c>
      <c r="M95" s="9" t="n">
        <f aca="false">IF(J95="","",L95-J95)</f>
        <v>0</v>
      </c>
      <c r="O95" s="0" t="s">
        <v>1558</v>
      </c>
      <c r="P95" s="8" t="s">
        <v>1559</v>
      </c>
    </row>
    <row r="96" customFormat="false" ht="17.15" hidden="false" customHeight="false" outlineLevel="0" collapsed="false">
      <c r="A96" s="0" t="s">
        <v>1555</v>
      </c>
      <c r="B96" s="0" t="s">
        <v>107</v>
      </c>
      <c r="C96" s="0" t="s">
        <v>1556</v>
      </c>
      <c r="D96" s="0" t="s">
        <v>1049</v>
      </c>
      <c r="E96" s="3" t="n">
        <f aca="false">SUMIFS(Tasks_Cost,Tasks_TaskID,$A96,Tasks_Tier,$D96,Tasks_Type,"base")</f>
        <v>340.1</v>
      </c>
      <c r="F96" s="3" t="n">
        <f aca="false">SUMIFS(Tasks_Cost,Tasks_TaskID,$A96,Tasks_Tier,$D96,Tasks_Type,"as-needed")</f>
        <v>0</v>
      </c>
      <c r="G96" s="3" t="n">
        <f aca="false">SUMIFS(Tasks_Cost,Tasks_TaskID,$A96,Tasks_Tier,$D96,Tasks_Type,"flagged")</f>
        <v>0</v>
      </c>
      <c r="H96" s="3" t="n">
        <f aca="false">SUMIFS(Tasks_Cost,Tasks_TaskID,$A96,Tasks_Tier,$D96,Tasks_Type,"reference")</f>
        <v>0</v>
      </c>
      <c r="I96" s="0" t="n">
        <f aca="false">COUNTIFS(Tasks_TaskID,$A96,Tasks_Tier,$D96)</f>
        <v>2</v>
      </c>
      <c r="J96" s="3" t="n">
        <v>340.1</v>
      </c>
      <c r="K96" s="0" t="s">
        <v>1100</v>
      </c>
      <c r="L96" s="3" t="n">
        <f aca="false">IF(K96="reference",H96,E96)</f>
        <v>340.1</v>
      </c>
      <c r="M96" s="9" t="n">
        <f aca="false">IF(J96="","",L96-J96)</f>
        <v>0</v>
      </c>
      <c r="O96" s="0" t="s">
        <v>1558</v>
      </c>
      <c r="P96" s="8" t="s">
        <v>1559</v>
      </c>
    </row>
    <row r="97" customFormat="false" ht="17.15" hidden="false" customHeight="false" outlineLevel="0" collapsed="false">
      <c r="A97" s="0" t="s">
        <v>1555</v>
      </c>
      <c r="B97" s="0" t="s">
        <v>107</v>
      </c>
      <c r="C97" s="0" t="s">
        <v>1556</v>
      </c>
      <c r="D97" s="0" t="s">
        <v>1051</v>
      </c>
      <c r="E97" s="3" t="n">
        <f aca="false">SUMIFS(Tasks_Cost,Tasks_TaskID,$A97,Tasks_Tier,$D97,Tasks_Type,"base")</f>
        <v>772.1</v>
      </c>
      <c r="F97" s="3" t="n">
        <f aca="false">SUMIFS(Tasks_Cost,Tasks_TaskID,$A97,Tasks_Tier,$D97,Tasks_Type,"as-needed")</f>
        <v>0</v>
      </c>
      <c r="G97" s="3" t="n">
        <f aca="false">SUMIFS(Tasks_Cost,Tasks_TaskID,$A97,Tasks_Tier,$D97,Tasks_Type,"flagged")</f>
        <v>0</v>
      </c>
      <c r="H97" s="3" t="n">
        <f aca="false">SUMIFS(Tasks_Cost,Tasks_TaskID,$A97,Tasks_Tier,$D97,Tasks_Type,"reference")</f>
        <v>0</v>
      </c>
      <c r="I97" s="0" t="n">
        <f aca="false">COUNTIFS(Tasks_TaskID,$A97,Tasks_Tier,$D97)</f>
        <v>3</v>
      </c>
      <c r="J97" s="3" t="n">
        <v>772.1</v>
      </c>
      <c r="K97" s="0" t="s">
        <v>1100</v>
      </c>
      <c r="L97" s="3" t="n">
        <f aca="false">IF(K97="reference",H97,E97)</f>
        <v>772.1</v>
      </c>
      <c r="M97" s="9" t="n">
        <f aca="false">IF(J97="","",L97-J97)</f>
        <v>0</v>
      </c>
      <c r="O97" s="0" t="s">
        <v>1558</v>
      </c>
      <c r="P97" s="8" t="s">
        <v>1559</v>
      </c>
    </row>
    <row r="98" customFormat="false" ht="17.15" hidden="false" customHeight="false" outlineLevel="0" collapsed="false">
      <c r="A98" s="0" t="s">
        <v>1569</v>
      </c>
      <c r="B98" s="0" t="s">
        <v>107</v>
      </c>
      <c r="C98" s="0" t="s">
        <v>1570</v>
      </c>
      <c r="D98" s="0" t="s">
        <v>1042</v>
      </c>
      <c r="E98" s="3" t="n">
        <f aca="false">SUMIFS(Tasks_Cost,Tasks_TaskID,$A98,Tasks_Tier,$D98,Tasks_Type,"base")</f>
        <v>152</v>
      </c>
      <c r="F98" s="3" t="n">
        <f aca="false">SUMIFS(Tasks_Cost,Tasks_TaskID,$A98,Tasks_Tier,$D98,Tasks_Type,"as-needed")</f>
        <v>0</v>
      </c>
      <c r="G98" s="3" t="n">
        <f aca="false">SUMIFS(Tasks_Cost,Tasks_TaskID,$A98,Tasks_Tier,$D98,Tasks_Type,"flagged")</f>
        <v>0</v>
      </c>
      <c r="H98" s="3" t="n">
        <f aca="false">SUMIFS(Tasks_Cost,Tasks_TaskID,$A98,Tasks_Tier,$D98,Tasks_Type,"reference")</f>
        <v>0</v>
      </c>
      <c r="I98" s="0" t="n">
        <f aca="false">COUNTIFS(Tasks_TaskID,$A98,Tasks_Tier,$D98)</f>
        <v>1</v>
      </c>
      <c r="J98" s="3" t="n">
        <v>152</v>
      </c>
      <c r="K98" s="0" t="s">
        <v>1100</v>
      </c>
      <c r="L98" s="3" t="n">
        <f aca="false">IF(K98="reference",H98,E98)</f>
        <v>152</v>
      </c>
      <c r="M98" s="9" t="n">
        <f aca="false">IF(J98="","",L98-J98)</f>
        <v>0</v>
      </c>
      <c r="O98" s="0" t="s">
        <v>1571</v>
      </c>
      <c r="P98" s="8" t="s">
        <v>1572</v>
      </c>
    </row>
    <row r="99" customFormat="false" ht="17.15" hidden="false" customHeight="false" outlineLevel="0" collapsed="false">
      <c r="A99" s="0" t="s">
        <v>1569</v>
      </c>
      <c r="B99" s="0" t="s">
        <v>107</v>
      </c>
      <c r="C99" s="0" t="s">
        <v>1570</v>
      </c>
      <c r="D99" s="0" t="s">
        <v>1049</v>
      </c>
      <c r="E99" s="3" t="n">
        <f aca="false">SUMIFS(Tasks_Cost,Tasks_TaskID,$A99,Tasks_Tier,$D99,Tasks_Type,"base")</f>
        <v>152</v>
      </c>
      <c r="F99" s="3" t="n">
        <f aca="false">SUMIFS(Tasks_Cost,Tasks_TaskID,$A99,Tasks_Tier,$D99,Tasks_Type,"as-needed")</f>
        <v>0</v>
      </c>
      <c r="G99" s="3" t="n">
        <f aca="false">SUMIFS(Tasks_Cost,Tasks_TaskID,$A99,Tasks_Tier,$D99,Tasks_Type,"flagged")</f>
        <v>0</v>
      </c>
      <c r="H99" s="3" t="n">
        <f aca="false">SUMIFS(Tasks_Cost,Tasks_TaskID,$A99,Tasks_Tier,$D99,Tasks_Type,"reference")</f>
        <v>0</v>
      </c>
      <c r="I99" s="0" t="n">
        <f aca="false">COUNTIFS(Tasks_TaskID,$A99,Tasks_Tier,$D99)</f>
        <v>1</v>
      </c>
      <c r="J99" s="3" t="n">
        <v>152</v>
      </c>
      <c r="K99" s="0" t="s">
        <v>1100</v>
      </c>
      <c r="L99" s="3" t="n">
        <f aca="false">IF(K99="reference",H99,E99)</f>
        <v>152</v>
      </c>
      <c r="M99" s="9" t="n">
        <f aca="false">IF(J99="","",L99-J99)</f>
        <v>0</v>
      </c>
      <c r="O99" s="0" t="s">
        <v>1571</v>
      </c>
      <c r="P99" s="8" t="s">
        <v>1572</v>
      </c>
    </row>
    <row r="100" customFormat="false" ht="17.15" hidden="false" customHeight="false" outlineLevel="0" collapsed="false">
      <c r="A100" s="0" t="s">
        <v>1569</v>
      </c>
      <c r="B100" s="0" t="s">
        <v>107</v>
      </c>
      <c r="C100" s="0" t="s">
        <v>1570</v>
      </c>
      <c r="D100" s="0" t="s">
        <v>1051</v>
      </c>
      <c r="E100" s="3" t="n">
        <f aca="false">SUMIFS(Tasks_Cost,Tasks_TaskID,$A100,Tasks_Tier,$D100,Tasks_Type,"base")</f>
        <v>152</v>
      </c>
      <c r="F100" s="3" t="n">
        <f aca="false">SUMIFS(Tasks_Cost,Tasks_TaskID,$A100,Tasks_Tier,$D100,Tasks_Type,"as-needed")</f>
        <v>0</v>
      </c>
      <c r="G100" s="3" t="n">
        <f aca="false">SUMIFS(Tasks_Cost,Tasks_TaskID,$A100,Tasks_Tier,$D100,Tasks_Type,"flagged")</f>
        <v>0</v>
      </c>
      <c r="H100" s="3" t="n">
        <f aca="false">SUMIFS(Tasks_Cost,Tasks_TaskID,$A100,Tasks_Tier,$D100,Tasks_Type,"reference")</f>
        <v>0</v>
      </c>
      <c r="I100" s="0" t="n">
        <f aca="false">COUNTIFS(Tasks_TaskID,$A100,Tasks_Tier,$D100)</f>
        <v>1</v>
      </c>
      <c r="J100" s="3" t="n">
        <v>152</v>
      </c>
      <c r="K100" s="0" t="s">
        <v>1100</v>
      </c>
      <c r="L100" s="3" t="n">
        <f aca="false">IF(K100="reference",H100,E100)</f>
        <v>152</v>
      </c>
      <c r="M100" s="9" t="n">
        <f aca="false">IF(J100="","",L100-J100)</f>
        <v>0</v>
      </c>
      <c r="O100" s="0" t="s">
        <v>1571</v>
      </c>
      <c r="P100" s="8" t="s">
        <v>1572</v>
      </c>
    </row>
    <row r="101" customFormat="false" ht="17.15" hidden="false" customHeight="false" outlineLevel="0" collapsed="false">
      <c r="A101" s="0" t="s">
        <v>1596</v>
      </c>
      <c r="B101" s="0" t="s">
        <v>176</v>
      </c>
      <c r="C101" s="0" t="s">
        <v>1597</v>
      </c>
      <c r="D101" s="0" t="s">
        <v>1042</v>
      </c>
      <c r="E101" s="3" t="n">
        <f aca="false">SUMIFS(Tasks_Cost,Tasks_TaskID,$A101,Tasks_Tier,$D101,Tasks_Type,"base")</f>
        <v>381</v>
      </c>
      <c r="F101" s="3" t="n">
        <f aca="false">SUMIFS(Tasks_Cost,Tasks_TaskID,$A101,Tasks_Tier,$D101,Tasks_Type,"as-needed")</f>
        <v>0</v>
      </c>
      <c r="G101" s="3" t="n">
        <f aca="false">SUMIFS(Tasks_Cost,Tasks_TaskID,$A101,Tasks_Tier,$D101,Tasks_Type,"flagged")</f>
        <v>0</v>
      </c>
      <c r="H101" s="3" t="n">
        <f aca="false">SUMIFS(Tasks_Cost,Tasks_TaskID,$A101,Tasks_Tier,$D101,Tasks_Type,"reference")</f>
        <v>0</v>
      </c>
      <c r="I101" s="0" t="n">
        <f aca="false">COUNTIFS(Tasks_TaskID,$A101,Tasks_Tier,$D101)</f>
        <v>4</v>
      </c>
      <c r="J101" s="3" t="n">
        <v>381</v>
      </c>
      <c r="K101" s="0" t="s">
        <v>1100</v>
      </c>
      <c r="L101" s="3" t="n">
        <f aca="false">IF(K101="reference",H101,E101)</f>
        <v>381</v>
      </c>
      <c r="M101" s="9" t="n">
        <f aca="false">IF(J101="","",L101-J101)</f>
        <v>0</v>
      </c>
      <c r="O101" s="0" t="s">
        <v>1600</v>
      </c>
      <c r="P101" s="8" t="s">
        <v>1601</v>
      </c>
    </row>
    <row r="102" customFormat="false" ht="17.15" hidden="false" customHeight="false" outlineLevel="0" collapsed="false">
      <c r="A102" s="0" t="s">
        <v>1596</v>
      </c>
      <c r="B102" s="0" t="s">
        <v>176</v>
      </c>
      <c r="C102" s="0" t="s">
        <v>1597</v>
      </c>
      <c r="D102" s="0" t="s">
        <v>1049</v>
      </c>
      <c r="E102" s="3" t="n">
        <f aca="false">SUMIFS(Tasks_Cost,Tasks_TaskID,$A102,Tasks_Tier,$D102,Tasks_Type,"base")</f>
        <v>439.5</v>
      </c>
      <c r="F102" s="3" t="n">
        <f aca="false">SUMIFS(Tasks_Cost,Tasks_TaskID,$A102,Tasks_Tier,$D102,Tasks_Type,"as-needed")</f>
        <v>0</v>
      </c>
      <c r="G102" s="3" t="n">
        <f aca="false">SUMIFS(Tasks_Cost,Tasks_TaskID,$A102,Tasks_Tier,$D102,Tasks_Type,"flagged")</f>
        <v>0</v>
      </c>
      <c r="H102" s="3" t="n">
        <f aca="false">SUMIFS(Tasks_Cost,Tasks_TaskID,$A102,Tasks_Tier,$D102,Tasks_Type,"reference")</f>
        <v>0</v>
      </c>
      <c r="I102" s="0" t="n">
        <f aca="false">COUNTIFS(Tasks_TaskID,$A102,Tasks_Tier,$D102)</f>
        <v>4</v>
      </c>
      <c r="J102" s="3" t="n">
        <v>439.5</v>
      </c>
      <c r="K102" s="0" t="s">
        <v>1100</v>
      </c>
      <c r="L102" s="3" t="n">
        <f aca="false">IF(K102="reference",H102,E102)</f>
        <v>439.5</v>
      </c>
      <c r="M102" s="9" t="n">
        <f aca="false">IF(J102="","",L102-J102)</f>
        <v>0</v>
      </c>
      <c r="O102" s="0" t="s">
        <v>1600</v>
      </c>
      <c r="P102" s="8" t="s">
        <v>1601</v>
      </c>
    </row>
    <row r="103" customFormat="false" ht="17.15" hidden="false" customHeight="false" outlineLevel="0" collapsed="false">
      <c r="A103" s="0" t="s">
        <v>1596</v>
      </c>
      <c r="B103" s="0" t="s">
        <v>176</v>
      </c>
      <c r="C103" s="0" t="s">
        <v>1597</v>
      </c>
      <c r="D103" s="0" t="s">
        <v>1051</v>
      </c>
      <c r="E103" s="3" t="n">
        <f aca="false">SUMIFS(Tasks_Cost,Tasks_TaskID,$A103,Tasks_Tier,$D103,Tasks_Type,"base")</f>
        <v>777.15</v>
      </c>
      <c r="F103" s="3" t="n">
        <f aca="false">SUMIFS(Tasks_Cost,Tasks_TaskID,$A103,Tasks_Tier,$D103,Tasks_Type,"as-needed")</f>
        <v>0</v>
      </c>
      <c r="G103" s="3" t="n">
        <f aca="false">SUMIFS(Tasks_Cost,Tasks_TaskID,$A103,Tasks_Tier,$D103,Tasks_Type,"flagged")</f>
        <v>0</v>
      </c>
      <c r="H103" s="3" t="n">
        <f aca="false">SUMIFS(Tasks_Cost,Tasks_TaskID,$A103,Tasks_Tier,$D103,Tasks_Type,"reference")</f>
        <v>0</v>
      </c>
      <c r="I103" s="0" t="n">
        <f aca="false">COUNTIFS(Tasks_TaskID,$A103,Tasks_Tier,$D103)</f>
        <v>4</v>
      </c>
      <c r="J103" s="3" t="n">
        <v>741.71</v>
      </c>
      <c r="K103" s="0" t="s">
        <v>1100</v>
      </c>
      <c r="L103" s="3" t="n">
        <f aca="false">IF(K103="reference",H103,E103)</f>
        <v>777.15</v>
      </c>
      <c r="M103" s="9" t="n">
        <f aca="false">IF(J103="","",L103-J103)</f>
        <v>35.4399999999999</v>
      </c>
      <c r="O103" s="0" t="s">
        <v>1600</v>
      </c>
      <c r="P103" s="8" t="s">
        <v>1601</v>
      </c>
    </row>
    <row r="104" customFormat="false" ht="17.15" hidden="false" customHeight="false" outlineLevel="0" collapsed="false">
      <c r="A104" s="0" t="s">
        <v>1620</v>
      </c>
      <c r="B104" s="0" t="s">
        <v>176</v>
      </c>
      <c r="C104" s="0" t="s">
        <v>1621</v>
      </c>
      <c r="D104" s="0" t="s">
        <v>1042</v>
      </c>
      <c r="E104" s="3" t="n">
        <f aca="false">SUMIFS(Tasks_Cost,Tasks_TaskID,$A104,Tasks_Tier,$D104,Tasks_Type,"base")</f>
        <v>9.2</v>
      </c>
      <c r="F104" s="3" t="n">
        <f aca="false">SUMIFS(Tasks_Cost,Tasks_TaskID,$A104,Tasks_Tier,$D104,Tasks_Type,"as-needed")</f>
        <v>0</v>
      </c>
      <c r="G104" s="3" t="n">
        <f aca="false">SUMIFS(Tasks_Cost,Tasks_TaskID,$A104,Tasks_Tier,$D104,Tasks_Type,"flagged")</f>
        <v>0</v>
      </c>
      <c r="H104" s="3" t="n">
        <f aca="false">SUMIFS(Tasks_Cost,Tasks_TaskID,$A104,Tasks_Tier,$D104,Tasks_Type,"reference")</f>
        <v>0</v>
      </c>
      <c r="I104" s="0" t="n">
        <f aca="false">COUNTIFS(Tasks_TaskID,$A104,Tasks_Tier,$D104)</f>
        <v>2</v>
      </c>
      <c r="J104" s="3" t="n">
        <v>9.2</v>
      </c>
      <c r="K104" s="0" t="s">
        <v>1100</v>
      </c>
      <c r="L104" s="3" t="n">
        <f aca="false">IF(K104="reference",H104,E104)</f>
        <v>9.2</v>
      </c>
      <c r="M104" s="9" t="n">
        <f aca="false">IF(J104="","",L104-J104)</f>
        <v>0</v>
      </c>
      <c r="O104" s="0" t="s">
        <v>1624</v>
      </c>
      <c r="P104" s="8" t="s">
        <v>1625</v>
      </c>
    </row>
    <row r="105" customFormat="false" ht="17.15" hidden="false" customHeight="false" outlineLevel="0" collapsed="false">
      <c r="A105" s="0" t="s">
        <v>1620</v>
      </c>
      <c r="B105" s="0" t="s">
        <v>176</v>
      </c>
      <c r="C105" s="0" t="s">
        <v>1621</v>
      </c>
      <c r="D105" s="0" t="s">
        <v>1049</v>
      </c>
      <c r="E105" s="3" t="n">
        <f aca="false">SUMIFS(Tasks_Cost,Tasks_TaskID,$A105,Tasks_Tier,$D105,Tasks_Type,"base")</f>
        <v>9.2</v>
      </c>
      <c r="F105" s="3" t="n">
        <f aca="false">SUMIFS(Tasks_Cost,Tasks_TaskID,$A105,Tasks_Tier,$D105,Tasks_Type,"as-needed")</f>
        <v>0</v>
      </c>
      <c r="G105" s="3" t="n">
        <f aca="false">SUMIFS(Tasks_Cost,Tasks_TaskID,$A105,Tasks_Tier,$D105,Tasks_Type,"flagged")</f>
        <v>0</v>
      </c>
      <c r="H105" s="3" t="n">
        <f aca="false">SUMIFS(Tasks_Cost,Tasks_TaskID,$A105,Tasks_Tier,$D105,Tasks_Type,"reference")</f>
        <v>0</v>
      </c>
      <c r="I105" s="0" t="n">
        <f aca="false">COUNTIFS(Tasks_TaskID,$A105,Tasks_Tier,$D105)</f>
        <v>2</v>
      </c>
      <c r="J105" s="3" t="n">
        <v>9.2</v>
      </c>
      <c r="K105" s="0" t="s">
        <v>1100</v>
      </c>
      <c r="L105" s="3" t="n">
        <f aca="false">IF(K105="reference",H105,E105)</f>
        <v>9.2</v>
      </c>
      <c r="M105" s="9" t="n">
        <f aca="false">IF(J105="","",L105-J105)</f>
        <v>0</v>
      </c>
      <c r="O105" s="0" t="s">
        <v>1624</v>
      </c>
      <c r="P105" s="8" t="s">
        <v>1625</v>
      </c>
    </row>
    <row r="106" customFormat="false" ht="17.15" hidden="false" customHeight="false" outlineLevel="0" collapsed="false">
      <c r="A106" s="0" t="s">
        <v>1620</v>
      </c>
      <c r="B106" s="0" t="s">
        <v>176</v>
      </c>
      <c r="C106" s="0" t="s">
        <v>1621</v>
      </c>
      <c r="D106" s="0" t="s">
        <v>1051</v>
      </c>
      <c r="E106" s="3" t="n">
        <f aca="false">SUMIFS(Tasks_Cost,Tasks_TaskID,$A106,Tasks_Tier,$D106,Tasks_Type,"base")</f>
        <v>9.2</v>
      </c>
      <c r="F106" s="3" t="n">
        <f aca="false">SUMIFS(Tasks_Cost,Tasks_TaskID,$A106,Tasks_Tier,$D106,Tasks_Type,"as-needed")</f>
        <v>0</v>
      </c>
      <c r="G106" s="3" t="n">
        <f aca="false">SUMIFS(Tasks_Cost,Tasks_TaskID,$A106,Tasks_Tier,$D106,Tasks_Type,"flagged")</f>
        <v>0</v>
      </c>
      <c r="H106" s="3" t="n">
        <f aca="false">SUMIFS(Tasks_Cost,Tasks_TaskID,$A106,Tasks_Tier,$D106,Tasks_Type,"reference")</f>
        <v>0</v>
      </c>
      <c r="I106" s="0" t="n">
        <f aca="false">COUNTIFS(Tasks_TaskID,$A106,Tasks_Tier,$D106)</f>
        <v>2</v>
      </c>
      <c r="J106" s="3" t="n">
        <v>9.2</v>
      </c>
      <c r="K106" s="0" t="s">
        <v>1100</v>
      </c>
      <c r="L106" s="3" t="n">
        <f aca="false">IF(K106="reference",H106,E106)</f>
        <v>9.2</v>
      </c>
      <c r="M106" s="9" t="n">
        <f aca="false">IF(J106="","",L106-J106)</f>
        <v>0</v>
      </c>
      <c r="O106" s="0" t="s">
        <v>1624</v>
      </c>
      <c r="P106" s="8" t="s">
        <v>1625</v>
      </c>
    </row>
    <row r="107" customFormat="false" ht="17.15" hidden="false" customHeight="false" outlineLevel="0" collapsed="false">
      <c r="A107" s="0" t="s">
        <v>1657</v>
      </c>
      <c r="B107" s="0" t="s">
        <v>939</v>
      </c>
      <c r="C107" s="0" t="s">
        <v>1658</v>
      </c>
      <c r="D107" s="0" t="s">
        <v>1659</v>
      </c>
      <c r="E107" s="3" t="n">
        <f aca="false">SUMIFS(Tasks_Cost,Tasks_TaskID,$A107,Tasks_Tier,$D107,Tasks_Type,"base")</f>
        <v>156.65</v>
      </c>
      <c r="F107" s="3" t="n">
        <f aca="false">SUMIFS(Tasks_Cost,Tasks_TaskID,$A107,Tasks_Tier,$D107,Tasks_Type,"as-needed")</f>
        <v>185.5</v>
      </c>
      <c r="G107" s="3" t="n">
        <f aca="false">SUMIFS(Tasks_Cost,Tasks_TaskID,$A107,Tasks_Tier,$D107,Tasks_Type,"flagged")</f>
        <v>0</v>
      </c>
      <c r="H107" s="3" t="n">
        <f aca="false">SUMIFS(Tasks_Cost,Tasks_TaskID,$A107,Tasks_Tier,$D107,Tasks_Type,"reference")</f>
        <v>0</v>
      </c>
      <c r="I107" s="0" t="n">
        <f aca="false">COUNTIFS(Tasks_TaskID,$A107,Tasks_Tier,$D107)</f>
        <v>10</v>
      </c>
      <c r="J107" s="3"/>
      <c r="K107" s="0" t="s">
        <v>1100</v>
      </c>
      <c r="L107" s="3" t="n">
        <f aca="false">IF(K107="reference",H107,E107)</f>
        <v>156.65</v>
      </c>
      <c r="M107" s="9" t="str">
        <f aca="false">IF(J107="","",L107-J107)</f>
        <v/>
      </c>
      <c r="O107" s="0" t="s">
        <v>1662</v>
      </c>
      <c r="P107" s="8" t="s">
        <v>1663</v>
      </c>
    </row>
    <row r="108" customFormat="false" ht="17.15" hidden="false" customHeight="false" outlineLevel="0" collapsed="false">
      <c r="A108" s="0" t="s">
        <v>1657</v>
      </c>
      <c r="B108" s="0" t="s">
        <v>939</v>
      </c>
      <c r="C108" s="0" t="s">
        <v>1658</v>
      </c>
      <c r="D108" s="0" t="s">
        <v>1679</v>
      </c>
      <c r="E108" s="3" t="n">
        <f aca="false">SUMIFS(Tasks_Cost,Tasks_TaskID,$A108,Tasks_Tier,$D108,Tasks_Type,"base")</f>
        <v>234.975</v>
      </c>
      <c r="F108" s="3" t="n">
        <f aca="false">SUMIFS(Tasks_Cost,Tasks_TaskID,$A108,Tasks_Tier,$D108,Tasks_Type,"as-needed")</f>
        <v>185.5</v>
      </c>
      <c r="G108" s="3" t="n">
        <f aca="false">SUMIFS(Tasks_Cost,Tasks_TaskID,$A108,Tasks_Tier,$D108,Tasks_Type,"flagged")</f>
        <v>0</v>
      </c>
      <c r="H108" s="3" t="n">
        <f aca="false">SUMIFS(Tasks_Cost,Tasks_TaskID,$A108,Tasks_Tier,$D108,Tasks_Type,"reference")</f>
        <v>0</v>
      </c>
      <c r="I108" s="0" t="n">
        <f aca="false">COUNTIFS(Tasks_TaskID,$A108,Tasks_Tier,$D108)</f>
        <v>10</v>
      </c>
      <c r="J108" s="3"/>
      <c r="K108" s="0" t="s">
        <v>1100</v>
      </c>
      <c r="L108" s="3" t="n">
        <f aca="false">IF(K108="reference",H108,E108)</f>
        <v>234.975</v>
      </c>
      <c r="M108" s="9" t="str">
        <f aca="false">IF(J108="","",L108-J108)</f>
        <v/>
      </c>
      <c r="O108" s="0" t="s">
        <v>1662</v>
      </c>
      <c r="P108" s="8" t="s">
        <v>1663</v>
      </c>
    </row>
    <row r="109" customFormat="false" ht="17.15" hidden="false" customHeight="false" outlineLevel="0" collapsed="false">
      <c r="A109" s="0" t="s">
        <v>1657</v>
      </c>
      <c r="B109" s="0" t="s">
        <v>939</v>
      </c>
      <c r="C109" s="0" t="s">
        <v>1658</v>
      </c>
      <c r="D109" s="0" t="s">
        <v>1691</v>
      </c>
      <c r="E109" s="3" t="n">
        <f aca="false">SUMIFS(Tasks_Cost,Tasks_TaskID,$A109,Tasks_Tier,$D109,Tasks_Type,"base")</f>
        <v>313.3</v>
      </c>
      <c r="F109" s="3" t="n">
        <f aca="false">SUMIFS(Tasks_Cost,Tasks_TaskID,$A109,Tasks_Tier,$D109,Tasks_Type,"as-needed")</f>
        <v>185.5</v>
      </c>
      <c r="G109" s="3" t="n">
        <f aca="false">SUMIFS(Tasks_Cost,Tasks_TaskID,$A109,Tasks_Tier,$D109,Tasks_Type,"flagged")</f>
        <v>0</v>
      </c>
      <c r="H109" s="3" t="n">
        <f aca="false">SUMIFS(Tasks_Cost,Tasks_TaskID,$A109,Tasks_Tier,$D109,Tasks_Type,"reference")</f>
        <v>0</v>
      </c>
      <c r="I109" s="0" t="n">
        <f aca="false">COUNTIFS(Tasks_TaskID,$A109,Tasks_Tier,$D109)</f>
        <v>10</v>
      </c>
      <c r="J109" s="3"/>
      <c r="K109" s="0" t="s">
        <v>1100</v>
      </c>
      <c r="L109" s="3" t="n">
        <f aca="false">IF(K109="reference",H109,E109)</f>
        <v>313.3</v>
      </c>
      <c r="M109" s="9" t="str">
        <f aca="false">IF(J109="","",L109-J109)</f>
        <v/>
      </c>
      <c r="O109" s="0" t="s">
        <v>1662</v>
      </c>
      <c r="P109" s="8" t="s">
        <v>1663</v>
      </c>
    </row>
    <row r="110" customFormat="false" ht="17.15" hidden="false" customHeight="false" outlineLevel="0" collapsed="false">
      <c r="A110" s="0" t="s">
        <v>1703</v>
      </c>
      <c r="B110" s="0" t="s">
        <v>939</v>
      </c>
      <c r="C110" s="0" t="s">
        <v>1704</v>
      </c>
      <c r="D110" s="0" t="s">
        <v>1659</v>
      </c>
      <c r="E110" s="3" t="n">
        <f aca="false">SUMIFS(Tasks_Cost,Tasks_TaskID,$A110,Tasks_Tier,$D110,Tasks_Type,"base")</f>
        <v>234.975</v>
      </c>
      <c r="F110" s="3" t="n">
        <f aca="false">SUMIFS(Tasks_Cost,Tasks_TaskID,$A110,Tasks_Tier,$D110,Tasks_Type,"as-needed")</f>
        <v>185.5</v>
      </c>
      <c r="G110" s="3" t="n">
        <f aca="false">SUMIFS(Tasks_Cost,Tasks_TaskID,$A110,Tasks_Tier,$D110,Tasks_Type,"flagged")</f>
        <v>0</v>
      </c>
      <c r="H110" s="3" t="n">
        <f aca="false">SUMIFS(Tasks_Cost,Tasks_TaskID,$A110,Tasks_Tier,$D110,Tasks_Type,"reference")</f>
        <v>0</v>
      </c>
      <c r="I110" s="0" t="n">
        <f aca="false">COUNTIFS(Tasks_TaskID,$A110,Tasks_Tier,$D110)</f>
        <v>11</v>
      </c>
      <c r="J110" s="3"/>
      <c r="K110" s="0" t="s">
        <v>1100</v>
      </c>
      <c r="L110" s="3" t="n">
        <f aca="false">IF(K110="reference",H110,E110)</f>
        <v>234.975</v>
      </c>
      <c r="M110" s="9" t="str">
        <f aca="false">IF(J110="","",L110-J110)</f>
        <v/>
      </c>
      <c r="O110" s="0" t="s">
        <v>1706</v>
      </c>
      <c r="P110" s="8" t="s">
        <v>1707</v>
      </c>
    </row>
    <row r="111" customFormat="false" ht="17.15" hidden="false" customHeight="false" outlineLevel="0" collapsed="false">
      <c r="A111" s="0" t="s">
        <v>1703</v>
      </c>
      <c r="B111" s="0" t="s">
        <v>939</v>
      </c>
      <c r="C111" s="0" t="s">
        <v>1704</v>
      </c>
      <c r="D111" s="0" t="s">
        <v>1679</v>
      </c>
      <c r="E111" s="3" t="n">
        <f aca="false">SUMIFS(Tasks_Cost,Tasks_TaskID,$A111,Tasks_Tier,$D111,Tasks_Type,"base")</f>
        <v>352.4625</v>
      </c>
      <c r="F111" s="3" t="n">
        <f aca="false">SUMIFS(Tasks_Cost,Tasks_TaskID,$A111,Tasks_Tier,$D111,Tasks_Type,"as-needed")</f>
        <v>185.5</v>
      </c>
      <c r="G111" s="3" t="n">
        <f aca="false">SUMIFS(Tasks_Cost,Tasks_TaskID,$A111,Tasks_Tier,$D111,Tasks_Type,"flagged")</f>
        <v>0</v>
      </c>
      <c r="H111" s="3" t="n">
        <f aca="false">SUMIFS(Tasks_Cost,Tasks_TaskID,$A111,Tasks_Tier,$D111,Tasks_Type,"reference")</f>
        <v>0</v>
      </c>
      <c r="I111" s="0" t="n">
        <f aca="false">COUNTIFS(Tasks_TaskID,$A111,Tasks_Tier,$D111)</f>
        <v>11</v>
      </c>
      <c r="J111" s="3"/>
      <c r="K111" s="0" t="s">
        <v>1100</v>
      </c>
      <c r="L111" s="3" t="n">
        <f aca="false">IF(K111="reference",H111,E111)</f>
        <v>352.4625</v>
      </c>
      <c r="M111" s="9" t="str">
        <f aca="false">IF(J111="","",L111-J111)</f>
        <v/>
      </c>
      <c r="O111" s="0" t="s">
        <v>1706</v>
      </c>
      <c r="P111" s="8" t="s">
        <v>1707</v>
      </c>
    </row>
    <row r="112" customFormat="false" ht="17.15" hidden="false" customHeight="false" outlineLevel="0" collapsed="false">
      <c r="A112" s="0" t="s">
        <v>1703</v>
      </c>
      <c r="B112" s="0" t="s">
        <v>939</v>
      </c>
      <c r="C112" s="0" t="s">
        <v>1704</v>
      </c>
      <c r="D112" s="0" t="s">
        <v>1691</v>
      </c>
      <c r="E112" s="3" t="n">
        <f aca="false">SUMIFS(Tasks_Cost,Tasks_TaskID,$A112,Tasks_Tier,$D112,Tasks_Type,"base")</f>
        <v>469.95</v>
      </c>
      <c r="F112" s="3" t="n">
        <f aca="false">SUMIFS(Tasks_Cost,Tasks_TaskID,$A112,Tasks_Tier,$D112,Tasks_Type,"as-needed")</f>
        <v>185.5</v>
      </c>
      <c r="G112" s="3" t="n">
        <f aca="false">SUMIFS(Tasks_Cost,Tasks_TaskID,$A112,Tasks_Tier,$D112,Tasks_Type,"flagged")</f>
        <v>0</v>
      </c>
      <c r="H112" s="3" t="n">
        <f aca="false">SUMIFS(Tasks_Cost,Tasks_TaskID,$A112,Tasks_Tier,$D112,Tasks_Type,"reference")</f>
        <v>0</v>
      </c>
      <c r="I112" s="0" t="n">
        <f aca="false">COUNTIFS(Tasks_TaskID,$A112,Tasks_Tier,$D112)</f>
        <v>11</v>
      </c>
      <c r="J112" s="3"/>
      <c r="K112" s="0" t="s">
        <v>1100</v>
      </c>
      <c r="L112" s="3" t="n">
        <f aca="false">IF(K112="reference",H112,E112)</f>
        <v>469.95</v>
      </c>
      <c r="M112" s="9" t="str">
        <f aca="false">IF(J112="","",L112-J112)</f>
        <v/>
      </c>
      <c r="O112" s="0" t="s">
        <v>1706</v>
      </c>
      <c r="P112" s="8" t="s">
        <v>1707</v>
      </c>
    </row>
    <row r="113" customFormat="false" ht="17.15" hidden="false" customHeight="false" outlineLevel="0" collapsed="false">
      <c r="A113" s="0" t="s">
        <v>1745</v>
      </c>
      <c r="B113" s="0" t="s">
        <v>939</v>
      </c>
      <c r="C113" s="0" t="s">
        <v>1746</v>
      </c>
      <c r="D113" s="0" t="s">
        <v>1659</v>
      </c>
      <c r="E113" s="3" t="n">
        <f aca="false">SUMIFS(Tasks_Cost,Tasks_TaskID,$A113,Tasks_Tier,$D113,Tasks_Type,"base")</f>
        <v>234.975</v>
      </c>
      <c r="F113" s="3" t="n">
        <f aca="false">SUMIFS(Tasks_Cost,Tasks_TaskID,$A113,Tasks_Tier,$D113,Tasks_Type,"as-needed")</f>
        <v>185.5</v>
      </c>
      <c r="G113" s="3" t="n">
        <f aca="false">SUMIFS(Tasks_Cost,Tasks_TaskID,$A113,Tasks_Tier,$D113,Tasks_Type,"flagged")</f>
        <v>0</v>
      </c>
      <c r="H113" s="3" t="n">
        <f aca="false">SUMIFS(Tasks_Cost,Tasks_TaskID,$A113,Tasks_Tier,$D113,Tasks_Type,"reference")</f>
        <v>0</v>
      </c>
      <c r="I113" s="0" t="n">
        <f aca="false">COUNTIFS(Tasks_TaskID,$A113,Tasks_Tier,$D113)</f>
        <v>11</v>
      </c>
      <c r="J113" s="3"/>
      <c r="K113" s="0" t="s">
        <v>1100</v>
      </c>
      <c r="L113" s="3" t="n">
        <f aca="false">IF(K113="reference",H113,E113)</f>
        <v>234.975</v>
      </c>
      <c r="M113" s="9" t="str">
        <f aca="false">IF(J113="","",L113-J113)</f>
        <v/>
      </c>
      <c r="O113" s="0" t="s">
        <v>1747</v>
      </c>
      <c r="P113" s="8" t="s">
        <v>1748</v>
      </c>
    </row>
    <row r="114" customFormat="false" ht="17.15" hidden="false" customHeight="false" outlineLevel="0" collapsed="false">
      <c r="A114" s="0" t="s">
        <v>1745</v>
      </c>
      <c r="B114" s="0" t="s">
        <v>939</v>
      </c>
      <c r="C114" s="0" t="s">
        <v>1746</v>
      </c>
      <c r="D114" s="0" t="s">
        <v>1679</v>
      </c>
      <c r="E114" s="3" t="n">
        <f aca="false">SUMIFS(Tasks_Cost,Tasks_TaskID,$A114,Tasks_Tier,$D114,Tasks_Type,"base")</f>
        <v>352.4625</v>
      </c>
      <c r="F114" s="3" t="n">
        <f aca="false">SUMIFS(Tasks_Cost,Tasks_TaskID,$A114,Tasks_Tier,$D114,Tasks_Type,"as-needed")</f>
        <v>185.5</v>
      </c>
      <c r="G114" s="3" t="n">
        <f aca="false">SUMIFS(Tasks_Cost,Tasks_TaskID,$A114,Tasks_Tier,$D114,Tasks_Type,"flagged")</f>
        <v>0</v>
      </c>
      <c r="H114" s="3" t="n">
        <f aca="false">SUMIFS(Tasks_Cost,Tasks_TaskID,$A114,Tasks_Tier,$D114,Tasks_Type,"reference")</f>
        <v>0</v>
      </c>
      <c r="I114" s="0" t="n">
        <f aca="false">COUNTIFS(Tasks_TaskID,$A114,Tasks_Tier,$D114)</f>
        <v>11</v>
      </c>
      <c r="J114" s="3"/>
      <c r="K114" s="0" t="s">
        <v>1100</v>
      </c>
      <c r="L114" s="3" t="n">
        <f aca="false">IF(K114="reference",H114,E114)</f>
        <v>352.4625</v>
      </c>
      <c r="M114" s="9" t="str">
        <f aca="false">IF(J114="","",L114-J114)</f>
        <v/>
      </c>
      <c r="O114" s="0" t="s">
        <v>1747</v>
      </c>
      <c r="P114" s="8" t="s">
        <v>1748</v>
      </c>
    </row>
    <row r="115" customFormat="false" ht="17.15" hidden="false" customHeight="false" outlineLevel="0" collapsed="false">
      <c r="A115" s="0" t="s">
        <v>1745</v>
      </c>
      <c r="B115" s="0" t="s">
        <v>939</v>
      </c>
      <c r="C115" s="0" t="s">
        <v>1746</v>
      </c>
      <c r="D115" s="0" t="s">
        <v>1691</v>
      </c>
      <c r="E115" s="3" t="n">
        <f aca="false">SUMIFS(Tasks_Cost,Tasks_TaskID,$A115,Tasks_Tier,$D115,Tasks_Type,"base")</f>
        <v>469.95</v>
      </c>
      <c r="F115" s="3" t="n">
        <f aca="false">SUMIFS(Tasks_Cost,Tasks_TaskID,$A115,Tasks_Tier,$D115,Tasks_Type,"as-needed")</f>
        <v>185.5</v>
      </c>
      <c r="G115" s="3" t="n">
        <f aca="false">SUMIFS(Tasks_Cost,Tasks_TaskID,$A115,Tasks_Tier,$D115,Tasks_Type,"flagged")</f>
        <v>0</v>
      </c>
      <c r="H115" s="3" t="n">
        <f aca="false">SUMIFS(Tasks_Cost,Tasks_TaskID,$A115,Tasks_Tier,$D115,Tasks_Type,"reference")</f>
        <v>0</v>
      </c>
      <c r="I115" s="0" t="n">
        <f aca="false">COUNTIFS(Tasks_TaskID,$A115,Tasks_Tier,$D115)</f>
        <v>11</v>
      </c>
      <c r="J115" s="3"/>
      <c r="K115" s="0" t="s">
        <v>1100</v>
      </c>
      <c r="L115" s="3" t="n">
        <f aca="false">IF(K115="reference",H115,E115)</f>
        <v>469.95</v>
      </c>
      <c r="M115" s="9" t="str">
        <f aca="false">IF(J115="","",L115-J115)</f>
        <v/>
      </c>
      <c r="O115" s="0" t="s">
        <v>1747</v>
      </c>
      <c r="P115" s="8" t="s">
        <v>1748</v>
      </c>
    </row>
    <row r="116" customFormat="false" ht="17.15" hidden="false" customHeight="false" outlineLevel="0" collapsed="false">
      <c r="A116" s="0" t="s">
        <v>1782</v>
      </c>
      <c r="B116" s="0" t="s">
        <v>939</v>
      </c>
      <c r="C116" s="0" t="s">
        <v>1783</v>
      </c>
      <c r="D116" s="0" t="s">
        <v>1659</v>
      </c>
      <c r="E116" s="3" t="n">
        <f aca="false">SUMIFS(Tasks_Cost,Tasks_TaskID,$A116,Tasks_Tier,$D116,Tasks_Type,"base")</f>
        <v>313.3</v>
      </c>
      <c r="F116" s="3" t="n">
        <f aca="false">SUMIFS(Tasks_Cost,Tasks_TaskID,$A116,Tasks_Tier,$D116,Tasks_Type,"as-needed")</f>
        <v>0</v>
      </c>
      <c r="G116" s="3" t="n">
        <f aca="false">SUMIFS(Tasks_Cost,Tasks_TaskID,$A116,Tasks_Tier,$D116,Tasks_Type,"flagged")</f>
        <v>0</v>
      </c>
      <c r="H116" s="3" t="n">
        <f aca="false">SUMIFS(Tasks_Cost,Tasks_TaskID,$A116,Tasks_Tier,$D116,Tasks_Type,"reference")</f>
        <v>0</v>
      </c>
      <c r="I116" s="0" t="n">
        <f aca="false">COUNTIFS(Tasks_TaskID,$A116,Tasks_Tier,$D116)</f>
        <v>7</v>
      </c>
      <c r="J116" s="3"/>
      <c r="K116" s="0" t="s">
        <v>1100</v>
      </c>
      <c r="L116" s="3" t="n">
        <f aca="false">IF(K116="reference",H116,E116)</f>
        <v>313.3</v>
      </c>
      <c r="M116" s="9" t="str">
        <f aca="false">IF(J116="","",L116-J116)</f>
        <v/>
      </c>
      <c r="O116" s="0" t="s">
        <v>1785</v>
      </c>
      <c r="P116" s="8" t="s">
        <v>1786</v>
      </c>
    </row>
    <row r="117" customFormat="false" ht="17.15" hidden="false" customHeight="false" outlineLevel="0" collapsed="false">
      <c r="A117" s="0" t="s">
        <v>1782</v>
      </c>
      <c r="B117" s="0" t="s">
        <v>939</v>
      </c>
      <c r="C117" s="0" t="s">
        <v>1783</v>
      </c>
      <c r="D117" s="0" t="s">
        <v>1679</v>
      </c>
      <c r="E117" s="3" t="n">
        <f aca="false">SUMIFS(Tasks_Cost,Tasks_TaskID,$A117,Tasks_Tier,$D117,Tasks_Type,"base")</f>
        <v>469.95</v>
      </c>
      <c r="F117" s="3" t="n">
        <f aca="false">SUMIFS(Tasks_Cost,Tasks_TaskID,$A117,Tasks_Tier,$D117,Tasks_Type,"as-needed")</f>
        <v>0</v>
      </c>
      <c r="G117" s="3" t="n">
        <f aca="false">SUMIFS(Tasks_Cost,Tasks_TaskID,$A117,Tasks_Tier,$D117,Tasks_Type,"flagged")</f>
        <v>0</v>
      </c>
      <c r="H117" s="3" t="n">
        <f aca="false">SUMIFS(Tasks_Cost,Tasks_TaskID,$A117,Tasks_Tier,$D117,Tasks_Type,"reference")</f>
        <v>0</v>
      </c>
      <c r="I117" s="0" t="n">
        <f aca="false">COUNTIFS(Tasks_TaskID,$A117,Tasks_Tier,$D117)</f>
        <v>7</v>
      </c>
      <c r="J117" s="3"/>
      <c r="K117" s="0" t="s">
        <v>1100</v>
      </c>
      <c r="L117" s="3" t="n">
        <f aca="false">IF(K117="reference",H117,E117)</f>
        <v>469.95</v>
      </c>
      <c r="M117" s="9" t="str">
        <f aca="false">IF(J117="","",L117-J117)</f>
        <v/>
      </c>
      <c r="O117" s="0" t="s">
        <v>1785</v>
      </c>
      <c r="P117" s="8" t="s">
        <v>1786</v>
      </c>
    </row>
    <row r="118" customFormat="false" ht="17.15" hidden="false" customHeight="false" outlineLevel="0" collapsed="false">
      <c r="A118" s="0" t="s">
        <v>1782</v>
      </c>
      <c r="B118" s="0" t="s">
        <v>939</v>
      </c>
      <c r="C118" s="0" t="s">
        <v>1783</v>
      </c>
      <c r="D118" s="0" t="s">
        <v>1691</v>
      </c>
      <c r="E118" s="3" t="n">
        <f aca="false">SUMIFS(Tasks_Cost,Tasks_TaskID,$A118,Tasks_Tier,$D118,Tasks_Type,"base")</f>
        <v>626.6</v>
      </c>
      <c r="F118" s="3" t="n">
        <f aca="false">SUMIFS(Tasks_Cost,Tasks_TaskID,$A118,Tasks_Tier,$D118,Tasks_Type,"as-needed")</f>
        <v>0</v>
      </c>
      <c r="G118" s="3" t="n">
        <f aca="false">SUMIFS(Tasks_Cost,Tasks_TaskID,$A118,Tasks_Tier,$D118,Tasks_Type,"flagged")</f>
        <v>0</v>
      </c>
      <c r="H118" s="3" t="n">
        <f aca="false">SUMIFS(Tasks_Cost,Tasks_TaskID,$A118,Tasks_Tier,$D118,Tasks_Type,"reference")</f>
        <v>0</v>
      </c>
      <c r="I118" s="0" t="n">
        <f aca="false">COUNTIFS(Tasks_TaskID,$A118,Tasks_Tier,$D118)</f>
        <v>7</v>
      </c>
      <c r="J118" s="3"/>
      <c r="K118" s="0" t="s">
        <v>1100</v>
      </c>
      <c r="L118" s="3" t="n">
        <f aca="false">IF(K118="reference",H118,E118)</f>
        <v>626.6</v>
      </c>
      <c r="M118" s="9" t="str">
        <f aca="false">IF(J118="","",L118-J118)</f>
        <v/>
      </c>
      <c r="O118" s="0" t="s">
        <v>1785</v>
      </c>
      <c r="P118" s="8" t="s">
        <v>1786</v>
      </c>
    </row>
    <row r="119" customFormat="false" ht="17.15" hidden="false" customHeight="false" outlineLevel="0" collapsed="false">
      <c r="A119" s="0" t="s">
        <v>1810</v>
      </c>
      <c r="B119" s="0" t="s">
        <v>939</v>
      </c>
      <c r="C119" s="0" t="s">
        <v>1811</v>
      </c>
      <c r="D119" s="0" t="s">
        <v>1042</v>
      </c>
      <c r="E119" s="3" t="n">
        <f aca="false">SUMIFS(Tasks_Cost,Tasks_TaskID,$A119,Tasks_Tier,$D119,Tasks_Type,"base")</f>
        <v>35.9625</v>
      </c>
      <c r="F119" s="3" t="n">
        <f aca="false">SUMIFS(Tasks_Cost,Tasks_TaskID,$A119,Tasks_Tier,$D119,Tasks_Type,"as-needed")</f>
        <v>79.9</v>
      </c>
      <c r="G119" s="3" t="n">
        <f aca="false">SUMIFS(Tasks_Cost,Tasks_TaskID,$A119,Tasks_Tier,$D119,Tasks_Type,"flagged")</f>
        <v>0</v>
      </c>
      <c r="H119" s="3" t="n">
        <f aca="false">SUMIFS(Tasks_Cost,Tasks_TaskID,$A119,Tasks_Tier,$D119,Tasks_Type,"reference")</f>
        <v>0</v>
      </c>
      <c r="I119" s="0" t="n">
        <f aca="false">COUNTIFS(Tasks_TaskID,$A119,Tasks_Tier,$D119)</f>
        <v>2</v>
      </c>
      <c r="J119" s="3"/>
      <c r="K119" s="0" t="s">
        <v>1100</v>
      </c>
      <c r="L119" s="3" t="n">
        <f aca="false">IF(K119="reference",H119,E119)</f>
        <v>35.9625</v>
      </c>
      <c r="M119" s="9" t="str">
        <f aca="false">IF(J119="","",L119-J119)</f>
        <v/>
      </c>
      <c r="O119" s="0" t="s">
        <v>1814</v>
      </c>
      <c r="P119" s="8" t="s">
        <v>1815</v>
      </c>
    </row>
    <row r="120" customFormat="false" ht="17.15" hidden="false" customHeight="false" outlineLevel="0" collapsed="false">
      <c r="A120" s="0" t="s">
        <v>1810</v>
      </c>
      <c r="B120" s="0" t="s">
        <v>939</v>
      </c>
      <c r="C120" s="0" t="s">
        <v>1811</v>
      </c>
      <c r="D120" s="0" t="s">
        <v>1049</v>
      </c>
      <c r="E120" s="3" t="n">
        <f aca="false">SUMIFS(Tasks_Cost,Tasks_TaskID,$A120,Tasks_Tier,$D120,Tasks_Type,"base")</f>
        <v>88.9375</v>
      </c>
      <c r="F120" s="3" t="n">
        <f aca="false">SUMIFS(Tasks_Cost,Tasks_TaskID,$A120,Tasks_Tier,$D120,Tasks_Type,"as-needed")</f>
        <v>79.9</v>
      </c>
      <c r="G120" s="3" t="n">
        <f aca="false">SUMIFS(Tasks_Cost,Tasks_TaskID,$A120,Tasks_Tier,$D120,Tasks_Type,"flagged")</f>
        <v>0</v>
      </c>
      <c r="H120" s="3" t="n">
        <f aca="false">SUMIFS(Tasks_Cost,Tasks_TaskID,$A120,Tasks_Tier,$D120,Tasks_Type,"reference")</f>
        <v>0</v>
      </c>
      <c r="I120" s="0" t="n">
        <f aca="false">COUNTIFS(Tasks_TaskID,$A120,Tasks_Tier,$D120)</f>
        <v>3</v>
      </c>
      <c r="J120" s="3"/>
      <c r="K120" s="0" t="s">
        <v>1100</v>
      </c>
      <c r="L120" s="3" t="n">
        <f aca="false">IF(K120="reference",H120,E120)</f>
        <v>88.9375</v>
      </c>
      <c r="M120" s="9" t="str">
        <f aca="false">IF(J120="","",L120-J120)</f>
        <v/>
      </c>
      <c r="O120" s="0" t="s">
        <v>1814</v>
      </c>
      <c r="P120" s="8" t="s">
        <v>1815</v>
      </c>
    </row>
    <row r="121" customFormat="false" ht="17.15" hidden="false" customHeight="false" outlineLevel="0" collapsed="false">
      <c r="A121" s="0" t="s">
        <v>1810</v>
      </c>
      <c r="B121" s="0" t="s">
        <v>939</v>
      </c>
      <c r="C121" s="0" t="s">
        <v>1811</v>
      </c>
      <c r="D121" s="0" t="s">
        <v>1051</v>
      </c>
      <c r="E121" s="3" t="n">
        <f aca="false">SUMIFS(Tasks_Cost,Tasks_TaskID,$A121,Tasks_Tier,$D121,Tasks_Type,"base")</f>
        <v>128.8875</v>
      </c>
      <c r="F121" s="3" t="n">
        <f aca="false">SUMIFS(Tasks_Cost,Tasks_TaskID,$A121,Tasks_Tier,$D121,Tasks_Type,"as-needed")</f>
        <v>79.9</v>
      </c>
      <c r="G121" s="3" t="n">
        <f aca="false">SUMIFS(Tasks_Cost,Tasks_TaskID,$A121,Tasks_Tier,$D121,Tasks_Type,"flagged")</f>
        <v>0</v>
      </c>
      <c r="H121" s="3" t="n">
        <f aca="false">SUMIFS(Tasks_Cost,Tasks_TaskID,$A121,Tasks_Tier,$D121,Tasks_Type,"reference")</f>
        <v>0</v>
      </c>
      <c r="I121" s="0" t="n">
        <f aca="false">COUNTIFS(Tasks_TaskID,$A121,Tasks_Tier,$D121)</f>
        <v>4</v>
      </c>
      <c r="J121" s="3"/>
      <c r="K121" s="0" t="s">
        <v>1100</v>
      </c>
      <c r="L121" s="3" t="n">
        <f aca="false">IF(K121="reference",H121,E121)</f>
        <v>128.8875</v>
      </c>
      <c r="M121" s="9" t="str">
        <f aca="false">IF(J121="","",L121-J121)</f>
        <v/>
      </c>
      <c r="O121" s="0" t="s">
        <v>1814</v>
      </c>
      <c r="P121" s="8" t="s">
        <v>1815</v>
      </c>
    </row>
    <row r="122" customFormat="false" ht="17.15" hidden="false" customHeight="false" outlineLevel="0" collapsed="false">
      <c r="A122" s="0" t="s">
        <v>1819</v>
      </c>
      <c r="B122" s="0" t="s">
        <v>939</v>
      </c>
      <c r="C122" s="0" t="s">
        <v>1820</v>
      </c>
      <c r="D122" s="0" t="s">
        <v>1042</v>
      </c>
      <c r="E122" s="3" t="n">
        <f aca="false">SUMIFS(Tasks_Cost,Tasks_TaskID,$A122,Tasks_Tier,$D122,Tasks_Type,"base")</f>
        <v>71.925</v>
      </c>
      <c r="F122" s="3" t="n">
        <f aca="false">SUMIFS(Tasks_Cost,Tasks_TaskID,$A122,Tasks_Tier,$D122,Tasks_Type,"as-needed")</f>
        <v>79.9</v>
      </c>
      <c r="G122" s="3" t="n">
        <f aca="false">SUMIFS(Tasks_Cost,Tasks_TaskID,$A122,Tasks_Tier,$D122,Tasks_Type,"flagged")</f>
        <v>0</v>
      </c>
      <c r="H122" s="3" t="n">
        <f aca="false">SUMIFS(Tasks_Cost,Tasks_TaskID,$A122,Tasks_Tier,$D122,Tasks_Type,"reference")</f>
        <v>0</v>
      </c>
      <c r="I122" s="0" t="n">
        <f aca="false">COUNTIFS(Tasks_TaskID,$A122,Tasks_Tier,$D122)</f>
        <v>2</v>
      </c>
      <c r="J122" s="3"/>
      <c r="K122" s="0" t="s">
        <v>1100</v>
      </c>
      <c r="L122" s="3" t="n">
        <f aca="false">IF(K122="reference",H122,E122)</f>
        <v>71.925</v>
      </c>
      <c r="M122" s="9" t="str">
        <f aca="false">IF(J122="","",L122-J122)</f>
        <v/>
      </c>
      <c r="O122" s="0" t="s">
        <v>1823</v>
      </c>
      <c r="P122" s="8" t="s">
        <v>1824</v>
      </c>
    </row>
    <row r="123" customFormat="false" ht="17.15" hidden="false" customHeight="false" outlineLevel="0" collapsed="false">
      <c r="A123" s="0" t="s">
        <v>1819</v>
      </c>
      <c r="B123" s="0" t="s">
        <v>939</v>
      </c>
      <c r="C123" s="0" t="s">
        <v>1820</v>
      </c>
      <c r="D123" s="0" t="s">
        <v>1049</v>
      </c>
      <c r="E123" s="3" t="n">
        <f aca="false">SUMIFS(Tasks_Cost,Tasks_TaskID,$A123,Tasks_Tier,$D123,Tasks_Type,"base")</f>
        <v>124.9</v>
      </c>
      <c r="F123" s="3" t="n">
        <f aca="false">SUMIFS(Tasks_Cost,Tasks_TaskID,$A123,Tasks_Tier,$D123,Tasks_Type,"as-needed")</f>
        <v>79.9</v>
      </c>
      <c r="G123" s="3" t="n">
        <f aca="false">SUMIFS(Tasks_Cost,Tasks_TaskID,$A123,Tasks_Tier,$D123,Tasks_Type,"flagged")</f>
        <v>0</v>
      </c>
      <c r="H123" s="3" t="n">
        <f aca="false">SUMIFS(Tasks_Cost,Tasks_TaskID,$A123,Tasks_Tier,$D123,Tasks_Type,"reference")</f>
        <v>0</v>
      </c>
      <c r="I123" s="0" t="n">
        <f aca="false">COUNTIFS(Tasks_TaskID,$A123,Tasks_Tier,$D123)</f>
        <v>3</v>
      </c>
      <c r="J123" s="3"/>
      <c r="K123" s="0" t="s">
        <v>1100</v>
      </c>
      <c r="L123" s="3" t="n">
        <f aca="false">IF(K123="reference",H123,E123)</f>
        <v>124.9</v>
      </c>
      <c r="M123" s="9" t="str">
        <f aca="false">IF(J123="","",L123-J123)</f>
        <v/>
      </c>
      <c r="O123" s="0" t="s">
        <v>1823</v>
      </c>
      <c r="P123" s="8" t="s">
        <v>1824</v>
      </c>
    </row>
    <row r="124" customFormat="false" ht="17.15" hidden="false" customHeight="false" outlineLevel="0" collapsed="false">
      <c r="A124" s="0" t="s">
        <v>1819</v>
      </c>
      <c r="B124" s="0" t="s">
        <v>939</v>
      </c>
      <c r="C124" s="0" t="s">
        <v>1820</v>
      </c>
      <c r="D124" s="0" t="s">
        <v>1051</v>
      </c>
      <c r="E124" s="3" t="n">
        <f aca="false">SUMIFS(Tasks_Cost,Tasks_TaskID,$A124,Tasks_Tier,$D124,Tasks_Type,"base")</f>
        <v>204.8</v>
      </c>
      <c r="F124" s="3" t="n">
        <f aca="false">SUMIFS(Tasks_Cost,Tasks_TaskID,$A124,Tasks_Tier,$D124,Tasks_Type,"as-needed")</f>
        <v>79.9</v>
      </c>
      <c r="G124" s="3" t="n">
        <f aca="false">SUMIFS(Tasks_Cost,Tasks_TaskID,$A124,Tasks_Tier,$D124,Tasks_Type,"flagged")</f>
        <v>0</v>
      </c>
      <c r="H124" s="3" t="n">
        <f aca="false">SUMIFS(Tasks_Cost,Tasks_TaskID,$A124,Tasks_Tier,$D124,Tasks_Type,"reference")</f>
        <v>0</v>
      </c>
      <c r="I124" s="0" t="n">
        <f aca="false">COUNTIFS(Tasks_TaskID,$A124,Tasks_Tier,$D124)</f>
        <v>4</v>
      </c>
      <c r="J124" s="3"/>
      <c r="K124" s="0" t="s">
        <v>1100</v>
      </c>
      <c r="L124" s="3" t="n">
        <f aca="false">IF(K124="reference",H124,E124)</f>
        <v>204.8</v>
      </c>
      <c r="M124" s="9" t="str">
        <f aca="false">IF(J124="","",L124-J124)</f>
        <v/>
      </c>
      <c r="O124" s="0" t="s">
        <v>1823</v>
      </c>
      <c r="P124" s="8" t="s">
        <v>1824</v>
      </c>
    </row>
    <row r="125" customFormat="false" ht="17.15" hidden="false" customHeight="false" outlineLevel="0" collapsed="false">
      <c r="A125" s="0" t="s">
        <v>1827</v>
      </c>
      <c r="B125" s="0" t="s">
        <v>939</v>
      </c>
      <c r="C125" s="0" t="s">
        <v>1828</v>
      </c>
      <c r="D125" s="0" t="s">
        <v>1042</v>
      </c>
      <c r="E125" s="3" t="n">
        <f aca="false">SUMIFS(Tasks_Cost,Tasks_TaskID,$A125,Tasks_Tier,$D125,Tasks_Type,"base")</f>
        <v>77</v>
      </c>
      <c r="F125" s="3" t="n">
        <f aca="false">SUMIFS(Tasks_Cost,Tasks_TaskID,$A125,Tasks_Tier,$D125,Tasks_Type,"as-needed")</f>
        <v>0</v>
      </c>
      <c r="G125" s="3" t="n">
        <f aca="false">SUMIFS(Tasks_Cost,Tasks_TaskID,$A125,Tasks_Tier,$D125,Tasks_Type,"flagged")</f>
        <v>0</v>
      </c>
      <c r="H125" s="3" t="n">
        <f aca="false">SUMIFS(Tasks_Cost,Tasks_TaskID,$A125,Tasks_Tier,$D125,Tasks_Type,"reference")</f>
        <v>0</v>
      </c>
      <c r="I125" s="0" t="n">
        <f aca="false">COUNTIFS(Tasks_TaskID,$A125,Tasks_Tier,$D125)</f>
        <v>3</v>
      </c>
      <c r="J125" s="3"/>
      <c r="K125" s="0" t="s">
        <v>1100</v>
      </c>
      <c r="L125" s="3" t="n">
        <f aca="false">IF(K125="reference",H125,E125)</f>
        <v>77</v>
      </c>
      <c r="M125" s="9" t="str">
        <f aca="false">IF(J125="","",L125-J125)</f>
        <v/>
      </c>
      <c r="O125" s="0" t="s">
        <v>1831</v>
      </c>
      <c r="P125" s="8" t="s">
        <v>1832</v>
      </c>
    </row>
    <row r="126" customFormat="false" ht="17.15" hidden="false" customHeight="false" outlineLevel="0" collapsed="false">
      <c r="A126" s="0" t="s">
        <v>1827</v>
      </c>
      <c r="B126" s="0" t="s">
        <v>939</v>
      </c>
      <c r="C126" s="0" t="s">
        <v>1828</v>
      </c>
      <c r="D126" s="0" t="s">
        <v>1049</v>
      </c>
      <c r="E126" s="3" t="n">
        <f aca="false">SUMIFS(Tasks_Cost,Tasks_TaskID,$A126,Tasks_Tier,$D126,Tasks_Type,"base")</f>
        <v>130</v>
      </c>
      <c r="F126" s="3" t="n">
        <f aca="false">SUMIFS(Tasks_Cost,Tasks_TaskID,$A126,Tasks_Tier,$D126,Tasks_Type,"as-needed")</f>
        <v>0</v>
      </c>
      <c r="G126" s="3" t="n">
        <f aca="false">SUMIFS(Tasks_Cost,Tasks_TaskID,$A126,Tasks_Tier,$D126,Tasks_Type,"flagged")</f>
        <v>0</v>
      </c>
      <c r="H126" s="3" t="n">
        <f aca="false">SUMIFS(Tasks_Cost,Tasks_TaskID,$A126,Tasks_Tier,$D126,Tasks_Type,"reference")</f>
        <v>0</v>
      </c>
      <c r="I126" s="0" t="n">
        <f aca="false">COUNTIFS(Tasks_TaskID,$A126,Tasks_Tier,$D126)</f>
        <v>3</v>
      </c>
      <c r="J126" s="3"/>
      <c r="K126" s="0" t="s">
        <v>1100</v>
      </c>
      <c r="L126" s="3" t="n">
        <f aca="false">IF(K126="reference",H126,E126)</f>
        <v>130</v>
      </c>
      <c r="M126" s="9" t="str">
        <f aca="false">IF(J126="","",L126-J126)</f>
        <v/>
      </c>
      <c r="O126" s="0" t="s">
        <v>1831</v>
      </c>
      <c r="P126" s="8" t="s">
        <v>1832</v>
      </c>
    </row>
    <row r="127" customFormat="false" ht="17.15" hidden="false" customHeight="false" outlineLevel="0" collapsed="false">
      <c r="A127" s="0" t="s">
        <v>1827</v>
      </c>
      <c r="B127" s="0" t="s">
        <v>939</v>
      </c>
      <c r="C127" s="0" t="s">
        <v>1828</v>
      </c>
      <c r="D127" s="0" t="s">
        <v>1051</v>
      </c>
      <c r="E127" s="3" t="n">
        <f aca="false">SUMIFS(Tasks_Cost,Tasks_TaskID,$A127,Tasks_Tier,$D127,Tasks_Type,"base")</f>
        <v>183</v>
      </c>
      <c r="F127" s="3" t="n">
        <f aca="false">SUMIFS(Tasks_Cost,Tasks_TaskID,$A127,Tasks_Tier,$D127,Tasks_Type,"as-needed")</f>
        <v>0</v>
      </c>
      <c r="G127" s="3" t="n">
        <f aca="false">SUMIFS(Tasks_Cost,Tasks_TaskID,$A127,Tasks_Tier,$D127,Tasks_Type,"flagged")</f>
        <v>0</v>
      </c>
      <c r="H127" s="3" t="n">
        <f aca="false">SUMIFS(Tasks_Cost,Tasks_TaskID,$A127,Tasks_Tier,$D127,Tasks_Type,"reference")</f>
        <v>0</v>
      </c>
      <c r="I127" s="0" t="n">
        <f aca="false">COUNTIFS(Tasks_TaskID,$A127,Tasks_Tier,$D127)</f>
        <v>3</v>
      </c>
      <c r="J127" s="3"/>
      <c r="K127" s="0" t="s">
        <v>1100</v>
      </c>
      <c r="L127" s="3" t="n">
        <f aca="false">IF(K127="reference",H127,E127)</f>
        <v>183</v>
      </c>
      <c r="M127" s="9" t="str">
        <f aca="false">IF(J127="","",L127-J127)</f>
        <v/>
      </c>
      <c r="O127" s="0" t="s">
        <v>1831</v>
      </c>
      <c r="P127" s="8" t="s">
        <v>1832</v>
      </c>
    </row>
  </sheetData>
  <autoFilter ref="A1:P127"/>
  <conditionalFormatting sqref="M2:M127">
    <cfRule type="expression" priority="2" aboveAverage="0" equalAverage="0" bottom="0" percent="0" rank="0" text="" dxfId="7">
      <formula>AND(ISNUMBER($M2),ABS($M2)&gt;5)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1"/>
    <col collapsed="false" customWidth="true" hidden="false" outlineLevel="0" max="3" min="3" style="0" width="52"/>
    <col collapsed="false" customWidth="true" hidden="false" outlineLevel="0" max="13" min="4" style="0" width="12"/>
  </cols>
  <sheetData>
    <row r="1" customFormat="false" ht="16.15" hidden="false" customHeight="false" outlineLevel="0" collapsed="false">
      <c r="A1" s="10" t="s">
        <v>1873</v>
      </c>
    </row>
    <row r="2" customFormat="false" ht="15" hidden="false" customHeight="false" outlineLevel="0" collapsed="false">
      <c r="A2" s="0" t="s">
        <v>1874</v>
      </c>
    </row>
    <row r="4" customFormat="false" ht="15" hidden="false" customHeight="false" outlineLevel="0" collapsed="false">
      <c r="A4" s="11" t="s">
        <v>1875</v>
      </c>
    </row>
    <row r="5" customFormat="false" ht="15" hidden="false" customHeight="false" outlineLevel="0" collapsed="false">
      <c r="A5" s="1" t="s">
        <v>1026</v>
      </c>
      <c r="B5" s="1" t="s">
        <v>1</v>
      </c>
      <c r="C5" s="1" t="s">
        <v>1027</v>
      </c>
      <c r="D5" s="1" t="s">
        <v>1042</v>
      </c>
      <c r="E5" s="1" t="s">
        <v>1049</v>
      </c>
      <c r="F5" s="1" t="s">
        <v>1051</v>
      </c>
      <c r="G5" s="1" t="s">
        <v>1055</v>
      </c>
      <c r="H5" s="1" t="s">
        <v>1070</v>
      </c>
      <c r="I5" s="1" t="s">
        <v>1074</v>
      </c>
      <c r="J5" s="1" t="s">
        <v>1078</v>
      </c>
      <c r="K5" s="1" t="s">
        <v>1659</v>
      </c>
      <c r="L5" s="1" t="s">
        <v>1679</v>
      </c>
      <c r="M5" s="1" t="s">
        <v>1691</v>
      </c>
    </row>
    <row r="6" customFormat="false" ht="15" hidden="false" customHeight="false" outlineLevel="0" collapsed="false">
      <c r="A6" s="0" t="s">
        <v>1040</v>
      </c>
      <c r="B6" s="0" t="s">
        <v>20</v>
      </c>
      <c r="C6" s="0" t="s">
        <v>1041</v>
      </c>
      <c r="D6" s="3" t="n">
        <f aca="false">IF(COUNTIFS(Tasks_TaskID,$A6,Tasks_Tier,D$5)=0,"",SUMIFS(Tasks_Cost,Tasks_TaskID,$A6,Tasks_Tier,D$5,Tasks_Type,"base"))</f>
        <v>3363.21913</v>
      </c>
      <c r="E6" s="3" t="n">
        <f aca="false">IF(COUNTIFS(Tasks_TaskID,$A6,Tasks_Tier,E$5)=0,"",SUMIFS(Tasks_Cost,Tasks_TaskID,$A6,Tasks_Tier,E$5,Tasks_Type,"base"))</f>
        <v>4182.21913</v>
      </c>
      <c r="F6" s="3" t="n">
        <f aca="false">IF(COUNTIFS(Tasks_TaskID,$A6,Tasks_Tier,F$5)=0,"",SUMIFS(Tasks_Cost,Tasks_TaskID,$A6,Tasks_Tier,F$5,Tasks_Type,"base"))</f>
        <v>5215.71913</v>
      </c>
      <c r="G6" s="3" t="str">
        <f aca="false">IF(COUNTIFS(Tasks_TaskID,$A6,Tasks_Tier,G$5)=0,"",SUMIFS(Tasks_Cost,Tasks_TaskID,$A6,Tasks_Tier,G$5,Tasks_Type,"base"))</f>
        <v/>
      </c>
      <c r="H6" s="3" t="str">
        <f aca="false">IF(COUNTIFS(Tasks_TaskID,$A6,Tasks_Tier,H$5)=0,"",SUMIFS(Tasks_Cost,Tasks_TaskID,$A6,Tasks_Tier,H$5,Tasks_Type,"base"))</f>
        <v/>
      </c>
      <c r="I6" s="3" t="str">
        <f aca="false">IF(COUNTIFS(Tasks_TaskID,$A6,Tasks_Tier,I$5)=0,"",SUMIFS(Tasks_Cost,Tasks_TaskID,$A6,Tasks_Tier,I$5,Tasks_Type,"base"))</f>
        <v/>
      </c>
      <c r="J6" s="3" t="str">
        <f aca="false">IF(COUNTIFS(Tasks_TaskID,$A6,Tasks_Tier,J$5)=0,"",SUMIFS(Tasks_Cost,Tasks_TaskID,$A6,Tasks_Tier,J$5,Tasks_Type,"base"))</f>
        <v/>
      </c>
      <c r="K6" s="3" t="str">
        <f aca="false">IF(COUNTIFS(Tasks_TaskID,$A6,Tasks_Tier,K$5)=0,"",SUMIFS(Tasks_Cost,Tasks_TaskID,$A6,Tasks_Tier,K$5,Tasks_Type,"base"))</f>
        <v/>
      </c>
      <c r="L6" s="3" t="str">
        <f aca="false">IF(COUNTIFS(Tasks_TaskID,$A6,Tasks_Tier,L$5)=0,"",SUMIFS(Tasks_Cost,Tasks_TaskID,$A6,Tasks_Tier,L$5,Tasks_Type,"base"))</f>
        <v/>
      </c>
      <c r="M6" s="3" t="str">
        <f aca="false">IF(COUNTIFS(Tasks_TaskID,$A6,Tasks_Tier,M$5)=0,"",SUMIFS(Tasks_Cost,Tasks_TaskID,$A6,Tasks_Tier,M$5,Tasks_Type,"base"))</f>
        <v/>
      </c>
    </row>
    <row r="7" customFormat="false" ht="15" hidden="false" customHeight="false" outlineLevel="0" collapsed="false">
      <c r="A7" s="0" t="s">
        <v>1053</v>
      </c>
      <c r="B7" s="0" t="s">
        <v>52</v>
      </c>
      <c r="C7" s="0" t="s">
        <v>1054</v>
      </c>
      <c r="D7" s="3" t="str">
        <f aca="false">IF(COUNTIFS(Tasks_TaskID,$A7,Tasks_Tier,D$5)=0,"",SUMIFS(Tasks_Cost,Tasks_TaskID,$A7,Tasks_Tier,D$5,Tasks_Type,"base"))</f>
        <v/>
      </c>
      <c r="E7" s="3" t="str">
        <f aca="false">IF(COUNTIFS(Tasks_TaskID,$A7,Tasks_Tier,E$5)=0,"",SUMIFS(Tasks_Cost,Tasks_TaskID,$A7,Tasks_Tier,E$5,Tasks_Type,"base"))</f>
        <v/>
      </c>
      <c r="F7" s="3" t="str">
        <f aca="false">IF(COUNTIFS(Tasks_TaskID,$A7,Tasks_Tier,F$5)=0,"",SUMIFS(Tasks_Cost,Tasks_TaskID,$A7,Tasks_Tier,F$5,Tasks_Type,"base"))</f>
        <v/>
      </c>
      <c r="G7" s="3" t="n">
        <f aca="false">IF(COUNTIFS(Tasks_TaskID,$A7,Tasks_Tier,G$5)=0,"",SUMIFS(Tasks_Cost,Tasks_TaskID,$A7,Tasks_Tier,G$5,Tasks_Type,"base"))</f>
        <v>981.5</v>
      </c>
      <c r="H7" s="3" t="n">
        <f aca="false">IF(COUNTIFS(Tasks_TaskID,$A7,Tasks_Tier,H$5)=0,"",SUMIFS(Tasks_Cost,Tasks_TaskID,$A7,Tasks_Tier,H$5,Tasks_Type,"base"))</f>
        <v>981.5</v>
      </c>
      <c r="I7" s="3" t="n">
        <f aca="false">IF(COUNTIFS(Tasks_TaskID,$A7,Tasks_Tier,I$5)=0,"",SUMIFS(Tasks_Cost,Tasks_TaskID,$A7,Tasks_Tier,I$5,Tasks_Type,"base"))</f>
        <v>1410.42</v>
      </c>
      <c r="J7" s="3" t="n">
        <f aca="false">IF(COUNTIFS(Tasks_TaskID,$A7,Tasks_Tier,J$5)=0,"",SUMIFS(Tasks_Cost,Tasks_TaskID,$A7,Tasks_Tier,J$5,Tasks_Type,"base"))</f>
        <v>1410.42</v>
      </c>
      <c r="K7" s="3" t="str">
        <f aca="false">IF(COUNTIFS(Tasks_TaskID,$A7,Tasks_Tier,K$5)=0,"",SUMIFS(Tasks_Cost,Tasks_TaskID,$A7,Tasks_Tier,K$5,Tasks_Type,"base"))</f>
        <v/>
      </c>
      <c r="L7" s="3" t="str">
        <f aca="false">IF(COUNTIFS(Tasks_TaskID,$A7,Tasks_Tier,L$5)=0,"",SUMIFS(Tasks_Cost,Tasks_TaskID,$A7,Tasks_Tier,L$5,Tasks_Type,"base"))</f>
        <v/>
      </c>
      <c r="M7" s="3" t="str">
        <f aca="false">IF(COUNTIFS(Tasks_TaskID,$A7,Tasks_Tier,M$5)=0,"",SUMIFS(Tasks_Cost,Tasks_TaskID,$A7,Tasks_Tier,M$5,Tasks_Type,"base"))</f>
        <v/>
      </c>
    </row>
    <row r="8" customFormat="false" ht="15" hidden="false" customHeight="false" outlineLevel="0" collapsed="false">
      <c r="A8" s="0" t="s">
        <v>1064</v>
      </c>
      <c r="B8" s="0" t="s">
        <v>52</v>
      </c>
      <c r="C8" s="0" t="s">
        <v>1065</v>
      </c>
      <c r="D8" s="3" t="str">
        <f aca="false">IF(COUNTIFS(Tasks_TaskID,$A8,Tasks_Tier,D$5)=0,"",SUMIFS(Tasks_Cost,Tasks_TaskID,$A8,Tasks_Tier,D$5,Tasks_Type,"base"))</f>
        <v/>
      </c>
      <c r="E8" s="3" t="str">
        <f aca="false">IF(COUNTIFS(Tasks_TaskID,$A8,Tasks_Tier,E$5)=0,"",SUMIFS(Tasks_Cost,Tasks_TaskID,$A8,Tasks_Tier,E$5,Tasks_Type,"base"))</f>
        <v/>
      </c>
      <c r="F8" s="3" t="str">
        <f aca="false">IF(COUNTIFS(Tasks_TaskID,$A8,Tasks_Tier,F$5)=0,"",SUMIFS(Tasks_Cost,Tasks_TaskID,$A8,Tasks_Tier,F$5,Tasks_Type,"base"))</f>
        <v/>
      </c>
      <c r="G8" s="3" t="n">
        <f aca="false">IF(COUNTIFS(Tasks_TaskID,$A8,Tasks_Tier,G$5)=0,"",SUMIFS(Tasks_Cost,Tasks_TaskID,$A8,Tasks_Tier,G$5,Tasks_Type,"base"))</f>
        <v>339.51</v>
      </c>
      <c r="H8" s="3" t="n">
        <f aca="false">IF(COUNTIFS(Tasks_TaskID,$A8,Tasks_Tier,H$5)=0,"",SUMIFS(Tasks_Cost,Tasks_TaskID,$A8,Tasks_Tier,H$5,Tasks_Type,"base"))</f>
        <v>345.96</v>
      </c>
      <c r="I8" s="3" t="n">
        <f aca="false">IF(COUNTIFS(Tasks_TaskID,$A8,Tasks_Tier,I$5)=0,"",SUMIFS(Tasks_Cost,Tasks_TaskID,$A8,Tasks_Tier,I$5,Tasks_Type,"base"))</f>
        <v>358.86</v>
      </c>
      <c r="J8" s="3" t="n">
        <f aca="false">IF(COUNTIFS(Tasks_TaskID,$A8,Tasks_Tier,J$5)=0,"",SUMIFS(Tasks_Cost,Tasks_TaskID,$A8,Tasks_Tier,J$5,Tasks_Type,"base"))</f>
        <v>371.76</v>
      </c>
      <c r="K8" s="3" t="str">
        <f aca="false">IF(COUNTIFS(Tasks_TaskID,$A8,Tasks_Tier,K$5)=0,"",SUMIFS(Tasks_Cost,Tasks_TaskID,$A8,Tasks_Tier,K$5,Tasks_Type,"base"))</f>
        <v/>
      </c>
      <c r="L8" s="3" t="str">
        <f aca="false">IF(COUNTIFS(Tasks_TaskID,$A8,Tasks_Tier,L$5)=0,"",SUMIFS(Tasks_Cost,Tasks_TaskID,$A8,Tasks_Tier,L$5,Tasks_Type,"base"))</f>
        <v/>
      </c>
      <c r="M8" s="3" t="str">
        <f aca="false">IF(COUNTIFS(Tasks_TaskID,$A8,Tasks_Tier,M$5)=0,"",SUMIFS(Tasks_Cost,Tasks_TaskID,$A8,Tasks_Tier,M$5,Tasks_Type,"base"))</f>
        <v/>
      </c>
    </row>
    <row r="9" customFormat="false" ht="15" hidden="false" customHeight="false" outlineLevel="0" collapsed="false">
      <c r="A9" s="0" t="s">
        <v>1082</v>
      </c>
      <c r="B9" s="0" t="s">
        <v>107</v>
      </c>
      <c r="C9" s="0" t="s">
        <v>1083</v>
      </c>
      <c r="D9" s="3" t="n">
        <f aca="false">IF(COUNTIFS(Tasks_TaskID,$A9,Tasks_Tier,D$5)=0,"",SUMIFS(Tasks_Cost,Tasks_TaskID,$A9,Tasks_Tier,D$5,Tasks_Type,"base"))</f>
        <v>159.1</v>
      </c>
      <c r="E9" s="3" t="n">
        <f aca="false">IF(COUNTIFS(Tasks_TaskID,$A9,Tasks_Tier,E$5)=0,"",SUMIFS(Tasks_Cost,Tasks_TaskID,$A9,Tasks_Tier,E$5,Tasks_Type,"base"))</f>
        <v>345.1</v>
      </c>
      <c r="F9" s="3" t="n">
        <f aca="false">IF(COUNTIFS(Tasks_TaskID,$A9,Tasks_Tier,F$5)=0,"",SUMIFS(Tasks_Cost,Tasks_TaskID,$A9,Tasks_Tier,F$5,Tasks_Type,"base"))</f>
        <v>561.1</v>
      </c>
      <c r="G9" s="3" t="str">
        <f aca="false">IF(COUNTIFS(Tasks_TaskID,$A9,Tasks_Tier,G$5)=0,"",SUMIFS(Tasks_Cost,Tasks_TaskID,$A9,Tasks_Tier,G$5,Tasks_Type,"base"))</f>
        <v/>
      </c>
      <c r="H9" s="3" t="str">
        <f aca="false">IF(COUNTIFS(Tasks_TaskID,$A9,Tasks_Tier,H$5)=0,"",SUMIFS(Tasks_Cost,Tasks_TaskID,$A9,Tasks_Tier,H$5,Tasks_Type,"base"))</f>
        <v/>
      </c>
      <c r="I9" s="3" t="str">
        <f aca="false">IF(COUNTIFS(Tasks_TaskID,$A9,Tasks_Tier,I$5)=0,"",SUMIFS(Tasks_Cost,Tasks_TaskID,$A9,Tasks_Tier,I$5,Tasks_Type,"base"))</f>
        <v/>
      </c>
      <c r="J9" s="3" t="str">
        <f aca="false">IF(COUNTIFS(Tasks_TaskID,$A9,Tasks_Tier,J$5)=0,"",SUMIFS(Tasks_Cost,Tasks_TaskID,$A9,Tasks_Tier,J$5,Tasks_Type,"base"))</f>
        <v/>
      </c>
      <c r="K9" s="3" t="str">
        <f aca="false">IF(COUNTIFS(Tasks_TaskID,$A9,Tasks_Tier,K$5)=0,"",SUMIFS(Tasks_Cost,Tasks_TaskID,$A9,Tasks_Tier,K$5,Tasks_Type,"base"))</f>
        <v/>
      </c>
      <c r="L9" s="3" t="str">
        <f aca="false">IF(COUNTIFS(Tasks_TaskID,$A9,Tasks_Tier,L$5)=0,"",SUMIFS(Tasks_Cost,Tasks_TaskID,$A9,Tasks_Tier,L$5,Tasks_Type,"base"))</f>
        <v/>
      </c>
      <c r="M9" s="3" t="str">
        <f aca="false">IF(COUNTIFS(Tasks_TaskID,$A9,Tasks_Tier,M$5)=0,"",SUMIFS(Tasks_Cost,Tasks_TaskID,$A9,Tasks_Tier,M$5,Tasks_Type,"base"))</f>
        <v/>
      </c>
    </row>
    <row r="10" customFormat="false" ht="15" hidden="false" customHeight="false" outlineLevel="0" collapsed="false">
      <c r="A10" s="0" t="s">
        <v>1088</v>
      </c>
      <c r="B10" s="0" t="s">
        <v>107</v>
      </c>
      <c r="C10" s="0" t="s">
        <v>1089</v>
      </c>
      <c r="D10" s="3" t="n">
        <f aca="false">IF(COUNTIFS(Tasks_TaskID,$A10,Tasks_Tier,D$5)=0,"",SUMIFS(Tasks_Cost,Tasks_TaskID,$A10,Tasks_Tier,D$5,Tasks_Type,"base"))</f>
        <v>408.2</v>
      </c>
      <c r="E10" s="3" t="n">
        <f aca="false">IF(COUNTIFS(Tasks_TaskID,$A10,Tasks_Tier,E$5)=0,"",SUMIFS(Tasks_Cost,Tasks_TaskID,$A10,Tasks_Tier,E$5,Tasks_Type,"base"))</f>
        <v>408.2</v>
      </c>
      <c r="F10" s="3" t="n">
        <f aca="false">IF(COUNTIFS(Tasks_TaskID,$A10,Tasks_Tier,F$5)=0,"",SUMIFS(Tasks_Cost,Tasks_TaskID,$A10,Tasks_Tier,F$5,Tasks_Type,"base"))</f>
        <v>408.2</v>
      </c>
      <c r="G10" s="3" t="str">
        <f aca="false">IF(COUNTIFS(Tasks_TaskID,$A10,Tasks_Tier,G$5)=0,"",SUMIFS(Tasks_Cost,Tasks_TaskID,$A10,Tasks_Tier,G$5,Tasks_Type,"base"))</f>
        <v/>
      </c>
      <c r="H10" s="3" t="str">
        <f aca="false">IF(COUNTIFS(Tasks_TaskID,$A10,Tasks_Tier,H$5)=0,"",SUMIFS(Tasks_Cost,Tasks_TaskID,$A10,Tasks_Tier,H$5,Tasks_Type,"base"))</f>
        <v/>
      </c>
      <c r="I10" s="3" t="str">
        <f aca="false">IF(COUNTIFS(Tasks_TaskID,$A10,Tasks_Tier,I$5)=0,"",SUMIFS(Tasks_Cost,Tasks_TaskID,$A10,Tasks_Tier,I$5,Tasks_Type,"base"))</f>
        <v/>
      </c>
      <c r="J10" s="3" t="str">
        <f aca="false">IF(COUNTIFS(Tasks_TaskID,$A10,Tasks_Tier,J$5)=0,"",SUMIFS(Tasks_Cost,Tasks_TaskID,$A10,Tasks_Tier,J$5,Tasks_Type,"base"))</f>
        <v/>
      </c>
      <c r="K10" s="3" t="str">
        <f aca="false">IF(COUNTIFS(Tasks_TaskID,$A10,Tasks_Tier,K$5)=0,"",SUMIFS(Tasks_Cost,Tasks_TaskID,$A10,Tasks_Tier,K$5,Tasks_Type,"base"))</f>
        <v/>
      </c>
      <c r="L10" s="3" t="str">
        <f aca="false">IF(COUNTIFS(Tasks_TaskID,$A10,Tasks_Tier,L$5)=0,"",SUMIFS(Tasks_Cost,Tasks_TaskID,$A10,Tasks_Tier,L$5,Tasks_Type,"base"))</f>
        <v/>
      </c>
      <c r="M10" s="3" t="str">
        <f aca="false">IF(COUNTIFS(Tasks_TaskID,$A10,Tasks_Tier,M$5)=0,"",SUMIFS(Tasks_Cost,Tasks_TaskID,$A10,Tasks_Tier,M$5,Tasks_Type,"base"))</f>
        <v/>
      </c>
    </row>
    <row r="11" customFormat="false" ht="15" hidden="false" customHeight="false" outlineLevel="0" collapsed="false">
      <c r="A11" s="0" t="s">
        <v>1097</v>
      </c>
      <c r="B11" s="0" t="s">
        <v>107</v>
      </c>
      <c r="C11" s="0" t="s">
        <v>1098</v>
      </c>
      <c r="D11" s="3" t="n">
        <f aca="false">IF(COUNTIFS(Tasks_TaskID,$A11,Tasks_Tier,D$5)=0,"",SUMIFS(Tasks_Cost,Tasks_TaskID,$A11,Tasks_Tier,D$5,Tasks_Type,"base"))</f>
        <v>189</v>
      </c>
      <c r="E11" s="3" t="n">
        <f aca="false">IF(COUNTIFS(Tasks_TaskID,$A11,Tasks_Tier,E$5)=0,"",SUMIFS(Tasks_Cost,Tasks_TaskID,$A11,Tasks_Tier,E$5,Tasks_Type,"base"))</f>
        <v>189</v>
      </c>
      <c r="F11" s="3" t="n">
        <f aca="false">IF(COUNTIFS(Tasks_TaskID,$A11,Tasks_Tier,F$5)=0,"",SUMIFS(Tasks_Cost,Tasks_TaskID,$A11,Tasks_Tier,F$5,Tasks_Type,"base"))</f>
        <v>189</v>
      </c>
      <c r="G11" s="3" t="str">
        <f aca="false">IF(COUNTIFS(Tasks_TaskID,$A11,Tasks_Tier,G$5)=0,"",SUMIFS(Tasks_Cost,Tasks_TaskID,$A11,Tasks_Tier,G$5,Tasks_Type,"base"))</f>
        <v/>
      </c>
      <c r="H11" s="3" t="str">
        <f aca="false">IF(COUNTIFS(Tasks_TaskID,$A11,Tasks_Tier,H$5)=0,"",SUMIFS(Tasks_Cost,Tasks_TaskID,$A11,Tasks_Tier,H$5,Tasks_Type,"base"))</f>
        <v/>
      </c>
      <c r="I11" s="3" t="str">
        <f aca="false">IF(COUNTIFS(Tasks_TaskID,$A11,Tasks_Tier,I$5)=0,"",SUMIFS(Tasks_Cost,Tasks_TaskID,$A11,Tasks_Tier,I$5,Tasks_Type,"base"))</f>
        <v/>
      </c>
      <c r="J11" s="3" t="str">
        <f aca="false">IF(COUNTIFS(Tasks_TaskID,$A11,Tasks_Tier,J$5)=0,"",SUMIFS(Tasks_Cost,Tasks_TaskID,$A11,Tasks_Tier,J$5,Tasks_Type,"base"))</f>
        <v/>
      </c>
      <c r="K11" s="3" t="str">
        <f aca="false">IF(COUNTIFS(Tasks_TaskID,$A11,Tasks_Tier,K$5)=0,"",SUMIFS(Tasks_Cost,Tasks_TaskID,$A11,Tasks_Tier,K$5,Tasks_Type,"base"))</f>
        <v/>
      </c>
      <c r="L11" s="3" t="str">
        <f aca="false">IF(COUNTIFS(Tasks_TaskID,$A11,Tasks_Tier,L$5)=0,"",SUMIFS(Tasks_Cost,Tasks_TaskID,$A11,Tasks_Tier,L$5,Tasks_Type,"base"))</f>
        <v/>
      </c>
      <c r="M11" s="3" t="str">
        <f aca="false">IF(COUNTIFS(Tasks_TaskID,$A11,Tasks_Tier,M$5)=0,"",SUMIFS(Tasks_Cost,Tasks_TaskID,$A11,Tasks_Tier,M$5,Tasks_Type,"base"))</f>
        <v/>
      </c>
    </row>
    <row r="12" customFormat="false" ht="15" hidden="false" customHeight="false" outlineLevel="0" collapsed="false">
      <c r="A12" s="0" t="s">
        <v>1117</v>
      </c>
      <c r="B12" s="0" t="s">
        <v>107</v>
      </c>
      <c r="C12" s="0" t="s">
        <v>1118</v>
      </c>
      <c r="D12" s="3" t="n">
        <f aca="false">IF(COUNTIFS(Tasks_TaskID,$A12,Tasks_Tier,D$5)=0,"",SUMIFS(Tasks_Cost,Tasks_TaskID,$A12,Tasks_Tier,D$5,Tasks_Type,"base"))</f>
        <v>521.1</v>
      </c>
      <c r="E12" s="3" t="n">
        <f aca="false">IF(COUNTIFS(Tasks_TaskID,$A12,Tasks_Tier,E$5)=0,"",SUMIFS(Tasks_Cost,Tasks_TaskID,$A12,Tasks_Tier,E$5,Tasks_Type,"base"))</f>
        <v>640.1</v>
      </c>
      <c r="F12" s="3" t="n">
        <f aca="false">IF(COUNTIFS(Tasks_TaskID,$A12,Tasks_Tier,F$5)=0,"",SUMIFS(Tasks_Cost,Tasks_TaskID,$A12,Tasks_Tier,F$5,Tasks_Type,"base"))</f>
        <v>552.1</v>
      </c>
      <c r="G12" s="3" t="str">
        <f aca="false">IF(COUNTIFS(Tasks_TaskID,$A12,Tasks_Tier,G$5)=0,"",SUMIFS(Tasks_Cost,Tasks_TaskID,$A12,Tasks_Tier,G$5,Tasks_Type,"base"))</f>
        <v/>
      </c>
      <c r="H12" s="3" t="str">
        <f aca="false">IF(COUNTIFS(Tasks_TaskID,$A12,Tasks_Tier,H$5)=0,"",SUMIFS(Tasks_Cost,Tasks_TaskID,$A12,Tasks_Tier,H$5,Tasks_Type,"base"))</f>
        <v/>
      </c>
      <c r="I12" s="3" t="str">
        <f aca="false">IF(COUNTIFS(Tasks_TaskID,$A12,Tasks_Tier,I$5)=0,"",SUMIFS(Tasks_Cost,Tasks_TaskID,$A12,Tasks_Tier,I$5,Tasks_Type,"base"))</f>
        <v/>
      </c>
      <c r="J12" s="3" t="str">
        <f aca="false">IF(COUNTIFS(Tasks_TaskID,$A12,Tasks_Tier,J$5)=0,"",SUMIFS(Tasks_Cost,Tasks_TaskID,$A12,Tasks_Tier,J$5,Tasks_Type,"base"))</f>
        <v/>
      </c>
      <c r="K12" s="3" t="str">
        <f aca="false">IF(COUNTIFS(Tasks_TaskID,$A12,Tasks_Tier,K$5)=0,"",SUMIFS(Tasks_Cost,Tasks_TaskID,$A12,Tasks_Tier,K$5,Tasks_Type,"base"))</f>
        <v/>
      </c>
      <c r="L12" s="3" t="str">
        <f aca="false">IF(COUNTIFS(Tasks_TaskID,$A12,Tasks_Tier,L$5)=0,"",SUMIFS(Tasks_Cost,Tasks_TaskID,$A12,Tasks_Tier,L$5,Tasks_Type,"base"))</f>
        <v/>
      </c>
      <c r="M12" s="3" t="str">
        <f aca="false">IF(COUNTIFS(Tasks_TaskID,$A12,Tasks_Tier,M$5)=0,"",SUMIFS(Tasks_Cost,Tasks_TaskID,$A12,Tasks_Tier,M$5,Tasks_Type,"base"))</f>
        <v/>
      </c>
    </row>
    <row r="13" customFormat="false" ht="15" hidden="false" customHeight="false" outlineLevel="0" collapsed="false">
      <c r="A13" s="0" t="s">
        <v>1126</v>
      </c>
      <c r="B13" s="0" t="s">
        <v>176</v>
      </c>
      <c r="C13" s="0" t="s">
        <v>1127</v>
      </c>
      <c r="D13" s="3" t="n">
        <f aca="false">IF(COUNTIFS(Tasks_TaskID,$A13,Tasks_Tier,D$5)=0,"",SUMIFS(Tasks_Cost,Tasks_TaskID,$A13,Tasks_Tier,D$5,Tasks_Type,"base"))</f>
        <v>11.5</v>
      </c>
      <c r="E13" s="3" t="n">
        <f aca="false">IF(COUNTIFS(Tasks_TaskID,$A13,Tasks_Tier,E$5)=0,"",SUMIFS(Tasks_Cost,Tasks_TaskID,$A13,Tasks_Tier,E$5,Tasks_Type,"base"))</f>
        <v>11.5</v>
      </c>
      <c r="F13" s="3" t="n">
        <f aca="false">IF(COUNTIFS(Tasks_TaskID,$A13,Tasks_Tier,F$5)=0,"",SUMIFS(Tasks_Cost,Tasks_TaskID,$A13,Tasks_Tier,F$5,Tasks_Type,"base"))</f>
        <v>11.5</v>
      </c>
      <c r="G13" s="3" t="str">
        <f aca="false">IF(COUNTIFS(Tasks_TaskID,$A13,Tasks_Tier,G$5)=0,"",SUMIFS(Tasks_Cost,Tasks_TaskID,$A13,Tasks_Tier,G$5,Tasks_Type,"base"))</f>
        <v/>
      </c>
      <c r="H13" s="3" t="str">
        <f aca="false">IF(COUNTIFS(Tasks_TaskID,$A13,Tasks_Tier,H$5)=0,"",SUMIFS(Tasks_Cost,Tasks_TaskID,$A13,Tasks_Tier,H$5,Tasks_Type,"base"))</f>
        <v/>
      </c>
      <c r="I13" s="3" t="str">
        <f aca="false">IF(COUNTIFS(Tasks_TaskID,$A13,Tasks_Tier,I$5)=0,"",SUMIFS(Tasks_Cost,Tasks_TaskID,$A13,Tasks_Tier,I$5,Tasks_Type,"base"))</f>
        <v/>
      </c>
      <c r="J13" s="3" t="str">
        <f aca="false">IF(COUNTIFS(Tasks_TaskID,$A13,Tasks_Tier,J$5)=0,"",SUMIFS(Tasks_Cost,Tasks_TaskID,$A13,Tasks_Tier,J$5,Tasks_Type,"base"))</f>
        <v/>
      </c>
      <c r="K13" s="3" t="str">
        <f aca="false">IF(COUNTIFS(Tasks_TaskID,$A13,Tasks_Tier,K$5)=0,"",SUMIFS(Tasks_Cost,Tasks_TaskID,$A13,Tasks_Tier,K$5,Tasks_Type,"base"))</f>
        <v/>
      </c>
      <c r="L13" s="3" t="str">
        <f aca="false">IF(COUNTIFS(Tasks_TaskID,$A13,Tasks_Tier,L$5)=0,"",SUMIFS(Tasks_Cost,Tasks_TaskID,$A13,Tasks_Tier,L$5,Tasks_Type,"base"))</f>
        <v/>
      </c>
      <c r="M13" s="3" t="str">
        <f aca="false">IF(COUNTIFS(Tasks_TaskID,$A13,Tasks_Tier,M$5)=0,"",SUMIFS(Tasks_Cost,Tasks_TaskID,$A13,Tasks_Tier,M$5,Tasks_Type,"base"))</f>
        <v/>
      </c>
    </row>
    <row r="14" customFormat="false" ht="15" hidden="false" customHeight="false" outlineLevel="0" collapsed="false">
      <c r="A14" s="0" t="s">
        <v>1136</v>
      </c>
      <c r="B14" s="0" t="s">
        <v>176</v>
      </c>
      <c r="C14" s="0" t="s">
        <v>1137</v>
      </c>
      <c r="D14" s="3" t="n">
        <f aca="false">IF(COUNTIFS(Tasks_TaskID,$A14,Tasks_Tier,D$5)=0,"",SUMIFS(Tasks_Cost,Tasks_TaskID,$A14,Tasks_Tier,D$5,Tasks_Type,"base"))</f>
        <v>23</v>
      </c>
      <c r="E14" s="3" t="n">
        <f aca="false">IF(COUNTIFS(Tasks_TaskID,$A14,Tasks_Tier,E$5)=0,"",SUMIFS(Tasks_Cost,Tasks_TaskID,$A14,Tasks_Tier,E$5,Tasks_Type,"base"))</f>
        <v>23</v>
      </c>
      <c r="F14" s="3" t="n">
        <f aca="false">IF(COUNTIFS(Tasks_TaskID,$A14,Tasks_Tier,F$5)=0,"",SUMIFS(Tasks_Cost,Tasks_TaskID,$A14,Tasks_Tier,F$5,Tasks_Type,"base"))</f>
        <v>23</v>
      </c>
      <c r="G14" s="3" t="str">
        <f aca="false">IF(COUNTIFS(Tasks_TaskID,$A14,Tasks_Tier,G$5)=0,"",SUMIFS(Tasks_Cost,Tasks_TaskID,$A14,Tasks_Tier,G$5,Tasks_Type,"base"))</f>
        <v/>
      </c>
      <c r="H14" s="3" t="str">
        <f aca="false">IF(COUNTIFS(Tasks_TaskID,$A14,Tasks_Tier,H$5)=0,"",SUMIFS(Tasks_Cost,Tasks_TaskID,$A14,Tasks_Tier,H$5,Tasks_Type,"base"))</f>
        <v/>
      </c>
      <c r="I14" s="3" t="str">
        <f aca="false">IF(COUNTIFS(Tasks_TaskID,$A14,Tasks_Tier,I$5)=0,"",SUMIFS(Tasks_Cost,Tasks_TaskID,$A14,Tasks_Tier,I$5,Tasks_Type,"base"))</f>
        <v/>
      </c>
      <c r="J14" s="3" t="str">
        <f aca="false">IF(COUNTIFS(Tasks_TaskID,$A14,Tasks_Tier,J$5)=0,"",SUMIFS(Tasks_Cost,Tasks_TaskID,$A14,Tasks_Tier,J$5,Tasks_Type,"base"))</f>
        <v/>
      </c>
      <c r="K14" s="3" t="str">
        <f aca="false">IF(COUNTIFS(Tasks_TaskID,$A14,Tasks_Tier,K$5)=0,"",SUMIFS(Tasks_Cost,Tasks_TaskID,$A14,Tasks_Tier,K$5,Tasks_Type,"base"))</f>
        <v/>
      </c>
      <c r="L14" s="3" t="str">
        <f aca="false">IF(COUNTIFS(Tasks_TaskID,$A14,Tasks_Tier,L$5)=0,"",SUMIFS(Tasks_Cost,Tasks_TaskID,$A14,Tasks_Tier,L$5,Tasks_Type,"base"))</f>
        <v/>
      </c>
      <c r="M14" s="3" t="str">
        <f aca="false">IF(COUNTIFS(Tasks_TaskID,$A14,Tasks_Tier,M$5)=0,"",SUMIFS(Tasks_Cost,Tasks_TaskID,$A14,Tasks_Tier,M$5,Tasks_Type,"base"))</f>
        <v/>
      </c>
    </row>
    <row r="15" customFormat="false" ht="15" hidden="false" customHeight="false" outlineLevel="0" collapsed="false">
      <c r="A15" s="0" t="s">
        <v>1151</v>
      </c>
      <c r="B15" s="0" t="s">
        <v>176</v>
      </c>
      <c r="C15" s="0" t="s">
        <v>1152</v>
      </c>
      <c r="D15" s="3" t="str">
        <f aca="false">IF(COUNTIFS(Tasks_TaskID,$A15,Tasks_Tier,D$5)=0,"",SUMIFS(Tasks_Cost,Tasks_TaskID,$A15,Tasks_Tier,D$5,Tasks_Type,"base"))</f>
        <v/>
      </c>
      <c r="E15" s="3" t="str">
        <f aca="false">IF(COUNTIFS(Tasks_TaskID,$A15,Tasks_Tier,E$5)=0,"",SUMIFS(Tasks_Cost,Tasks_TaskID,$A15,Tasks_Tier,E$5,Tasks_Type,"base"))</f>
        <v/>
      </c>
      <c r="F15" s="3" t="str">
        <f aca="false">IF(COUNTIFS(Tasks_TaskID,$A15,Tasks_Tier,F$5)=0,"",SUMIFS(Tasks_Cost,Tasks_TaskID,$A15,Tasks_Tier,F$5,Tasks_Type,"base"))</f>
        <v/>
      </c>
      <c r="G15" s="3" t="n">
        <f aca="false">IF(COUNTIFS(Tasks_TaskID,$A15,Tasks_Tier,G$5)=0,"",SUMIFS(Tasks_Cost,Tasks_TaskID,$A15,Tasks_Tier,G$5,Tasks_Type,"base"))</f>
        <v>839.7</v>
      </c>
      <c r="H15" s="3" t="n">
        <f aca="false">IF(COUNTIFS(Tasks_TaskID,$A15,Tasks_Tier,H$5)=0,"",SUMIFS(Tasks_Cost,Tasks_TaskID,$A15,Tasks_Tier,H$5,Tasks_Type,"base"))</f>
        <v>839.7</v>
      </c>
      <c r="I15" s="3" t="n">
        <f aca="false">IF(COUNTIFS(Tasks_TaskID,$A15,Tasks_Tier,I$5)=0,"",SUMIFS(Tasks_Cost,Tasks_TaskID,$A15,Tasks_Tier,I$5,Tasks_Type,"base"))</f>
        <v>839.7</v>
      </c>
      <c r="J15" s="3" t="n">
        <f aca="false">IF(COUNTIFS(Tasks_TaskID,$A15,Tasks_Tier,J$5)=0,"",SUMIFS(Tasks_Cost,Tasks_TaskID,$A15,Tasks_Tier,J$5,Tasks_Type,"base"))</f>
        <v>839.7</v>
      </c>
      <c r="K15" s="3" t="str">
        <f aca="false">IF(COUNTIFS(Tasks_TaskID,$A15,Tasks_Tier,K$5)=0,"",SUMIFS(Tasks_Cost,Tasks_TaskID,$A15,Tasks_Tier,K$5,Tasks_Type,"base"))</f>
        <v/>
      </c>
      <c r="L15" s="3" t="str">
        <f aca="false">IF(COUNTIFS(Tasks_TaskID,$A15,Tasks_Tier,L$5)=0,"",SUMIFS(Tasks_Cost,Tasks_TaskID,$A15,Tasks_Tier,L$5,Tasks_Type,"base"))</f>
        <v/>
      </c>
      <c r="M15" s="3" t="str">
        <f aca="false">IF(COUNTIFS(Tasks_TaskID,$A15,Tasks_Tier,M$5)=0,"",SUMIFS(Tasks_Cost,Tasks_TaskID,$A15,Tasks_Tier,M$5,Tasks_Type,"base"))</f>
        <v/>
      </c>
    </row>
    <row r="16" customFormat="false" ht="15" hidden="false" customHeight="false" outlineLevel="0" collapsed="false">
      <c r="A16" s="0" t="s">
        <v>1161</v>
      </c>
      <c r="B16" s="0" t="s">
        <v>229</v>
      </c>
      <c r="C16" s="0" t="s">
        <v>1162</v>
      </c>
      <c r="D16" s="3" t="n">
        <f aca="false">IF(COUNTIFS(Tasks_TaskID,$A16,Tasks_Tier,D$5)=0,"",SUMIFS(Tasks_Cost,Tasks_TaskID,$A16,Tasks_Tier,D$5,Tasks_Type,"base"))</f>
        <v>0</v>
      </c>
      <c r="E16" s="3" t="n">
        <f aca="false">IF(COUNTIFS(Tasks_TaskID,$A16,Tasks_Tier,E$5)=0,"",SUMIFS(Tasks_Cost,Tasks_TaskID,$A16,Tasks_Tier,E$5,Tasks_Type,"base"))</f>
        <v>0</v>
      </c>
      <c r="F16" s="3" t="n">
        <f aca="false">IF(COUNTIFS(Tasks_TaskID,$A16,Tasks_Tier,F$5)=0,"",SUMIFS(Tasks_Cost,Tasks_TaskID,$A16,Tasks_Tier,F$5,Tasks_Type,"base"))</f>
        <v>0</v>
      </c>
      <c r="G16" s="3" t="str">
        <f aca="false">IF(COUNTIFS(Tasks_TaskID,$A16,Tasks_Tier,G$5)=0,"",SUMIFS(Tasks_Cost,Tasks_TaskID,$A16,Tasks_Tier,G$5,Tasks_Type,"base"))</f>
        <v/>
      </c>
      <c r="H16" s="3" t="str">
        <f aca="false">IF(COUNTIFS(Tasks_TaskID,$A16,Tasks_Tier,H$5)=0,"",SUMIFS(Tasks_Cost,Tasks_TaskID,$A16,Tasks_Tier,H$5,Tasks_Type,"base"))</f>
        <v/>
      </c>
      <c r="I16" s="3" t="str">
        <f aca="false">IF(COUNTIFS(Tasks_TaskID,$A16,Tasks_Tier,I$5)=0,"",SUMIFS(Tasks_Cost,Tasks_TaskID,$A16,Tasks_Tier,I$5,Tasks_Type,"base"))</f>
        <v/>
      </c>
      <c r="J16" s="3" t="str">
        <f aca="false">IF(COUNTIFS(Tasks_TaskID,$A16,Tasks_Tier,J$5)=0,"",SUMIFS(Tasks_Cost,Tasks_TaskID,$A16,Tasks_Tier,J$5,Tasks_Type,"base"))</f>
        <v/>
      </c>
      <c r="K16" s="3" t="str">
        <f aca="false">IF(COUNTIFS(Tasks_TaskID,$A16,Tasks_Tier,K$5)=0,"",SUMIFS(Tasks_Cost,Tasks_TaskID,$A16,Tasks_Tier,K$5,Tasks_Type,"base"))</f>
        <v/>
      </c>
      <c r="L16" s="3" t="str">
        <f aca="false">IF(COUNTIFS(Tasks_TaskID,$A16,Tasks_Tier,L$5)=0,"",SUMIFS(Tasks_Cost,Tasks_TaskID,$A16,Tasks_Tier,L$5,Tasks_Type,"base"))</f>
        <v/>
      </c>
      <c r="M16" s="3" t="str">
        <f aca="false">IF(COUNTIFS(Tasks_TaskID,$A16,Tasks_Tier,M$5)=0,"",SUMIFS(Tasks_Cost,Tasks_TaskID,$A16,Tasks_Tier,M$5,Tasks_Type,"base"))</f>
        <v/>
      </c>
    </row>
    <row r="17" customFormat="false" ht="15" hidden="false" customHeight="false" outlineLevel="0" collapsed="false">
      <c r="A17" s="0" t="s">
        <v>1171</v>
      </c>
      <c r="B17" s="0" t="s">
        <v>229</v>
      </c>
      <c r="C17" s="0" t="s">
        <v>1172</v>
      </c>
      <c r="D17" s="3" t="n">
        <f aca="false">IF(COUNTIFS(Tasks_TaskID,$A17,Tasks_Tier,D$5)=0,"",SUMIFS(Tasks_Cost,Tasks_TaskID,$A17,Tasks_Tier,D$5,Tasks_Type,"base"))</f>
        <v>0</v>
      </c>
      <c r="E17" s="3" t="n">
        <f aca="false">IF(COUNTIFS(Tasks_TaskID,$A17,Tasks_Tier,E$5)=0,"",SUMIFS(Tasks_Cost,Tasks_TaskID,$A17,Tasks_Tier,E$5,Tasks_Type,"base"))</f>
        <v>0</v>
      </c>
      <c r="F17" s="3" t="n">
        <f aca="false">IF(COUNTIFS(Tasks_TaskID,$A17,Tasks_Tier,F$5)=0,"",SUMIFS(Tasks_Cost,Tasks_TaskID,$A17,Tasks_Tier,F$5,Tasks_Type,"base"))</f>
        <v>0</v>
      </c>
      <c r="G17" s="3" t="str">
        <f aca="false">IF(COUNTIFS(Tasks_TaskID,$A17,Tasks_Tier,G$5)=0,"",SUMIFS(Tasks_Cost,Tasks_TaskID,$A17,Tasks_Tier,G$5,Tasks_Type,"base"))</f>
        <v/>
      </c>
      <c r="H17" s="3" t="str">
        <f aca="false">IF(COUNTIFS(Tasks_TaskID,$A17,Tasks_Tier,H$5)=0,"",SUMIFS(Tasks_Cost,Tasks_TaskID,$A17,Tasks_Tier,H$5,Tasks_Type,"base"))</f>
        <v/>
      </c>
      <c r="I17" s="3" t="str">
        <f aca="false">IF(COUNTIFS(Tasks_TaskID,$A17,Tasks_Tier,I$5)=0,"",SUMIFS(Tasks_Cost,Tasks_TaskID,$A17,Tasks_Tier,I$5,Tasks_Type,"base"))</f>
        <v/>
      </c>
      <c r="J17" s="3" t="str">
        <f aca="false">IF(COUNTIFS(Tasks_TaskID,$A17,Tasks_Tier,J$5)=0,"",SUMIFS(Tasks_Cost,Tasks_TaskID,$A17,Tasks_Tier,J$5,Tasks_Type,"base"))</f>
        <v/>
      </c>
      <c r="K17" s="3" t="str">
        <f aca="false">IF(COUNTIFS(Tasks_TaskID,$A17,Tasks_Tier,K$5)=0,"",SUMIFS(Tasks_Cost,Tasks_TaskID,$A17,Tasks_Tier,K$5,Tasks_Type,"base"))</f>
        <v/>
      </c>
      <c r="L17" s="3" t="str">
        <f aca="false">IF(COUNTIFS(Tasks_TaskID,$A17,Tasks_Tier,L$5)=0,"",SUMIFS(Tasks_Cost,Tasks_TaskID,$A17,Tasks_Tier,L$5,Tasks_Type,"base"))</f>
        <v/>
      </c>
      <c r="M17" s="3" t="str">
        <f aca="false">IF(COUNTIFS(Tasks_TaskID,$A17,Tasks_Tier,M$5)=0,"",SUMIFS(Tasks_Cost,Tasks_TaskID,$A17,Tasks_Tier,M$5,Tasks_Type,"base"))</f>
        <v/>
      </c>
    </row>
    <row r="18" customFormat="false" ht="15" hidden="false" customHeight="false" outlineLevel="0" collapsed="false">
      <c r="A18" s="0" t="s">
        <v>1178</v>
      </c>
      <c r="B18" s="0" t="s">
        <v>229</v>
      </c>
      <c r="C18" s="0" t="s">
        <v>1179</v>
      </c>
      <c r="D18" s="3" t="n">
        <f aca="false">IF(COUNTIFS(Tasks_TaskID,$A18,Tasks_Tier,D$5)=0,"",SUMIFS(Tasks_Cost,Tasks_TaskID,$A18,Tasks_Tier,D$5,Tasks_Type,"base"))</f>
        <v>0</v>
      </c>
      <c r="E18" s="3" t="n">
        <f aca="false">IF(COUNTIFS(Tasks_TaskID,$A18,Tasks_Tier,E$5)=0,"",SUMIFS(Tasks_Cost,Tasks_TaskID,$A18,Tasks_Tier,E$5,Tasks_Type,"base"))</f>
        <v>0</v>
      </c>
      <c r="F18" s="3" t="n">
        <f aca="false">IF(COUNTIFS(Tasks_TaskID,$A18,Tasks_Tier,F$5)=0,"",SUMIFS(Tasks_Cost,Tasks_TaskID,$A18,Tasks_Tier,F$5,Tasks_Type,"base"))</f>
        <v>0</v>
      </c>
      <c r="G18" s="3" t="str">
        <f aca="false">IF(COUNTIFS(Tasks_TaskID,$A18,Tasks_Tier,G$5)=0,"",SUMIFS(Tasks_Cost,Tasks_TaskID,$A18,Tasks_Tier,G$5,Tasks_Type,"base"))</f>
        <v/>
      </c>
      <c r="H18" s="3" t="str">
        <f aca="false">IF(COUNTIFS(Tasks_TaskID,$A18,Tasks_Tier,H$5)=0,"",SUMIFS(Tasks_Cost,Tasks_TaskID,$A18,Tasks_Tier,H$5,Tasks_Type,"base"))</f>
        <v/>
      </c>
      <c r="I18" s="3" t="str">
        <f aca="false">IF(COUNTIFS(Tasks_TaskID,$A18,Tasks_Tier,I$5)=0,"",SUMIFS(Tasks_Cost,Tasks_TaskID,$A18,Tasks_Tier,I$5,Tasks_Type,"base"))</f>
        <v/>
      </c>
      <c r="J18" s="3" t="str">
        <f aca="false">IF(COUNTIFS(Tasks_TaskID,$A18,Tasks_Tier,J$5)=0,"",SUMIFS(Tasks_Cost,Tasks_TaskID,$A18,Tasks_Tier,J$5,Tasks_Type,"base"))</f>
        <v/>
      </c>
      <c r="K18" s="3" t="str">
        <f aca="false">IF(COUNTIFS(Tasks_TaskID,$A18,Tasks_Tier,K$5)=0,"",SUMIFS(Tasks_Cost,Tasks_TaskID,$A18,Tasks_Tier,K$5,Tasks_Type,"base"))</f>
        <v/>
      </c>
      <c r="L18" s="3" t="str">
        <f aca="false">IF(COUNTIFS(Tasks_TaskID,$A18,Tasks_Tier,L$5)=0,"",SUMIFS(Tasks_Cost,Tasks_TaskID,$A18,Tasks_Tier,L$5,Tasks_Type,"base"))</f>
        <v/>
      </c>
      <c r="M18" s="3" t="str">
        <f aca="false">IF(COUNTIFS(Tasks_TaskID,$A18,Tasks_Tier,M$5)=0,"",SUMIFS(Tasks_Cost,Tasks_TaskID,$A18,Tasks_Tier,M$5,Tasks_Type,"base"))</f>
        <v/>
      </c>
    </row>
    <row r="19" customFormat="false" ht="15" hidden="false" customHeight="false" outlineLevel="0" collapsed="false">
      <c r="A19" s="0" t="s">
        <v>1185</v>
      </c>
      <c r="B19" s="0" t="s">
        <v>273</v>
      </c>
      <c r="C19" s="0" t="s">
        <v>1186</v>
      </c>
      <c r="D19" s="3" t="n">
        <f aca="false">IF(COUNTIFS(Tasks_TaskID,$A19,Tasks_Tier,D$5)=0,"",SUMIFS(Tasks_Cost,Tasks_TaskID,$A19,Tasks_Tier,D$5,Tasks_Type,"base"))</f>
        <v>809.778825</v>
      </c>
      <c r="E19" s="3" t="n">
        <f aca="false">IF(COUNTIFS(Tasks_TaskID,$A19,Tasks_Tier,E$5)=0,"",SUMIFS(Tasks_Cost,Tasks_TaskID,$A19,Tasks_Tier,E$5,Tasks_Type,"base"))</f>
        <v>910.416655</v>
      </c>
      <c r="F19" s="3" t="n">
        <f aca="false">IF(COUNTIFS(Tasks_TaskID,$A19,Tasks_Tier,F$5)=0,"",SUMIFS(Tasks_Cost,Tasks_TaskID,$A19,Tasks_Tier,F$5,Tasks_Type,"base"))</f>
        <v>1053.416655</v>
      </c>
      <c r="G19" s="3" t="str">
        <f aca="false">IF(COUNTIFS(Tasks_TaskID,$A19,Tasks_Tier,G$5)=0,"",SUMIFS(Tasks_Cost,Tasks_TaskID,$A19,Tasks_Tier,G$5,Tasks_Type,"base"))</f>
        <v/>
      </c>
      <c r="H19" s="3" t="str">
        <f aca="false">IF(COUNTIFS(Tasks_TaskID,$A19,Tasks_Tier,H$5)=0,"",SUMIFS(Tasks_Cost,Tasks_TaskID,$A19,Tasks_Tier,H$5,Tasks_Type,"base"))</f>
        <v/>
      </c>
      <c r="I19" s="3" t="str">
        <f aca="false">IF(COUNTIFS(Tasks_TaskID,$A19,Tasks_Tier,I$5)=0,"",SUMIFS(Tasks_Cost,Tasks_TaskID,$A19,Tasks_Tier,I$5,Tasks_Type,"base"))</f>
        <v/>
      </c>
      <c r="J19" s="3" t="str">
        <f aca="false">IF(COUNTIFS(Tasks_TaskID,$A19,Tasks_Tier,J$5)=0,"",SUMIFS(Tasks_Cost,Tasks_TaskID,$A19,Tasks_Tier,J$5,Tasks_Type,"base"))</f>
        <v/>
      </c>
      <c r="K19" s="3" t="str">
        <f aca="false">IF(COUNTIFS(Tasks_TaskID,$A19,Tasks_Tier,K$5)=0,"",SUMIFS(Tasks_Cost,Tasks_TaskID,$A19,Tasks_Tier,K$5,Tasks_Type,"base"))</f>
        <v/>
      </c>
      <c r="L19" s="3" t="str">
        <f aca="false">IF(COUNTIFS(Tasks_TaskID,$A19,Tasks_Tier,L$5)=0,"",SUMIFS(Tasks_Cost,Tasks_TaskID,$A19,Tasks_Tier,L$5,Tasks_Type,"base"))</f>
        <v/>
      </c>
      <c r="M19" s="3" t="str">
        <f aca="false">IF(COUNTIFS(Tasks_TaskID,$A19,Tasks_Tier,M$5)=0,"",SUMIFS(Tasks_Cost,Tasks_TaskID,$A19,Tasks_Tier,M$5,Tasks_Type,"base"))</f>
        <v/>
      </c>
    </row>
    <row r="20" customFormat="false" ht="15" hidden="false" customHeight="false" outlineLevel="0" collapsed="false">
      <c r="A20" s="0" t="s">
        <v>1228</v>
      </c>
      <c r="B20" s="0" t="s">
        <v>273</v>
      </c>
      <c r="C20" s="0" t="s">
        <v>1229</v>
      </c>
      <c r="D20" s="3" t="n">
        <f aca="false">IF(COUNTIFS(Tasks_TaskID,$A20,Tasks_Tier,D$5)=0,"",SUMIFS(Tasks_Cost,Tasks_TaskID,$A20,Tasks_Tier,D$5,Tasks_Type,"base"))</f>
        <v>92.634645</v>
      </c>
      <c r="E20" s="3" t="n">
        <f aca="false">IF(COUNTIFS(Tasks_TaskID,$A20,Tasks_Tier,E$5)=0,"",SUMIFS(Tasks_Cost,Tasks_TaskID,$A20,Tasks_Tier,E$5,Tasks_Type,"base"))</f>
        <v>161.160785</v>
      </c>
      <c r="F20" s="3" t="n">
        <f aca="false">IF(COUNTIFS(Tasks_TaskID,$A20,Tasks_Tier,F$5)=0,"",SUMIFS(Tasks_Cost,Tasks_TaskID,$A20,Tasks_Tier,F$5,Tasks_Type,"base"))</f>
        <v>143.231096</v>
      </c>
      <c r="G20" s="3" t="str">
        <f aca="false">IF(COUNTIFS(Tasks_TaskID,$A20,Tasks_Tier,G$5)=0,"",SUMIFS(Tasks_Cost,Tasks_TaskID,$A20,Tasks_Tier,G$5,Tasks_Type,"base"))</f>
        <v/>
      </c>
      <c r="H20" s="3" t="str">
        <f aca="false">IF(COUNTIFS(Tasks_TaskID,$A20,Tasks_Tier,H$5)=0,"",SUMIFS(Tasks_Cost,Tasks_TaskID,$A20,Tasks_Tier,H$5,Tasks_Type,"base"))</f>
        <v/>
      </c>
      <c r="I20" s="3" t="str">
        <f aca="false">IF(COUNTIFS(Tasks_TaskID,$A20,Tasks_Tier,I$5)=0,"",SUMIFS(Tasks_Cost,Tasks_TaskID,$A20,Tasks_Tier,I$5,Tasks_Type,"base"))</f>
        <v/>
      </c>
      <c r="J20" s="3" t="str">
        <f aca="false">IF(COUNTIFS(Tasks_TaskID,$A20,Tasks_Tier,J$5)=0,"",SUMIFS(Tasks_Cost,Tasks_TaskID,$A20,Tasks_Tier,J$5,Tasks_Type,"base"))</f>
        <v/>
      </c>
      <c r="K20" s="3" t="str">
        <f aca="false">IF(COUNTIFS(Tasks_TaskID,$A20,Tasks_Tier,K$5)=0,"",SUMIFS(Tasks_Cost,Tasks_TaskID,$A20,Tasks_Tier,K$5,Tasks_Type,"base"))</f>
        <v/>
      </c>
      <c r="L20" s="3" t="str">
        <f aca="false">IF(COUNTIFS(Tasks_TaskID,$A20,Tasks_Tier,L$5)=0,"",SUMIFS(Tasks_Cost,Tasks_TaskID,$A20,Tasks_Tier,L$5,Tasks_Type,"base"))</f>
        <v/>
      </c>
      <c r="M20" s="3" t="str">
        <f aca="false">IF(COUNTIFS(Tasks_TaskID,$A20,Tasks_Tier,M$5)=0,"",SUMIFS(Tasks_Cost,Tasks_TaskID,$A20,Tasks_Tier,M$5,Tasks_Type,"base"))</f>
        <v/>
      </c>
    </row>
    <row r="21" customFormat="false" ht="15" hidden="false" customHeight="false" outlineLevel="0" collapsed="false">
      <c r="A21" s="0" t="s">
        <v>1249</v>
      </c>
      <c r="B21" s="0" t="s">
        <v>273</v>
      </c>
      <c r="C21" s="0" t="s">
        <v>1250</v>
      </c>
      <c r="D21" s="3" t="n">
        <f aca="false">IF(COUNTIFS(Tasks_TaskID,$A21,Tasks_Tier,D$5)=0,"",SUMIFS(Tasks_Cost,Tasks_TaskID,$A21,Tasks_Tier,D$5,Tasks_Type,"base"))</f>
        <v>30.65</v>
      </c>
      <c r="E21" s="3" t="n">
        <f aca="false">IF(COUNTIFS(Tasks_TaskID,$A21,Tasks_Tier,E$5)=0,"",SUMIFS(Tasks_Cost,Tasks_TaskID,$A21,Tasks_Tier,E$5,Tasks_Type,"base"))</f>
        <v>60.19</v>
      </c>
      <c r="F21" s="3" t="n">
        <f aca="false">IF(COUNTIFS(Tasks_TaskID,$A21,Tasks_Tier,F$5)=0,"",SUMIFS(Tasks_Cost,Tasks_TaskID,$A21,Tasks_Tier,F$5,Tasks_Type,"base"))</f>
        <v>60.19</v>
      </c>
      <c r="G21" s="3" t="str">
        <f aca="false">IF(COUNTIFS(Tasks_TaskID,$A21,Tasks_Tier,G$5)=0,"",SUMIFS(Tasks_Cost,Tasks_TaskID,$A21,Tasks_Tier,G$5,Tasks_Type,"base"))</f>
        <v/>
      </c>
      <c r="H21" s="3" t="str">
        <f aca="false">IF(COUNTIFS(Tasks_TaskID,$A21,Tasks_Tier,H$5)=0,"",SUMIFS(Tasks_Cost,Tasks_TaskID,$A21,Tasks_Tier,H$5,Tasks_Type,"base"))</f>
        <v/>
      </c>
      <c r="I21" s="3" t="str">
        <f aca="false">IF(COUNTIFS(Tasks_TaskID,$A21,Tasks_Tier,I$5)=0,"",SUMIFS(Tasks_Cost,Tasks_TaskID,$A21,Tasks_Tier,I$5,Tasks_Type,"base"))</f>
        <v/>
      </c>
      <c r="J21" s="3" t="str">
        <f aca="false">IF(COUNTIFS(Tasks_TaskID,$A21,Tasks_Tier,J$5)=0,"",SUMIFS(Tasks_Cost,Tasks_TaskID,$A21,Tasks_Tier,J$5,Tasks_Type,"base"))</f>
        <v/>
      </c>
      <c r="K21" s="3" t="str">
        <f aca="false">IF(COUNTIFS(Tasks_TaskID,$A21,Tasks_Tier,K$5)=0,"",SUMIFS(Tasks_Cost,Tasks_TaskID,$A21,Tasks_Tier,K$5,Tasks_Type,"base"))</f>
        <v/>
      </c>
      <c r="L21" s="3" t="str">
        <f aca="false">IF(COUNTIFS(Tasks_TaskID,$A21,Tasks_Tier,L$5)=0,"",SUMIFS(Tasks_Cost,Tasks_TaskID,$A21,Tasks_Tier,L$5,Tasks_Type,"base"))</f>
        <v/>
      </c>
      <c r="M21" s="3" t="str">
        <f aca="false">IF(COUNTIFS(Tasks_TaskID,$A21,Tasks_Tier,M$5)=0,"",SUMIFS(Tasks_Cost,Tasks_TaskID,$A21,Tasks_Tier,M$5,Tasks_Type,"base"))</f>
        <v/>
      </c>
    </row>
    <row r="22" customFormat="false" ht="15" hidden="false" customHeight="false" outlineLevel="0" collapsed="false">
      <c r="A22" s="0" t="s">
        <v>1267</v>
      </c>
      <c r="B22" s="0" t="s">
        <v>397</v>
      </c>
      <c r="C22" s="0" t="s">
        <v>1268</v>
      </c>
      <c r="D22" s="3" t="n">
        <f aca="false">IF(COUNTIFS(Tasks_TaskID,$A22,Tasks_Tier,D$5)=0,"",SUMIFS(Tasks_Cost,Tasks_TaskID,$A22,Tasks_Tier,D$5,Tasks_Type,"base"))</f>
        <v>1694</v>
      </c>
      <c r="E22" s="3" t="n">
        <f aca="false">IF(COUNTIFS(Tasks_TaskID,$A22,Tasks_Tier,E$5)=0,"",SUMIFS(Tasks_Cost,Tasks_TaskID,$A22,Tasks_Tier,E$5,Tasks_Type,"base"))</f>
        <v>2862</v>
      </c>
      <c r="F22" s="3" t="n">
        <f aca="false">IF(COUNTIFS(Tasks_TaskID,$A22,Tasks_Tier,F$5)=0,"",SUMIFS(Tasks_Cost,Tasks_TaskID,$A22,Tasks_Tier,F$5,Tasks_Type,"base"))</f>
        <v>3202</v>
      </c>
      <c r="G22" s="3" t="str">
        <f aca="false">IF(COUNTIFS(Tasks_TaskID,$A22,Tasks_Tier,G$5)=0,"",SUMIFS(Tasks_Cost,Tasks_TaskID,$A22,Tasks_Tier,G$5,Tasks_Type,"base"))</f>
        <v/>
      </c>
      <c r="H22" s="3" t="str">
        <f aca="false">IF(COUNTIFS(Tasks_TaskID,$A22,Tasks_Tier,H$5)=0,"",SUMIFS(Tasks_Cost,Tasks_TaskID,$A22,Tasks_Tier,H$5,Tasks_Type,"base"))</f>
        <v/>
      </c>
      <c r="I22" s="3" t="str">
        <f aca="false">IF(COUNTIFS(Tasks_TaskID,$A22,Tasks_Tier,I$5)=0,"",SUMIFS(Tasks_Cost,Tasks_TaskID,$A22,Tasks_Tier,I$5,Tasks_Type,"base"))</f>
        <v/>
      </c>
      <c r="J22" s="3" t="str">
        <f aca="false">IF(COUNTIFS(Tasks_TaskID,$A22,Tasks_Tier,J$5)=0,"",SUMIFS(Tasks_Cost,Tasks_TaskID,$A22,Tasks_Tier,J$5,Tasks_Type,"base"))</f>
        <v/>
      </c>
      <c r="K22" s="3" t="str">
        <f aca="false">IF(COUNTIFS(Tasks_TaskID,$A22,Tasks_Tier,K$5)=0,"",SUMIFS(Tasks_Cost,Tasks_TaskID,$A22,Tasks_Tier,K$5,Tasks_Type,"base"))</f>
        <v/>
      </c>
      <c r="L22" s="3" t="str">
        <f aca="false">IF(COUNTIFS(Tasks_TaskID,$A22,Tasks_Tier,L$5)=0,"",SUMIFS(Tasks_Cost,Tasks_TaskID,$A22,Tasks_Tier,L$5,Tasks_Type,"base"))</f>
        <v/>
      </c>
      <c r="M22" s="3" t="str">
        <f aca="false">IF(COUNTIFS(Tasks_TaskID,$A22,Tasks_Tier,M$5)=0,"",SUMIFS(Tasks_Cost,Tasks_TaskID,$A22,Tasks_Tier,M$5,Tasks_Type,"base"))</f>
        <v/>
      </c>
    </row>
    <row r="23" customFormat="false" ht="15" hidden="false" customHeight="false" outlineLevel="0" collapsed="false">
      <c r="A23" s="0" t="s">
        <v>1284</v>
      </c>
      <c r="B23" s="0" t="s">
        <v>397</v>
      </c>
      <c r="C23" s="0" t="s">
        <v>1285</v>
      </c>
      <c r="D23" s="3" t="n">
        <f aca="false">IF(COUNTIFS(Tasks_TaskID,$A23,Tasks_Tier,D$5)=0,"",SUMIFS(Tasks_Cost,Tasks_TaskID,$A23,Tasks_Tier,D$5,Tasks_Type,"base"))</f>
        <v>398</v>
      </c>
      <c r="E23" s="3" t="n">
        <f aca="false">IF(COUNTIFS(Tasks_TaskID,$A23,Tasks_Tier,E$5)=0,"",SUMIFS(Tasks_Cost,Tasks_TaskID,$A23,Tasks_Tier,E$5,Tasks_Type,"base"))</f>
        <v>547</v>
      </c>
      <c r="F23" s="3" t="n">
        <f aca="false">IF(COUNTIFS(Tasks_TaskID,$A23,Tasks_Tier,F$5)=0,"",SUMIFS(Tasks_Cost,Tasks_TaskID,$A23,Tasks_Tier,F$5,Tasks_Type,"base"))</f>
        <v>583</v>
      </c>
      <c r="G23" s="3" t="str">
        <f aca="false">IF(COUNTIFS(Tasks_TaskID,$A23,Tasks_Tier,G$5)=0,"",SUMIFS(Tasks_Cost,Tasks_TaskID,$A23,Tasks_Tier,G$5,Tasks_Type,"base"))</f>
        <v/>
      </c>
      <c r="H23" s="3" t="str">
        <f aca="false">IF(COUNTIFS(Tasks_TaskID,$A23,Tasks_Tier,H$5)=0,"",SUMIFS(Tasks_Cost,Tasks_TaskID,$A23,Tasks_Tier,H$5,Tasks_Type,"base"))</f>
        <v/>
      </c>
      <c r="I23" s="3" t="str">
        <f aca="false">IF(COUNTIFS(Tasks_TaskID,$A23,Tasks_Tier,I$5)=0,"",SUMIFS(Tasks_Cost,Tasks_TaskID,$A23,Tasks_Tier,I$5,Tasks_Type,"base"))</f>
        <v/>
      </c>
      <c r="J23" s="3" t="str">
        <f aca="false">IF(COUNTIFS(Tasks_TaskID,$A23,Tasks_Tier,J$5)=0,"",SUMIFS(Tasks_Cost,Tasks_TaskID,$A23,Tasks_Tier,J$5,Tasks_Type,"base"))</f>
        <v/>
      </c>
      <c r="K23" s="3" t="str">
        <f aca="false">IF(COUNTIFS(Tasks_TaskID,$A23,Tasks_Tier,K$5)=0,"",SUMIFS(Tasks_Cost,Tasks_TaskID,$A23,Tasks_Tier,K$5,Tasks_Type,"base"))</f>
        <v/>
      </c>
      <c r="L23" s="3" t="str">
        <f aca="false">IF(COUNTIFS(Tasks_TaskID,$A23,Tasks_Tier,L$5)=0,"",SUMIFS(Tasks_Cost,Tasks_TaskID,$A23,Tasks_Tier,L$5,Tasks_Type,"base"))</f>
        <v/>
      </c>
      <c r="M23" s="3" t="str">
        <f aca="false">IF(COUNTIFS(Tasks_TaskID,$A23,Tasks_Tier,M$5)=0,"",SUMIFS(Tasks_Cost,Tasks_TaskID,$A23,Tasks_Tier,M$5,Tasks_Type,"base"))</f>
        <v/>
      </c>
    </row>
    <row r="24" customFormat="false" ht="15" hidden="false" customHeight="false" outlineLevel="0" collapsed="false">
      <c r="A24" s="0" t="s">
        <v>1291</v>
      </c>
      <c r="B24" s="0" t="s">
        <v>397</v>
      </c>
      <c r="C24" s="0" t="s">
        <v>1292</v>
      </c>
      <c r="D24" s="3" t="n">
        <f aca="false">IF(COUNTIFS(Tasks_TaskID,$A24,Tasks_Tier,D$5)=0,"",SUMIFS(Tasks_Cost,Tasks_TaskID,$A24,Tasks_Tier,D$5,Tasks_Type,"base"))</f>
        <v>771.57653</v>
      </c>
      <c r="E24" s="3" t="n">
        <f aca="false">IF(COUNTIFS(Tasks_TaskID,$A24,Tasks_Tier,E$5)=0,"",SUMIFS(Tasks_Cost,Tasks_TaskID,$A24,Tasks_Tier,E$5,Tasks_Type,"base"))</f>
        <v>1427.241375</v>
      </c>
      <c r="F24" s="3" t="n">
        <f aca="false">IF(COUNTIFS(Tasks_TaskID,$A24,Tasks_Tier,F$5)=0,"",SUMIFS(Tasks_Cost,Tasks_TaskID,$A24,Tasks_Tier,F$5,Tasks_Type,"base"))</f>
        <v>1862.166375</v>
      </c>
      <c r="G24" s="3" t="str">
        <f aca="false">IF(COUNTIFS(Tasks_TaskID,$A24,Tasks_Tier,G$5)=0,"",SUMIFS(Tasks_Cost,Tasks_TaskID,$A24,Tasks_Tier,G$5,Tasks_Type,"base"))</f>
        <v/>
      </c>
      <c r="H24" s="3" t="str">
        <f aca="false">IF(COUNTIFS(Tasks_TaskID,$A24,Tasks_Tier,H$5)=0,"",SUMIFS(Tasks_Cost,Tasks_TaskID,$A24,Tasks_Tier,H$5,Tasks_Type,"base"))</f>
        <v/>
      </c>
      <c r="I24" s="3" t="str">
        <f aca="false">IF(COUNTIFS(Tasks_TaskID,$A24,Tasks_Tier,I$5)=0,"",SUMIFS(Tasks_Cost,Tasks_TaskID,$A24,Tasks_Tier,I$5,Tasks_Type,"base"))</f>
        <v/>
      </c>
      <c r="J24" s="3" t="str">
        <f aca="false">IF(COUNTIFS(Tasks_TaskID,$A24,Tasks_Tier,J$5)=0,"",SUMIFS(Tasks_Cost,Tasks_TaskID,$A24,Tasks_Tier,J$5,Tasks_Type,"base"))</f>
        <v/>
      </c>
      <c r="K24" s="3" t="str">
        <f aca="false">IF(COUNTIFS(Tasks_TaskID,$A24,Tasks_Tier,K$5)=0,"",SUMIFS(Tasks_Cost,Tasks_TaskID,$A24,Tasks_Tier,K$5,Tasks_Type,"base"))</f>
        <v/>
      </c>
      <c r="L24" s="3" t="str">
        <f aca="false">IF(COUNTIFS(Tasks_TaskID,$A24,Tasks_Tier,L$5)=0,"",SUMIFS(Tasks_Cost,Tasks_TaskID,$A24,Tasks_Tier,L$5,Tasks_Type,"base"))</f>
        <v/>
      </c>
      <c r="M24" s="3" t="str">
        <f aca="false">IF(COUNTIFS(Tasks_TaskID,$A24,Tasks_Tier,M$5)=0,"",SUMIFS(Tasks_Cost,Tasks_TaskID,$A24,Tasks_Tier,M$5,Tasks_Type,"base"))</f>
        <v/>
      </c>
    </row>
    <row r="25" customFormat="false" ht="15" hidden="false" customHeight="false" outlineLevel="0" collapsed="false">
      <c r="A25" s="0" t="s">
        <v>1318</v>
      </c>
      <c r="B25" s="0" t="s">
        <v>496</v>
      </c>
      <c r="C25" s="0" t="s">
        <v>1319</v>
      </c>
      <c r="D25" s="3" t="n">
        <f aca="false">IF(COUNTIFS(Tasks_TaskID,$A25,Tasks_Tier,D$5)=0,"",SUMIFS(Tasks_Cost,Tasks_TaskID,$A25,Tasks_Tier,D$5,Tasks_Type,"base"))</f>
        <v>1817</v>
      </c>
      <c r="E25" s="3" t="n">
        <f aca="false">IF(COUNTIFS(Tasks_TaskID,$A25,Tasks_Tier,E$5)=0,"",SUMIFS(Tasks_Cost,Tasks_TaskID,$A25,Tasks_Tier,E$5,Tasks_Type,"base"))</f>
        <v>4035</v>
      </c>
      <c r="F25" s="3" t="n">
        <f aca="false">IF(COUNTIFS(Tasks_TaskID,$A25,Tasks_Tier,F$5)=0,"",SUMIFS(Tasks_Cost,Tasks_TaskID,$A25,Tasks_Tier,F$5,Tasks_Type,"base"))</f>
        <v>3737</v>
      </c>
      <c r="G25" s="3" t="str">
        <f aca="false">IF(COUNTIFS(Tasks_TaskID,$A25,Tasks_Tier,G$5)=0,"",SUMIFS(Tasks_Cost,Tasks_TaskID,$A25,Tasks_Tier,G$5,Tasks_Type,"base"))</f>
        <v/>
      </c>
      <c r="H25" s="3" t="str">
        <f aca="false">IF(COUNTIFS(Tasks_TaskID,$A25,Tasks_Tier,H$5)=0,"",SUMIFS(Tasks_Cost,Tasks_TaskID,$A25,Tasks_Tier,H$5,Tasks_Type,"base"))</f>
        <v/>
      </c>
      <c r="I25" s="3" t="str">
        <f aca="false">IF(COUNTIFS(Tasks_TaskID,$A25,Tasks_Tier,I$5)=0,"",SUMIFS(Tasks_Cost,Tasks_TaskID,$A25,Tasks_Tier,I$5,Tasks_Type,"base"))</f>
        <v/>
      </c>
      <c r="J25" s="3" t="str">
        <f aca="false">IF(COUNTIFS(Tasks_TaskID,$A25,Tasks_Tier,J$5)=0,"",SUMIFS(Tasks_Cost,Tasks_TaskID,$A25,Tasks_Tier,J$5,Tasks_Type,"base"))</f>
        <v/>
      </c>
      <c r="K25" s="3" t="str">
        <f aca="false">IF(COUNTIFS(Tasks_TaskID,$A25,Tasks_Tier,K$5)=0,"",SUMIFS(Tasks_Cost,Tasks_TaskID,$A25,Tasks_Tier,K$5,Tasks_Type,"base"))</f>
        <v/>
      </c>
      <c r="L25" s="3" t="str">
        <f aca="false">IF(COUNTIFS(Tasks_TaskID,$A25,Tasks_Tier,L$5)=0,"",SUMIFS(Tasks_Cost,Tasks_TaskID,$A25,Tasks_Tier,L$5,Tasks_Type,"base"))</f>
        <v/>
      </c>
      <c r="M25" s="3" t="str">
        <f aca="false">IF(COUNTIFS(Tasks_TaskID,$A25,Tasks_Tier,M$5)=0,"",SUMIFS(Tasks_Cost,Tasks_TaskID,$A25,Tasks_Tier,M$5,Tasks_Type,"base"))</f>
        <v/>
      </c>
    </row>
    <row r="26" customFormat="false" ht="15" hidden="false" customHeight="false" outlineLevel="0" collapsed="false">
      <c r="A26" s="0" t="s">
        <v>1334</v>
      </c>
      <c r="B26" s="0" t="s">
        <v>496</v>
      </c>
      <c r="C26" s="0" t="s">
        <v>1335</v>
      </c>
      <c r="D26" s="3" t="n">
        <f aca="false">IF(COUNTIFS(Tasks_TaskID,$A26,Tasks_Tier,D$5)=0,"",SUMIFS(Tasks_Cost,Tasks_TaskID,$A26,Tasks_Tier,D$5,Tasks_Type,"base"))</f>
        <v>3083</v>
      </c>
      <c r="E26" s="3" t="n">
        <f aca="false">IF(COUNTIFS(Tasks_TaskID,$A26,Tasks_Tier,E$5)=0,"",SUMIFS(Tasks_Cost,Tasks_TaskID,$A26,Tasks_Tier,E$5,Tasks_Type,"base"))</f>
        <v>3147.32</v>
      </c>
      <c r="F26" s="3" t="n">
        <f aca="false">IF(COUNTIFS(Tasks_TaskID,$A26,Tasks_Tier,F$5)=0,"",SUMIFS(Tasks_Cost,Tasks_TaskID,$A26,Tasks_Tier,F$5,Tasks_Type,"base"))</f>
        <v>10763</v>
      </c>
      <c r="G26" s="3" t="str">
        <f aca="false">IF(COUNTIFS(Tasks_TaskID,$A26,Tasks_Tier,G$5)=0,"",SUMIFS(Tasks_Cost,Tasks_TaskID,$A26,Tasks_Tier,G$5,Tasks_Type,"base"))</f>
        <v/>
      </c>
      <c r="H26" s="3" t="str">
        <f aca="false">IF(COUNTIFS(Tasks_TaskID,$A26,Tasks_Tier,H$5)=0,"",SUMIFS(Tasks_Cost,Tasks_TaskID,$A26,Tasks_Tier,H$5,Tasks_Type,"base"))</f>
        <v/>
      </c>
      <c r="I26" s="3" t="str">
        <f aca="false">IF(COUNTIFS(Tasks_TaskID,$A26,Tasks_Tier,I$5)=0,"",SUMIFS(Tasks_Cost,Tasks_TaskID,$A26,Tasks_Tier,I$5,Tasks_Type,"base"))</f>
        <v/>
      </c>
      <c r="J26" s="3" t="str">
        <f aca="false">IF(COUNTIFS(Tasks_TaskID,$A26,Tasks_Tier,J$5)=0,"",SUMIFS(Tasks_Cost,Tasks_TaskID,$A26,Tasks_Tier,J$5,Tasks_Type,"base"))</f>
        <v/>
      </c>
      <c r="K26" s="3" t="str">
        <f aca="false">IF(COUNTIFS(Tasks_TaskID,$A26,Tasks_Tier,K$5)=0,"",SUMIFS(Tasks_Cost,Tasks_TaskID,$A26,Tasks_Tier,K$5,Tasks_Type,"base"))</f>
        <v/>
      </c>
      <c r="L26" s="3" t="str">
        <f aca="false">IF(COUNTIFS(Tasks_TaskID,$A26,Tasks_Tier,L$5)=0,"",SUMIFS(Tasks_Cost,Tasks_TaskID,$A26,Tasks_Tier,L$5,Tasks_Type,"base"))</f>
        <v/>
      </c>
      <c r="M26" s="3" t="str">
        <f aca="false">IF(COUNTIFS(Tasks_TaskID,$A26,Tasks_Tier,M$5)=0,"",SUMIFS(Tasks_Cost,Tasks_TaskID,$A26,Tasks_Tier,M$5,Tasks_Type,"base"))</f>
        <v/>
      </c>
    </row>
    <row r="27" customFormat="false" ht="15" hidden="false" customHeight="false" outlineLevel="0" collapsed="false">
      <c r="A27" s="0" t="s">
        <v>1365</v>
      </c>
      <c r="B27" s="0" t="s">
        <v>496</v>
      </c>
      <c r="C27" s="0" t="s">
        <v>1366</v>
      </c>
      <c r="D27" s="3" t="n">
        <f aca="false">IF(COUNTIFS(Tasks_TaskID,$A27,Tasks_Tier,D$5)=0,"",SUMIFS(Tasks_Cost,Tasks_TaskID,$A27,Tasks_Tier,D$5,Tasks_Type,"base"))</f>
        <v>320</v>
      </c>
      <c r="E27" s="3" t="n">
        <f aca="false">IF(COUNTIFS(Tasks_TaskID,$A27,Tasks_Tier,E$5)=0,"",SUMIFS(Tasks_Cost,Tasks_TaskID,$A27,Tasks_Tier,E$5,Tasks_Type,"base"))</f>
        <v>358</v>
      </c>
      <c r="F27" s="3" t="n">
        <f aca="false">IF(COUNTIFS(Tasks_TaskID,$A27,Tasks_Tier,F$5)=0,"",SUMIFS(Tasks_Cost,Tasks_TaskID,$A27,Tasks_Tier,F$5,Tasks_Type,"base"))</f>
        <v>1105</v>
      </c>
      <c r="G27" s="3" t="str">
        <f aca="false">IF(COUNTIFS(Tasks_TaskID,$A27,Tasks_Tier,G$5)=0,"",SUMIFS(Tasks_Cost,Tasks_TaskID,$A27,Tasks_Tier,G$5,Tasks_Type,"base"))</f>
        <v/>
      </c>
      <c r="H27" s="3" t="str">
        <f aca="false">IF(COUNTIFS(Tasks_TaskID,$A27,Tasks_Tier,H$5)=0,"",SUMIFS(Tasks_Cost,Tasks_TaskID,$A27,Tasks_Tier,H$5,Tasks_Type,"base"))</f>
        <v/>
      </c>
      <c r="I27" s="3" t="str">
        <f aca="false">IF(COUNTIFS(Tasks_TaskID,$A27,Tasks_Tier,I$5)=0,"",SUMIFS(Tasks_Cost,Tasks_TaskID,$A27,Tasks_Tier,I$5,Tasks_Type,"base"))</f>
        <v/>
      </c>
      <c r="J27" s="3" t="str">
        <f aca="false">IF(COUNTIFS(Tasks_TaskID,$A27,Tasks_Tier,J$5)=0,"",SUMIFS(Tasks_Cost,Tasks_TaskID,$A27,Tasks_Tier,J$5,Tasks_Type,"base"))</f>
        <v/>
      </c>
      <c r="K27" s="3" t="str">
        <f aca="false">IF(COUNTIFS(Tasks_TaskID,$A27,Tasks_Tier,K$5)=0,"",SUMIFS(Tasks_Cost,Tasks_TaskID,$A27,Tasks_Tier,K$5,Tasks_Type,"base"))</f>
        <v/>
      </c>
      <c r="L27" s="3" t="str">
        <f aca="false">IF(COUNTIFS(Tasks_TaskID,$A27,Tasks_Tier,L$5)=0,"",SUMIFS(Tasks_Cost,Tasks_TaskID,$A27,Tasks_Tier,L$5,Tasks_Type,"base"))</f>
        <v/>
      </c>
      <c r="M27" s="3" t="str">
        <f aca="false">IF(COUNTIFS(Tasks_TaskID,$A27,Tasks_Tier,M$5)=0,"",SUMIFS(Tasks_Cost,Tasks_TaskID,$A27,Tasks_Tier,M$5,Tasks_Type,"base"))</f>
        <v/>
      </c>
    </row>
    <row r="28" customFormat="false" ht="15" hidden="false" customHeight="false" outlineLevel="0" collapsed="false">
      <c r="A28" s="0" t="s">
        <v>1372</v>
      </c>
      <c r="B28" s="0" t="s">
        <v>590</v>
      </c>
      <c r="C28" s="0" t="s">
        <v>1373</v>
      </c>
      <c r="D28" s="3" t="n">
        <f aca="false">IF(COUNTIFS(Tasks_TaskID,$A28,Tasks_Tier,D$5)=0,"",SUMIFS(Tasks_Cost,Tasks_TaskID,$A28,Tasks_Tier,D$5,Tasks_Type,"base"))</f>
        <v>102</v>
      </c>
      <c r="E28" s="3" t="n">
        <f aca="false">IF(COUNTIFS(Tasks_TaskID,$A28,Tasks_Tier,E$5)=0,"",SUMIFS(Tasks_Cost,Tasks_TaskID,$A28,Tasks_Tier,E$5,Tasks_Type,"base"))</f>
        <v>107</v>
      </c>
      <c r="F28" s="3" t="n">
        <f aca="false">IF(COUNTIFS(Tasks_TaskID,$A28,Tasks_Tier,F$5)=0,"",SUMIFS(Tasks_Cost,Tasks_TaskID,$A28,Tasks_Tier,F$5,Tasks_Type,"base"))</f>
        <v>156</v>
      </c>
      <c r="G28" s="3" t="str">
        <f aca="false">IF(COUNTIFS(Tasks_TaskID,$A28,Tasks_Tier,G$5)=0,"",SUMIFS(Tasks_Cost,Tasks_TaskID,$A28,Tasks_Tier,G$5,Tasks_Type,"base"))</f>
        <v/>
      </c>
      <c r="H28" s="3" t="str">
        <f aca="false">IF(COUNTIFS(Tasks_TaskID,$A28,Tasks_Tier,H$5)=0,"",SUMIFS(Tasks_Cost,Tasks_TaskID,$A28,Tasks_Tier,H$5,Tasks_Type,"base"))</f>
        <v/>
      </c>
      <c r="I28" s="3" t="str">
        <f aca="false">IF(COUNTIFS(Tasks_TaskID,$A28,Tasks_Tier,I$5)=0,"",SUMIFS(Tasks_Cost,Tasks_TaskID,$A28,Tasks_Tier,I$5,Tasks_Type,"base"))</f>
        <v/>
      </c>
      <c r="J28" s="3" t="str">
        <f aca="false">IF(COUNTIFS(Tasks_TaskID,$A28,Tasks_Tier,J$5)=0,"",SUMIFS(Tasks_Cost,Tasks_TaskID,$A28,Tasks_Tier,J$5,Tasks_Type,"base"))</f>
        <v/>
      </c>
      <c r="K28" s="3" t="str">
        <f aca="false">IF(COUNTIFS(Tasks_TaskID,$A28,Tasks_Tier,K$5)=0,"",SUMIFS(Tasks_Cost,Tasks_TaskID,$A28,Tasks_Tier,K$5,Tasks_Type,"base"))</f>
        <v/>
      </c>
      <c r="L28" s="3" t="str">
        <f aca="false">IF(COUNTIFS(Tasks_TaskID,$A28,Tasks_Tier,L$5)=0,"",SUMIFS(Tasks_Cost,Tasks_TaskID,$A28,Tasks_Tier,L$5,Tasks_Type,"base"))</f>
        <v/>
      </c>
      <c r="M28" s="3" t="str">
        <f aca="false">IF(COUNTIFS(Tasks_TaskID,$A28,Tasks_Tier,M$5)=0,"",SUMIFS(Tasks_Cost,Tasks_TaskID,$A28,Tasks_Tier,M$5,Tasks_Type,"base"))</f>
        <v/>
      </c>
    </row>
    <row r="29" customFormat="false" ht="15" hidden="false" customHeight="false" outlineLevel="0" collapsed="false">
      <c r="A29" s="0" t="s">
        <v>1386</v>
      </c>
      <c r="B29" s="0" t="s">
        <v>618</v>
      </c>
      <c r="C29" s="0" t="s">
        <v>1387</v>
      </c>
      <c r="D29" s="3" t="n">
        <f aca="false">IF(COUNTIFS(Tasks_TaskID,$A29,Tasks_Tier,D$5)=0,"",SUMIFS(Tasks_Cost,Tasks_TaskID,$A29,Tasks_Tier,D$5,Tasks_Type,"base"))</f>
        <v>34.25</v>
      </c>
      <c r="E29" s="3" t="n">
        <f aca="false">IF(COUNTIFS(Tasks_TaskID,$A29,Tasks_Tier,E$5)=0,"",SUMIFS(Tasks_Cost,Tasks_TaskID,$A29,Tasks_Tier,E$5,Tasks_Type,"base"))</f>
        <v>40</v>
      </c>
      <c r="F29" s="3" t="n">
        <f aca="false">IF(COUNTIFS(Tasks_TaskID,$A29,Tasks_Tier,F$5)=0,"",SUMIFS(Tasks_Cost,Tasks_TaskID,$A29,Tasks_Tier,F$5,Tasks_Type,"base"))</f>
        <v>56.3175</v>
      </c>
      <c r="G29" s="3" t="str">
        <f aca="false">IF(COUNTIFS(Tasks_TaskID,$A29,Tasks_Tier,G$5)=0,"",SUMIFS(Tasks_Cost,Tasks_TaskID,$A29,Tasks_Tier,G$5,Tasks_Type,"base"))</f>
        <v/>
      </c>
      <c r="H29" s="3" t="str">
        <f aca="false">IF(COUNTIFS(Tasks_TaskID,$A29,Tasks_Tier,H$5)=0,"",SUMIFS(Tasks_Cost,Tasks_TaskID,$A29,Tasks_Tier,H$5,Tasks_Type,"base"))</f>
        <v/>
      </c>
      <c r="I29" s="3" t="str">
        <f aca="false">IF(COUNTIFS(Tasks_TaskID,$A29,Tasks_Tier,I$5)=0,"",SUMIFS(Tasks_Cost,Tasks_TaskID,$A29,Tasks_Tier,I$5,Tasks_Type,"base"))</f>
        <v/>
      </c>
      <c r="J29" s="3" t="str">
        <f aca="false">IF(COUNTIFS(Tasks_TaskID,$A29,Tasks_Tier,J$5)=0,"",SUMIFS(Tasks_Cost,Tasks_TaskID,$A29,Tasks_Tier,J$5,Tasks_Type,"base"))</f>
        <v/>
      </c>
      <c r="K29" s="3" t="str">
        <f aca="false">IF(COUNTIFS(Tasks_TaskID,$A29,Tasks_Tier,K$5)=0,"",SUMIFS(Tasks_Cost,Tasks_TaskID,$A29,Tasks_Tier,K$5,Tasks_Type,"base"))</f>
        <v/>
      </c>
      <c r="L29" s="3" t="str">
        <f aca="false">IF(COUNTIFS(Tasks_TaskID,$A29,Tasks_Tier,L$5)=0,"",SUMIFS(Tasks_Cost,Tasks_TaskID,$A29,Tasks_Tier,L$5,Tasks_Type,"base"))</f>
        <v/>
      </c>
      <c r="M29" s="3" t="str">
        <f aca="false">IF(COUNTIFS(Tasks_TaskID,$A29,Tasks_Tier,M$5)=0,"",SUMIFS(Tasks_Cost,Tasks_TaskID,$A29,Tasks_Tier,M$5,Tasks_Type,"base"))</f>
        <v/>
      </c>
    </row>
    <row r="30" customFormat="false" ht="15" hidden="false" customHeight="false" outlineLevel="0" collapsed="false">
      <c r="A30" s="0" t="s">
        <v>1396</v>
      </c>
      <c r="B30" s="0" t="s">
        <v>618</v>
      </c>
      <c r="C30" s="0" t="s">
        <v>1397</v>
      </c>
      <c r="D30" s="3" t="n">
        <f aca="false">IF(COUNTIFS(Tasks_TaskID,$A30,Tasks_Tier,D$5)=0,"",SUMIFS(Tasks_Cost,Tasks_TaskID,$A30,Tasks_Tier,D$5,Tasks_Type,"base"))</f>
        <v>34.25</v>
      </c>
      <c r="E30" s="3" t="n">
        <f aca="false">IF(COUNTIFS(Tasks_TaskID,$A30,Tasks_Tier,E$5)=0,"",SUMIFS(Tasks_Cost,Tasks_TaskID,$A30,Tasks_Tier,E$5,Tasks_Type,"base"))</f>
        <v>40</v>
      </c>
      <c r="F30" s="3" t="n">
        <f aca="false">IF(COUNTIFS(Tasks_TaskID,$A30,Tasks_Tier,F$5)=0,"",SUMIFS(Tasks_Cost,Tasks_TaskID,$A30,Tasks_Tier,F$5,Tasks_Type,"base"))</f>
        <v>56.3175</v>
      </c>
      <c r="G30" s="3" t="str">
        <f aca="false">IF(COUNTIFS(Tasks_TaskID,$A30,Tasks_Tier,G$5)=0,"",SUMIFS(Tasks_Cost,Tasks_TaskID,$A30,Tasks_Tier,G$5,Tasks_Type,"base"))</f>
        <v/>
      </c>
      <c r="H30" s="3" t="str">
        <f aca="false">IF(COUNTIFS(Tasks_TaskID,$A30,Tasks_Tier,H$5)=0,"",SUMIFS(Tasks_Cost,Tasks_TaskID,$A30,Tasks_Tier,H$5,Tasks_Type,"base"))</f>
        <v/>
      </c>
      <c r="I30" s="3" t="str">
        <f aca="false">IF(COUNTIFS(Tasks_TaskID,$A30,Tasks_Tier,I$5)=0,"",SUMIFS(Tasks_Cost,Tasks_TaskID,$A30,Tasks_Tier,I$5,Tasks_Type,"base"))</f>
        <v/>
      </c>
      <c r="J30" s="3" t="str">
        <f aca="false">IF(COUNTIFS(Tasks_TaskID,$A30,Tasks_Tier,J$5)=0,"",SUMIFS(Tasks_Cost,Tasks_TaskID,$A30,Tasks_Tier,J$5,Tasks_Type,"base"))</f>
        <v/>
      </c>
      <c r="K30" s="3" t="str">
        <f aca="false">IF(COUNTIFS(Tasks_TaskID,$A30,Tasks_Tier,K$5)=0,"",SUMIFS(Tasks_Cost,Tasks_TaskID,$A30,Tasks_Tier,K$5,Tasks_Type,"base"))</f>
        <v/>
      </c>
      <c r="L30" s="3" t="str">
        <f aca="false">IF(COUNTIFS(Tasks_TaskID,$A30,Tasks_Tier,L$5)=0,"",SUMIFS(Tasks_Cost,Tasks_TaskID,$A30,Tasks_Tier,L$5,Tasks_Type,"base"))</f>
        <v/>
      </c>
      <c r="M30" s="3" t="str">
        <f aca="false">IF(COUNTIFS(Tasks_TaskID,$A30,Tasks_Tier,M$5)=0,"",SUMIFS(Tasks_Cost,Tasks_TaskID,$A30,Tasks_Tier,M$5,Tasks_Type,"base"))</f>
        <v/>
      </c>
    </row>
    <row r="31" customFormat="false" ht="15" hidden="false" customHeight="false" outlineLevel="0" collapsed="false">
      <c r="A31" s="0" t="s">
        <v>1415</v>
      </c>
      <c r="B31" s="0" t="s">
        <v>646</v>
      </c>
      <c r="C31" s="0" t="s">
        <v>1416</v>
      </c>
      <c r="D31" s="3" t="n">
        <f aca="false">IF(COUNTIFS(Tasks_TaskID,$A31,Tasks_Tier,D$5)=0,"",SUMIFS(Tasks_Cost,Tasks_TaskID,$A31,Tasks_Tier,D$5,Tasks_Type,"base"))</f>
        <v>4210.000274</v>
      </c>
      <c r="E31" s="3" t="n">
        <f aca="false">IF(COUNTIFS(Tasks_TaskID,$A31,Tasks_Tier,E$5)=0,"",SUMIFS(Tasks_Cost,Tasks_TaskID,$A31,Tasks_Tier,E$5,Tasks_Type,"base"))</f>
        <v>5230.000274</v>
      </c>
      <c r="F31" s="3" t="n">
        <f aca="false">IF(COUNTIFS(Tasks_TaskID,$A31,Tasks_Tier,F$5)=0,"",SUMIFS(Tasks_Cost,Tasks_TaskID,$A31,Tasks_Tier,F$5,Tasks_Type,"base"))</f>
        <v>11568.210884</v>
      </c>
      <c r="G31" s="3" t="str">
        <f aca="false">IF(COUNTIFS(Tasks_TaskID,$A31,Tasks_Tier,G$5)=0,"",SUMIFS(Tasks_Cost,Tasks_TaskID,$A31,Tasks_Tier,G$5,Tasks_Type,"base"))</f>
        <v/>
      </c>
      <c r="H31" s="3" t="str">
        <f aca="false">IF(COUNTIFS(Tasks_TaskID,$A31,Tasks_Tier,H$5)=0,"",SUMIFS(Tasks_Cost,Tasks_TaskID,$A31,Tasks_Tier,H$5,Tasks_Type,"base"))</f>
        <v/>
      </c>
      <c r="I31" s="3" t="str">
        <f aca="false">IF(COUNTIFS(Tasks_TaskID,$A31,Tasks_Tier,I$5)=0,"",SUMIFS(Tasks_Cost,Tasks_TaskID,$A31,Tasks_Tier,I$5,Tasks_Type,"base"))</f>
        <v/>
      </c>
      <c r="J31" s="3" t="str">
        <f aca="false">IF(COUNTIFS(Tasks_TaskID,$A31,Tasks_Tier,J$5)=0,"",SUMIFS(Tasks_Cost,Tasks_TaskID,$A31,Tasks_Tier,J$5,Tasks_Type,"base"))</f>
        <v/>
      </c>
      <c r="K31" s="3" t="str">
        <f aca="false">IF(COUNTIFS(Tasks_TaskID,$A31,Tasks_Tier,K$5)=0,"",SUMIFS(Tasks_Cost,Tasks_TaskID,$A31,Tasks_Tier,K$5,Tasks_Type,"base"))</f>
        <v/>
      </c>
      <c r="L31" s="3" t="str">
        <f aca="false">IF(COUNTIFS(Tasks_TaskID,$A31,Tasks_Tier,L$5)=0,"",SUMIFS(Tasks_Cost,Tasks_TaskID,$A31,Tasks_Tier,L$5,Tasks_Type,"base"))</f>
        <v/>
      </c>
      <c r="M31" s="3" t="str">
        <f aca="false">IF(COUNTIFS(Tasks_TaskID,$A31,Tasks_Tier,M$5)=0,"",SUMIFS(Tasks_Cost,Tasks_TaskID,$A31,Tasks_Tier,M$5,Tasks_Type,"base"))</f>
        <v/>
      </c>
    </row>
    <row r="32" customFormat="false" ht="15" hidden="false" customHeight="false" outlineLevel="0" collapsed="false">
      <c r="A32" s="0" t="s">
        <v>1430</v>
      </c>
      <c r="B32" s="0" t="s">
        <v>677</v>
      </c>
      <c r="C32" s="0" t="s">
        <v>1431</v>
      </c>
      <c r="D32" s="3" t="n">
        <f aca="false">IF(COUNTIFS(Tasks_TaskID,$A32,Tasks_Tier,D$5)=0,"",SUMIFS(Tasks_Cost,Tasks_TaskID,$A32,Tasks_Tier,D$5,Tasks_Type,"base"))</f>
        <v>234</v>
      </c>
      <c r="E32" s="3" t="n">
        <f aca="false">IF(COUNTIFS(Tasks_TaskID,$A32,Tasks_Tier,E$5)=0,"",SUMIFS(Tasks_Cost,Tasks_TaskID,$A32,Tasks_Tier,E$5,Tasks_Type,"base"))</f>
        <v>332</v>
      </c>
      <c r="F32" s="3" t="n">
        <f aca="false">IF(COUNTIFS(Tasks_TaskID,$A32,Tasks_Tier,F$5)=0,"",SUMIFS(Tasks_Cost,Tasks_TaskID,$A32,Tasks_Tier,F$5,Tasks_Type,"base"))</f>
        <v>1187</v>
      </c>
      <c r="G32" s="3" t="str">
        <f aca="false">IF(COUNTIFS(Tasks_TaskID,$A32,Tasks_Tier,G$5)=0,"",SUMIFS(Tasks_Cost,Tasks_TaskID,$A32,Tasks_Tier,G$5,Tasks_Type,"base"))</f>
        <v/>
      </c>
      <c r="H32" s="3" t="str">
        <f aca="false">IF(COUNTIFS(Tasks_TaskID,$A32,Tasks_Tier,H$5)=0,"",SUMIFS(Tasks_Cost,Tasks_TaskID,$A32,Tasks_Tier,H$5,Tasks_Type,"base"))</f>
        <v/>
      </c>
      <c r="I32" s="3" t="str">
        <f aca="false">IF(COUNTIFS(Tasks_TaskID,$A32,Tasks_Tier,I$5)=0,"",SUMIFS(Tasks_Cost,Tasks_TaskID,$A32,Tasks_Tier,I$5,Tasks_Type,"base"))</f>
        <v/>
      </c>
      <c r="J32" s="3" t="str">
        <f aca="false">IF(COUNTIFS(Tasks_TaskID,$A32,Tasks_Tier,J$5)=0,"",SUMIFS(Tasks_Cost,Tasks_TaskID,$A32,Tasks_Tier,J$5,Tasks_Type,"base"))</f>
        <v/>
      </c>
      <c r="K32" s="3" t="str">
        <f aca="false">IF(COUNTIFS(Tasks_TaskID,$A32,Tasks_Tier,K$5)=0,"",SUMIFS(Tasks_Cost,Tasks_TaskID,$A32,Tasks_Tier,K$5,Tasks_Type,"base"))</f>
        <v/>
      </c>
      <c r="L32" s="3" t="str">
        <f aca="false">IF(COUNTIFS(Tasks_TaskID,$A32,Tasks_Tier,L$5)=0,"",SUMIFS(Tasks_Cost,Tasks_TaskID,$A32,Tasks_Tier,L$5,Tasks_Type,"base"))</f>
        <v/>
      </c>
      <c r="M32" s="3" t="str">
        <f aca="false">IF(COUNTIFS(Tasks_TaskID,$A32,Tasks_Tier,M$5)=0,"",SUMIFS(Tasks_Cost,Tasks_TaskID,$A32,Tasks_Tier,M$5,Tasks_Type,"base"))</f>
        <v/>
      </c>
    </row>
    <row r="33" customFormat="false" ht="15" hidden="false" customHeight="false" outlineLevel="0" collapsed="false">
      <c r="A33" s="0" t="s">
        <v>1439</v>
      </c>
      <c r="B33" s="0" t="s">
        <v>677</v>
      </c>
      <c r="C33" s="0" t="s">
        <v>1440</v>
      </c>
      <c r="D33" s="3" t="n">
        <f aca="false">IF(COUNTIFS(Tasks_TaskID,$A33,Tasks_Tier,D$5)=0,"",SUMIFS(Tasks_Cost,Tasks_TaskID,$A33,Tasks_Tier,D$5,Tasks_Type,"base"))</f>
        <v>37</v>
      </c>
      <c r="E33" s="3" t="n">
        <f aca="false">IF(COUNTIFS(Tasks_TaskID,$A33,Tasks_Tier,E$5)=0,"",SUMIFS(Tasks_Cost,Tasks_TaskID,$A33,Tasks_Tier,E$5,Tasks_Type,"base"))</f>
        <v>37</v>
      </c>
      <c r="F33" s="3" t="n">
        <f aca="false">IF(COUNTIFS(Tasks_TaskID,$A33,Tasks_Tier,F$5)=0,"",SUMIFS(Tasks_Cost,Tasks_TaskID,$A33,Tasks_Tier,F$5,Tasks_Type,"base"))</f>
        <v>37</v>
      </c>
      <c r="G33" s="3" t="str">
        <f aca="false">IF(COUNTIFS(Tasks_TaskID,$A33,Tasks_Tier,G$5)=0,"",SUMIFS(Tasks_Cost,Tasks_TaskID,$A33,Tasks_Tier,G$5,Tasks_Type,"base"))</f>
        <v/>
      </c>
      <c r="H33" s="3" t="str">
        <f aca="false">IF(COUNTIFS(Tasks_TaskID,$A33,Tasks_Tier,H$5)=0,"",SUMIFS(Tasks_Cost,Tasks_TaskID,$A33,Tasks_Tier,H$5,Tasks_Type,"base"))</f>
        <v/>
      </c>
      <c r="I33" s="3" t="str">
        <f aca="false">IF(COUNTIFS(Tasks_TaskID,$A33,Tasks_Tier,I$5)=0,"",SUMIFS(Tasks_Cost,Tasks_TaskID,$A33,Tasks_Tier,I$5,Tasks_Type,"base"))</f>
        <v/>
      </c>
      <c r="J33" s="3" t="str">
        <f aca="false">IF(COUNTIFS(Tasks_TaskID,$A33,Tasks_Tier,J$5)=0,"",SUMIFS(Tasks_Cost,Tasks_TaskID,$A33,Tasks_Tier,J$5,Tasks_Type,"base"))</f>
        <v/>
      </c>
      <c r="K33" s="3" t="str">
        <f aca="false">IF(COUNTIFS(Tasks_TaskID,$A33,Tasks_Tier,K$5)=0,"",SUMIFS(Tasks_Cost,Tasks_TaskID,$A33,Tasks_Tier,K$5,Tasks_Type,"base"))</f>
        <v/>
      </c>
      <c r="L33" s="3" t="str">
        <f aca="false">IF(COUNTIFS(Tasks_TaskID,$A33,Tasks_Tier,L$5)=0,"",SUMIFS(Tasks_Cost,Tasks_TaskID,$A33,Tasks_Tier,L$5,Tasks_Type,"base"))</f>
        <v/>
      </c>
      <c r="M33" s="3" t="str">
        <f aca="false">IF(COUNTIFS(Tasks_TaskID,$A33,Tasks_Tier,M$5)=0,"",SUMIFS(Tasks_Cost,Tasks_TaskID,$A33,Tasks_Tier,M$5,Tasks_Type,"base"))</f>
        <v/>
      </c>
    </row>
    <row r="34" customFormat="false" ht="15" hidden="false" customHeight="false" outlineLevel="0" collapsed="false">
      <c r="A34" s="0" t="s">
        <v>1454</v>
      </c>
      <c r="B34" s="0" t="s">
        <v>699</v>
      </c>
      <c r="C34" s="0" t="s">
        <v>1455</v>
      </c>
      <c r="D34" s="3" t="n">
        <f aca="false">IF(COUNTIFS(Tasks_TaskID,$A34,Tasks_Tier,D$5)=0,"",SUMIFS(Tasks_Cost,Tasks_TaskID,$A34,Tasks_Tier,D$5,Tasks_Type,"base"))</f>
        <v>179</v>
      </c>
      <c r="E34" s="3" t="n">
        <f aca="false">IF(COUNTIFS(Tasks_TaskID,$A34,Tasks_Tier,E$5)=0,"",SUMIFS(Tasks_Cost,Tasks_TaskID,$A34,Tasks_Tier,E$5,Tasks_Type,"base"))</f>
        <v>197</v>
      </c>
      <c r="F34" s="3" t="n">
        <f aca="false">IF(COUNTIFS(Tasks_TaskID,$A34,Tasks_Tier,F$5)=0,"",SUMIFS(Tasks_Cost,Tasks_TaskID,$A34,Tasks_Tier,F$5,Tasks_Type,"base"))</f>
        <v>305</v>
      </c>
      <c r="G34" s="3" t="str">
        <f aca="false">IF(COUNTIFS(Tasks_TaskID,$A34,Tasks_Tier,G$5)=0,"",SUMIFS(Tasks_Cost,Tasks_TaskID,$A34,Tasks_Tier,G$5,Tasks_Type,"base"))</f>
        <v/>
      </c>
      <c r="H34" s="3" t="str">
        <f aca="false">IF(COUNTIFS(Tasks_TaskID,$A34,Tasks_Tier,H$5)=0,"",SUMIFS(Tasks_Cost,Tasks_TaskID,$A34,Tasks_Tier,H$5,Tasks_Type,"base"))</f>
        <v/>
      </c>
      <c r="I34" s="3" t="str">
        <f aca="false">IF(COUNTIFS(Tasks_TaskID,$A34,Tasks_Tier,I$5)=0,"",SUMIFS(Tasks_Cost,Tasks_TaskID,$A34,Tasks_Tier,I$5,Tasks_Type,"base"))</f>
        <v/>
      </c>
      <c r="J34" s="3" t="str">
        <f aca="false">IF(COUNTIFS(Tasks_TaskID,$A34,Tasks_Tier,J$5)=0,"",SUMIFS(Tasks_Cost,Tasks_TaskID,$A34,Tasks_Tier,J$5,Tasks_Type,"base"))</f>
        <v/>
      </c>
      <c r="K34" s="3" t="str">
        <f aca="false">IF(COUNTIFS(Tasks_TaskID,$A34,Tasks_Tier,K$5)=0,"",SUMIFS(Tasks_Cost,Tasks_TaskID,$A34,Tasks_Tier,K$5,Tasks_Type,"base"))</f>
        <v/>
      </c>
      <c r="L34" s="3" t="str">
        <f aca="false">IF(COUNTIFS(Tasks_TaskID,$A34,Tasks_Tier,L$5)=0,"",SUMIFS(Tasks_Cost,Tasks_TaskID,$A34,Tasks_Tier,L$5,Tasks_Type,"base"))</f>
        <v/>
      </c>
      <c r="M34" s="3" t="str">
        <f aca="false">IF(COUNTIFS(Tasks_TaskID,$A34,Tasks_Tier,M$5)=0,"",SUMIFS(Tasks_Cost,Tasks_TaskID,$A34,Tasks_Tier,M$5,Tasks_Type,"base"))</f>
        <v/>
      </c>
    </row>
    <row r="35" customFormat="false" ht="15" hidden="false" customHeight="false" outlineLevel="0" collapsed="false">
      <c r="A35" s="0" t="s">
        <v>1460</v>
      </c>
      <c r="B35" s="0" t="s">
        <v>699</v>
      </c>
      <c r="C35" s="0" t="s">
        <v>1461</v>
      </c>
      <c r="D35" s="3" t="n">
        <f aca="false">IF(COUNTIFS(Tasks_TaskID,$A35,Tasks_Tier,D$5)=0,"",SUMIFS(Tasks_Cost,Tasks_TaskID,$A35,Tasks_Tier,D$5,Tasks_Type,"base"))</f>
        <v>0</v>
      </c>
      <c r="E35" s="3" t="n">
        <f aca="false">IF(COUNTIFS(Tasks_TaskID,$A35,Tasks_Tier,E$5)=0,"",SUMIFS(Tasks_Cost,Tasks_TaskID,$A35,Tasks_Tier,E$5,Tasks_Type,"base"))</f>
        <v>0</v>
      </c>
      <c r="F35" s="3" t="n">
        <f aca="false">IF(COUNTIFS(Tasks_TaskID,$A35,Tasks_Tier,F$5)=0,"",SUMIFS(Tasks_Cost,Tasks_TaskID,$A35,Tasks_Tier,F$5,Tasks_Type,"base"))</f>
        <v>0</v>
      </c>
      <c r="G35" s="3" t="str">
        <f aca="false">IF(COUNTIFS(Tasks_TaskID,$A35,Tasks_Tier,G$5)=0,"",SUMIFS(Tasks_Cost,Tasks_TaskID,$A35,Tasks_Tier,G$5,Tasks_Type,"base"))</f>
        <v/>
      </c>
      <c r="H35" s="3" t="str">
        <f aca="false">IF(COUNTIFS(Tasks_TaskID,$A35,Tasks_Tier,H$5)=0,"",SUMIFS(Tasks_Cost,Tasks_TaskID,$A35,Tasks_Tier,H$5,Tasks_Type,"base"))</f>
        <v/>
      </c>
      <c r="I35" s="3" t="str">
        <f aca="false">IF(COUNTIFS(Tasks_TaskID,$A35,Tasks_Tier,I$5)=0,"",SUMIFS(Tasks_Cost,Tasks_TaskID,$A35,Tasks_Tier,I$5,Tasks_Type,"base"))</f>
        <v/>
      </c>
      <c r="J35" s="3" t="str">
        <f aca="false">IF(COUNTIFS(Tasks_TaskID,$A35,Tasks_Tier,J$5)=0,"",SUMIFS(Tasks_Cost,Tasks_TaskID,$A35,Tasks_Tier,J$5,Tasks_Type,"base"))</f>
        <v/>
      </c>
      <c r="K35" s="3" t="str">
        <f aca="false">IF(COUNTIFS(Tasks_TaskID,$A35,Tasks_Tier,K$5)=0,"",SUMIFS(Tasks_Cost,Tasks_TaskID,$A35,Tasks_Tier,K$5,Tasks_Type,"base"))</f>
        <v/>
      </c>
      <c r="L35" s="3" t="str">
        <f aca="false">IF(COUNTIFS(Tasks_TaskID,$A35,Tasks_Tier,L$5)=0,"",SUMIFS(Tasks_Cost,Tasks_TaskID,$A35,Tasks_Tier,L$5,Tasks_Type,"base"))</f>
        <v/>
      </c>
      <c r="M35" s="3" t="str">
        <f aca="false">IF(COUNTIFS(Tasks_TaskID,$A35,Tasks_Tier,M$5)=0,"",SUMIFS(Tasks_Cost,Tasks_TaskID,$A35,Tasks_Tier,M$5,Tasks_Type,"base"))</f>
        <v/>
      </c>
    </row>
    <row r="36" customFormat="false" ht="15" hidden="false" customHeight="false" outlineLevel="0" collapsed="false">
      <c r="A36" s="0" t="s">
        <v>1555</v>
      </c>
      <c r="B36" s="0" t="s">
        <v>107</v>
      </c>
      <c r="C36" s="0" t="s">
        <v>1556</v>
      </c>
      <c r="D36" s="3" t="n">
        <f aca="false">IF(COUNTIFS(Tasks_TaskID,$A36,Tasks_Tier,D$5)=0,"",SUMIFS(Tasks_Cost,Tasks_TaskID,$A36,Tasks_Tier,D$5,Tasks_Type,"base"))</f>
        <v>156.1</v>
      </c>
      <c r="E36" s="3" t="n">
        <f aca="false">IF(COUNTIFS(Tasks_TaskID,$A36,Tasks_Tier,E$5)=0,"",SUMIFS(Tasks_Cost,Tasks_TaskID,$A36,Tasks_Tier,E$5,Tasks_Type,"base"))</f>
        <v>340.1</v>
      </c>
      <c r="F36" s="3" t="n">
        <f aca="false">IF(COUNTIFS(Tasks_TaskID,$A36,Tasks_Tier,F$5)=0,"",SUMIFS(Tasks_Cost,Tasks_TaskID,$A36,Tasks_Tier,F$5,Tasks_Type,"base"))</f>
        <v>772.1</v>
      </c>
      <c r="G36" s="3" t="str">
        <f aca="false">IF(COUNTIFS(Tasks_TaskID,$A36,Tasks_Tier,G$5)=0,"",SUMIFS(Tasks_Cost,Tasks_TaskID,$A36,Tasks_Tier,G$5,Tasks_Type,"base"))</f>
        <v/>
      </c>
      <c r="H36" s="3" t="str">
        <f aca="false">IF(COUNTIFS(Tasks_TaskID,$A36,Tasks_Tier,H$5)=0,"",SUMIFS(Tasks_Cost,Tasks_TaskID,$A36,Tasks_Tier,H$5,Tasks_Type,"base"))</f>
        <v/>
      </c>
      <c r="I36" s="3" t="str">
        <f aca="false">IF(COUNTIFS(Tasks_TaskID,$A36,Tasks_Tier,I$5)=0,"",SUMIFS(Tasks_Cost,Tasks_TaskID,$A36,Tasks_Tier,I$5,Tasks_Type,"base"))</f>
        <v/>
      </c>
      <c r="J36" s="3" t="str">
        <f aca="false">IF(COUNTIFS(Tasks_TaskID,$A36,Tasks_Tier,J$5)=0,"",SUMIFS(Tasks_Cost,Tasks_TaskID,$A36,Tasks_Tier,J$5,Tasks_Type,"base"))</f>
        <v/>
      </c>
      <c r="K36" s="3" t="str">
        <f aca="false">IF(COUNTIFS(Tasks_TaskID,$A36,Tasks_Tier,K$5)=0,"",SUMIFS(Tasks_Cost,Tasks_TaskID,$A36,Tasks_Tier,K$5,Tasks_Type,"base"))</f>
        <v/>
      </c>
      <c r="L36" s="3" t="str">
        <f aca="false">IF(COUNTIFS(Tasks_TaskID,$A36,Tasks_Tier,L$5)=0,"",SUMIFS(Tasks_Cost,Tasks_TaskID,$A36,Tasks_Tier,L$5,Tasks_Type,"base"))</f>
        <v/>
      </c>
      <c r="M36" s="3" t="str">
        <f aca="false">IF(COUNTIFS(Tasks_TaskID,$A36,Tasks_Tier,M$5)=0,"",SUMIFS(Tasks_Cost,Tasks_TaskID,$A36,Tasks_Tier,M$5,Tasks_Type,"base"))</f>
        <v/>
      </c>
    </row>
    <row r="37" customFormat="false" ht="15" hidden="false" customHeight="false" outlineLevel="0" collapsed="false">
      <c r="A37" s="0" t="s">
        <v>1569</v>
      </c>
      <c r="B37" s="0" t="s">
        <v>107</v>
      </c>
      <c r="C37" s="0" t="s">
        <v>1570</v>
      </c>
      <c r="D37" s="3" t="n">
        <f aca="false">IF(COUNTIFS(Tasks_TaskID,$A37,Tasks_Tier,D$5)=0,"",SUMIFS(Tasks_Cost,Tasks_TaskID,$A37,Tasks_Tier,D$5,Tasks_Type,"base"))</f>
        <v>152</v>
      </c>
      <c r="E37" s="3" t="n">
        <f aca="false">IF(COUNTIFS(Tasks_TaskID,$A37,Tasks_Tier,E$5)=0,"",SUMIFS(Tasks_Cost,Tasks_TaskID,$A37,Tasks_Tier,E$5,Tasks_Type,"base"))</f>
        <v>152</v>
      </c>
      <c r="F37" s="3" t="n">
        <f aca="false">IF(COUNTIFS(Tasks_TaskID,$A37,Tasks_Tier,F$5)=0,"",SUMIFS(Tasks_Cost,Tasks_TaskID,$A37,Tasks_Tier,F$5,Tasks_Type,"base"))</f>
        <v>152</v>
      </c>
      <c r="G37" s="3" t="str">
        <f aca="false">IF(COUNTIFS(Tasks_TaskID,$A37,Tasks_Tier,G$5)=0,"",SUMIFS(Tasks_Cost,Tasks_TaskID,$A37,Tasks_Tier,G$5,Tasks_Type,"base"))</f>
        <v/>
      </c>
      <c r="H37" s="3" t="str">
        <f aca="false">IF(COUNTIFS(Tasks_TaskID,$A37,Tasks_Tier,H$5)=0,"",SUMIFS(Tasks_Cost,Tasks_TaskID,$A37,Tasks_Tier,H$5,Tasks_Type,"base"))</f>
        <v/>
      </c>
      <c r="I37" s="3" t="str">
        <f aca="false">IF(COUNTIFS(Tasks_TaskID,$A37,Tasks_Tier,I$5)=0,"",SUMIFS(Tasks_Cost,Tasks_TaskID,$A37,Tasks_Tier,I$5,Tasks_Type,"base"))</f>
        <v/>
      </c>
      <c r="J37" s="3" t="str">
        <f aca="false">IF(COUNTIFS(Tasks_TaskID,$A37,Tasks_Tier,J$5)=0,"",SUMIFS(Tasks_Cost,Tasks_TaskID,$A37,Tasks_Tier,J$5,Tasks_Type,"base"))</f>
        <v/>
      </c>
      <c r="K37" s="3" t="str">
        <f aca="false">IF(COUNTIFS(Tasks_TaskID,$A37,Tasks_Tier,K$5)=0,"",SUMIFS(Tasks_Cost,Tasks_TaskID,$A37,Tasks_Tier,K$5,Tasks_Type,"base"))</f>
        <v/>
      </c>
      <c r="L37" s="3" t="str">
        <f aca="false">IF(COUNTIFS(Tasks_TaskID,$A37,Tasks_Tier,L$5)=0,"",SUMIFS(Tasks_Cost,Tasks_TaskID,$A37,Tasks_Tier,L$5,Tasks_Type,"base"))</f>
        <v/>
      </c>
      <c r="M37" s="3" t="str">
        <f aca="false">IF(COUNTIFS(Tasks_TaskID,$A37,Tasks_Tier,M$5)=0,"",SUMIFS(Tasks_Cost,Tasks_TaskID,$A37,Tasks_Tier,M$5,Tasks_Type,"base"))</f>
        <v/>
      </c>
    </row>
    <row r="38" customFormat="false" ht="15" hidden="false" customHeight="false" outlineLevel="0" collapsed="false">
      <c r="A38" s="0" t="s">
        <v>1596</v>
      </c>
      <c r="B38" s="0" t="s">
        <v>176</v>
      </c>
      <c r="C38" s="0" t="s">
        <v>1597</v>
      </c>
      <c r="D38" s="3" t="n">
        <f aca="false">IF(COUNTIFS(Tasks_TaskID,$A38,Tasks_Tier,D$5)=0,"",SUMIFS(Tasks_Cost,Tasks_TaskID,$A38,Tasks_Tier,D$5,Tasks_Type,"base"))</f>
        <v>381</v>
      </c>
      <c r="E38" s="3" t="n">
        <f aca="false">IF(COUNTIFS(Tasks_TaskID,$A38,Tasks_Tier,E$5)=0,"",SUMIFS(Tasks_Cost,Tasks_TaskID,$A38,Tasks_Tier,E$5,Tasks_Type,"base"))</f>
        <v>439.5</v>
      </c>
      <c r="F38" s="3" t="n">
        <f aca="false">IF(COUNTIFS(Tasks_TaskID,$A38,Tasks_Tier,F$5)=0,"",SUMIFS(Tasks_Cost,Tasks_TaskID,$A38,Tasks_Tier,F$5,Tasks_Type,"base"))</f>
        <v>777.15</v>
      </c>
      <c r="G38" s="3" t="str">
        <f aca="false">IF(COUNTIFS(Tasks_TaskID,$A38,Tasks_Tier,G$5)=0,"",SUMIFS(Tasks_Cost,Tasks_TaskID,$A38,Tasks_Tier,G$5,Tasks_Type,"base"))</f>
        <v/>
      </c>
      <c r="H38" s="3" t="str">
        <f aca="false">IF(COUNTIFS(Tasks_TaskID,$A38,Tasks_Tier,H$5)=0,"",SUMIFS(Tasks_Cost,Tasks_TaskID,$A38,Tasks_Tier,H$5,Tasks_Type,"base"))</f>
        <v/>
      </c>
      <c r="I38" s="3" t="str">
        <f aca="false">IF(COUNTIFS(Tasks_TaskID,$A38,Tasks_Tier,I$5)=0,"",SUMIFS(Tasks_Cost,Tasks_TaskID,$A38,Tasks_Tier,I$5,Tasks_Type,"base"))</f>
        <v/>
      </c>
      <c r="J38" s="3" t="str">
        <f aca="false">IF(COUNTIFS(Tasks_TaskID,$A38,Tasks_Tier,J$5)=0,"",SUMIFS(Tasks_Cost,Tasks_TaskID,$A38,Tasks_Tier,J$5,Tasks_Type,"base"))</f>
        <v/>
      </c>
      <c r="K38" s="3" t="str">
        <f aca="false">IF(COUNTIFS(Tasks_TaskID,$A38,Tasks_Tier,K$5)=0,"",SUMIFS(Tasks_Cost,Tasks_TaskID,$A38,Tasks_Tier,K$5,Tasks_Type,"base"))</f>
        <v/>
      </c>
      <c r="L38" s="3" t="str">
        <f aca="false">IF(COUNTIFS(Tasks_TaskID,$A38,Tasks_Tier,L$5)=0,"",SUMIFS(Tasks_Cost,Tasks_TaskID,$A38,Tasks_Tier,L$5,Tasks_Type,"base"))</f>
        <v/>
      </c>
      <c r="M38" s="3" t="str">
        <f aca="false">IF(COUNTIFS(Tasks_TaskID,$A38,Tasks_Tier,M$5)=0,"",SUMIFS(Tasks_Cost,Tasks_TaskID,$A38,Tasks_Tier,M$5,Tasks_Type,"base"))</f>
        <v/>
      </c>
    </row>
    <row r="39" customFormat="false" ht="15" hidden="false" customHeight="false" outlineLevel="0" collapsed="false">
      <c r="A39" s="0" t="s">
        <v>1620</v>
      </c>
      <c r="B39" s="0" t="s">
        <v>176</v>
      </c>
      <c r="C39" s="0" t="s">
        <v>1621</v>
      </c>
      <c r="D39" s="3" t="n">
        <f aca="false">IF(COUNTIFS(Tasks_TaskID,$A39,Tasks_Tier,D$5)=0,"",SUMIFS(Tasks_Cost,Tasks_TaskID,$A39,Tasks_Tier,D$5,Tasks_Type,"base"))</f>
        <v>9.2</v>
      </c>
      <c r="E39" s="3" t="n">
        <f aca="false">IF(COUNTIFS(Tasks_TaskID,$A39,Tasks_Tier,E$5)=0,"",SUMIFS(Tasks_Cost,Tasks_TaskID,$A39,Tasks_Tier,E$5,Tasks_Type,"base"))</f>
        <v>9.2</v>
      </c>
      <c r="F39" s="3" t="n">
        <f aca="false">IF(COUNTIFS(Tasks_TaskID,$A39,Tasks_Tier,F$5)=0,"",SUMIFS(Tasks_Cost,Tasks_TaskID,$A39,Tasks_Tier,F$5,Tasks_Type,"base"))</f>
        <v>9.2</v>
      </c>
      <c r="G39" s="3" t="str">
        <f aca="false">IF(COUNTIFS(Tasks_TaskID,$A39,Tasks_Tier,G$5)=0,"",SUMIFS(Tasks_Cost,Tasks_TaskID,$A39,Tasks_Tier,G$5,Tasks_Type,"base"))</f>
        <v/>
      </c>
      <c r="H39" s="3" t="str">
        <f aca="false">IF(COUNTIFS(Tasks_TaskID,$A39,Tasks_Tier,H$5)=0,"",SUMIFS(Tasks_Cost,Tasks_TaskID,$A39,Tasks_Tier,H$5,Tasks_Type,"base"))</f>
        <v/>
      </c>
      <c r="I39" s="3" t="str">
        <f aca="false">IF(COUNTIFS(Tasks_TaskID,$A39,Tasks_Tier,I$5)=0,"",SUMIFS(Tasks_Cost,Tasks_TaskID,$A39,Tasks_Tier,I$5,Tasks_Type,"base"))</f>
        <v/>
      </c>
      <c r="J39" s="3" t="str">
        <f aca="false">IF(COUNTIFS(Tasks_TaskID,$A39,Tasks_Tier,J$5)=0,"",SUMIFS(Tasks_Cost,Tasks_TaskID,$A39,Tasks_Tier,J$5,Tasks_Type,"base"))</f>
        <v/>
      </c>
      <c r="K39" s="3" t="str">
        <f aca="false">IF(COUNTIFS(Tasks_TaskID,$A39,Tasks_Tier,K$5)=0,"",SUMIFS(Tasks_Cost,Tasks_TaskID,$A39,Tasks_Tier,K$5,Tasks_Type,"base"))</f>
        <v/>
      </c>
      <c r="L39" s="3" t="str">
        <f aca="false">IF(COUNTIFS(Tasks_TaskID,$A39,Tasks_Tier,L$5)=0,"",SUMIFS(Tasks_Cost,Tasks_TaskID,$A39,Tasks_Tier,L$5,Tasks_Type,"base"))</f>
        <v/>
      </c>
      <c r="M39" s="3" t="str">
        <f aca="false">IF(COUNTIFS(Tasks_TaskID,$A39,Tasks_Tier,M$5)=0,"",SUMIFS(Tasks_Cost,Tasks_TaskID,$A39,Tasks_Tier,M$5,Tasks_Type,"base"))</f>
        <v/>
      </c>
    </row>
    <row r="40" customFormat="false" ht="15" hidden="false" customHeight="false" outlineLevel="0" collapsed="false">
      <c r="A40" s="0" t="s">
        <v>1657</v>
      </c>
      <c r="B40" s="0" t="s">
        <v>939</v>
      </c>
      <c r="C40" s="0" t="s">
        <v>1658</v>
      </c>
      <c r="D40" s="3" t="str">
        <f aca="false">IF(COUNTIFS(Tasks_TaskID,$A40,Tasks_Tier,D$5)=0,"",SUMIFS(Tasks_Cost,Tasks_TaskID,$A40,Tasks_Tier,D$5,Tasks_Type,"base"))</f>
        <v/>
      </c>
      <c r="E40" s="3" t="str">
        <f aca="false">IF(COUNTIFS(Tasks_TaskID,$A40,Tasks_Tier,E$5)=0,"",SUMIFS(Tasks_Cost,Tasks_TaskID,$A40,Tasks_Tier,E$5,Tasks_Type,"base"))</f>
        <v/>
      </c>
      <c r="F40" s="3" t="str">
        <f aca="false">IF(COUNTIFS(Tasks_TaskID,$A40,Tasks_Tier,F$5)=0,"",SUMIFS(Tasks_Cost,Tasks_TaskID,$A40,Tasks_Tier,F$5,Tasks_Type,"base"))</f>
        <v/>
      </c>
      <c r="G40" s="3" t="str">
        <f aca="false">IF(COUNTIFS(Tasks_TaskID,$A40,Tasks_Tier,G$5)=0,"",SUMIFS(Tasks_Cost,Tasks_TaskID,$A40,Tasks_Tier,G$5,Tasks_Type,"base"))</f>
        <v/>
      </c>
      <c r="H40" s="3" t="str">
        <f aca="false">IF(COUNTIFS(Tasks_TaskID,$A40,Tasks_Tier,H$5)=0,"",SUMIFS(Tasks_Cost,Tasks_TaskID,$A40,Tasks_Tier,H$5,Tasks_Type,"base"))</f>
        <v/>
      </c>
      <c r="I40" s="3" t="str">
        <f aca="false">IF(COUNTIFS(Tasks_TaskID,$A40,Tasks_Tier,I$5)=0,"",SUMIFS(Tasks_Cost,Tasks_TaskID,$A40,Tasks_Tier,I$5,Tasks_Type,"base"))</f>
        <v/>
      </c>
      <c r="J40" s="3" t="str">
        <f aca="false">IF(COUNTIFS(Tasks_TaskID,$A40,Tasks_Tier,J$5)=0,"",SUMIFS(Tasks_Cost,Tasks_TaskID,$A40,Tasks_Tier,J$5,Tasks_Type,"base"))</f>
        <v/>
      </c>
      <c r="K40" s="3" t="n">
        <f aca="false">IF(COUNTIFS(Tasks_TaskID,$A40,Tasks_Tier,K$5)=0,"",SUMIFS(Tasks_Cost,Tasks_TaskID,$A40,Tasks_Tier,K$5,Tasks_Type,"base"))</f>
        <v>156.65</v>
      </c>
      <c r="L40" s="3" t="n">
        <f aca="false">IF(COUNTIFS(Tasks_TaskID,$A40,Tasks_Tier,L$5)=0,"",SUMIFS(Tasks_Cost,Tasks_TaskID,$A40,Tasks_Tier,L$5,Tasks_Type,"base"))</f>
        <v>234.975</v>
      </c>
      <c r="M40" s="3" t="n">
        <f aca="false">IF(COUNTIFS(Tasks_TaskID,$A40,Tasks_Tier,M$5)=0,"",SUMIFS(Tasks_Cost,Tasks_TaskID,$A40,Tasks_Tier,M$5,Tasks_Type,"base"))</f>
        <v>313.3</v>
      </c>
    </row>
    <row r="41" customFormat="false" ht="15" hidden="false" customHeight="false" outlineLevel="0" collapsed="false">
      <c r="A41" s="0" t="s">
        <v>1703</v>
      </c>
      <c r="B41" s="0" t="s">
        <v>939</v>
      </c>
      <c r="C41" s="0" t="s">
        <v>1704</v>
      </c>
      <c r="D41" s="3" t="str">
        <f aca="false">IF(COUNTIFS(Tasks_TaskID,$A41,Tasks_Tier,D$5)=0,"",SUMIFS(Tasks_Cost,Tasks_TaskID,$A41,Tasks_Tier,D$5,Tasks_Type,"base"))</f>
        <v/>
      </c>
      <c r="E41" s="3" t="str">
        <f aca="false">IF(COUNTIFS(Tasks_TaskID,$A41,Tasks_Tier,E$5)=0,"",SUMIFS(Tasks_Cost,Tasks_TaskID,$A41,Tasks_Tier,E$5,Tasks_Type,"base"))</f>
        <v/>
      </c>
      <c r="F41" s="3" t="str">
        <f aca="false">IF(COUNTIFS(Tasks_TaskID,$A41,Tasks_Tier,F$5)=0,"",SUMIFS(Tasks_Cost,Tasks_TaskID,$A41,Tasks_Tier,F$5,Tasks_Type,"base"))</f>
        <v/>
      </c>
      <c r="G41" s="3" t="str">
        <f aca="false">IF(COUNTIFS(Tasks_TaskID,$A41,Tasks_Tier,G$5)=0,"",SUMIFS(Tasks_Cost,Tasks_TaskID,$A41,Tasks_Tier,G$5,Tasks_Type,"base"))</f>
        <v/>
      </c>
      <c r="H41" s="3" t="str">
        <f aca="false">IF(COUNTIFS(Tasks_TaskID,$A41,Tasks_Tier,H$5)=0,"",SUMIFS(Tasks_Cost,Tasks_TaskID,$A41,Tasks_Tier,H$5,Tasks_Type,"base"))</f>
        <v/>
      </c>
      <c r="I41" s="3" t="str">
        <f aca="false">IF(COUNTIFS(Tasks_TaskID,$A41,Tasks_Tier,I$5)=0,"",SUMIFS(Tasks_Cost,Tasks_TaskID,$A41,Tasks_Tier,I$5,Tasks_Type,"base"))</f>
        <v/>
      </c>
      <c r="J41" s="3" t="str">
        <f aca="false">IF(COUNTIFS(Tasks_TaskID,$A41,Tasks_Tier,J$5)=0,"",SUMIFS(Tasks_Cost,Tasks_TaskID,$A41,Tasks_Tier,J$5,Tasks_Type,"base"))</f>
        <v/>
      </c>
      <c r="K41" s="3" t="n">
        <f aca="false">IF(COUNTIFS(Tasks_TaskID,$A41,Tasks_Tier,K$5)=0,"",SUMIFS(Tasks_Cost,Tasks_TaskID,$A41,Tasks_Tier,K$5,Tasks_Type,"base"))</f>
        <v>234.975</v>
      </c>
      <c r="L41" s="3" t="n">
        <f aca="false">IF(COUNTIFS(Tasks_TaskID,$A41,Tasks_Tier,L$5)=0,"",SUMIFS(Tasks_Cost,Tasks_TaskID,$A41,Tasks_Tier,L$5,Tasks_Type,"base"))</f>
        <v>352.4625</v>
      </c>
      <c r="M41" s="3" t="n">
        <f aca="false">IF(COUNTIFS(Tasks_TaskID,$A41,Tasks_Tier,M$5)=0,"",SUMIFS(Tasks_Cost,Tasks_TaskID,$A41,Tasks_Tier,M$5,Tasks_Type,"base"))</f>
        <v>469.95</v>
      </c>
    </row>
    <row r="42" customFormat="false" ht="15" hidden="false" customHeight="false" outlineLevel="0" collapsed="false">
      <c r="A42" s="0" t="s">
        <v>1745</v>
      </c>
      <c r="B42" s="0" t="s">
        <v>939</v>
      </c>
      <c r="C42" s="0" t="s">
        <v>1746</v>
      </c>
      <c r="D42" s="3" t="str">
        <f aca="false">IF(COUNTIFS(Tasks_TaskID,$A42,Tasks_Tier,D$5)=0,"",SUMIFS(Tasks_Cost,Tasks_TaskID,$A42,Tasks_Tier,D$5,Tasks_Type,"base"))</f>
        <v/>
      </c>
      <c r="E42" s="3" t="str">
        <f aca="false">IF(COUNTIFS(Tasks_TaskID,$A42,Tasks_Tier,E$5)=0,"",SUMIFS(Tasks_Cost,Tasks_TaskID,$A42,Tasks_Tier,E$5,Tasks_Type,"base"))</f>
        <v/>
      </c>
      <c r="F42" s="3" t="str">
        <f aca="false">IF(COUNTIFS(Tasks_TaskID,$A42,Tasks_Tier,F$5)=0,"",SUMIFS(Tasks_Cost,Tasks_TaskID,$A42,Tasks_Tier,F$5,Tasks_Type,"base"))</f>
        <v/>
      </c>
      <c r="G42" s="3" t="str">
        <f aca="false">IF(COUNTIFS(Tasks_TaskID,$A42,Tasks_Tier,G$5)=0,"",SUMIFS(Tasks_Cost,Tasks_TaskID,$A42,Tasks_Tier,G$5,Tasks_Type,"base"))</f>
        <v/>
      </c>
      <c r="H42" s="3" t="str">
        <f aca="false">IF(COUNTIFS(Tasks_TaskID,$A42,Tasks_Tier,H$5)=0,"",SUMIFS(Tasks_Cost,Tasks_TaskID,$A42,Tasks_Tier,H$5,Tasks_Type,"base"))</f>
        <v/>
      </c>
      <c r="I42" s="3" t="str">
        <f aca="false">IF(COUNTIFS(Tasks_TaskID,$A42,Tasks_Tier,I$5)=0,"",SUMIFS(Tasks_Cost,Tasks_TaskID,$A42,Tasks_Tier,I$5,Tasks_Type,"base"))</f>
        <v/>
      </c>
      <c r="J42" s="3" t="str">
        <f aca="false">IF(COUNTIFS(Tasks_TaskID,$A42,Tasks_Tier,J$5)=0,"",SUMIFS(Tasks_Cost,Tasks_TaskID,$A42,Tasks_Tier,J$5,Tasks_Type,"base"))</f>
        <v/>
      </c>
      <c r="K42" s="3" t="n">
        <f aca="false">IF(COUNTIFS(Tasks_TaskID,$A42,Tasks_Tier,K$5)=0,"",SUMIFS(Tasks_Cost,Tasks_TaskID,$A42,Tasks_Tier,K$5,Tasks_Type,"base"))</f>
        <v>234.975</v>
      </c>
      <c r="L42" s="3" t="n">
        <f aca="false">IF(COUNTIFS(Tasks_TaskID,$A42,Tasks_Tier,L$5)=0,"",SUMIFS(Tasks_Cost,Tasks_TaskID,$A42,Tasks_Tier,L$5,Tasks_Type,"base"))</f>
        <v>352.4625</v>
      </c>
      <c r="M42" s="3" t="n">
        <f aca="false">IF(COUNTIFS(Tasks_TaskID,$A42,Tasks_Tier,M$5)=0,"",SUMIFS(Tasks_Cost,Tasks_TaskID,$A42,Tasks_Tier,M$5,Tasks_Type,"base"))</f>
        <v>469.95</v>
      </c>
    </row>
    <row r="43" customFormat="false" ht="15" hidden="false" customHeight="false" outlineLevel="0" collapsed="false">
      <c r="A43" s="0" t="s">
        <v>1782</v>
      </c>
      <c r="B43" s="0" t="s">
        <v>939</v>
      </c>
      <c r="C43" s="0" t="s">
        <v>1783</v>
      </c>
      <c r="D43" s="3" t="str">
        <f aca="false">IF(COUNTIFS(Tasks_TaskID,$A43,Tasks_Tier,D$5)=0,"",SUMIFS(Tasks_Cost,Tasks_TaskID,$A43,Tasks_Tier,D$5,Tasks_Type,"base"))</f>
        <v/>
      </c>
      <c r="E43" s="3" t="str">
        <f aca="false">IF(COUNTIFS(Tasks_TaskID,$A43,Tasks_Tier,E$5)=0,"",SUMIFS(Tasks_Cost,Tasks_TaskID,$A43,Tasks_Tier,E$5,Tasks_Type,"base"))</f>
        <v/>
      </c>
      <c r="F43" s="3" t="str">
        <f aca="false">IF(COUNTIFS(Tasks_TaskID,$A43,Tasks_Tier,F$5)=0,"",SUMIFS(Tasks_Cost,Tasks_TaskID,$A43,Tasks_Tier,F$5,Tasks_Type,"base"))</f>
        <v/>
      </c>
      <c r="G43" s="3" t="str">
        <f aca="false">IF(COUNTIFS(Tasks_TaskID,$A43,Tasks_Tier,G$5)=0,"",SUMIFS(Tasks_Cost,Tasks_TaskID,$A43,Tasks_Tier,G$5,Tasks_Type,"base"))</f>
        <v/>
      </c>
      <c r="H43" s="3" t="str">
        <f aca="false">IF(COUNTIFS(Tasks_TaskID,$A43,Tasks_Tier,H$5)=0,"",SUMIFS(Tasks_Cost,Tasks_TaskID,$A43,Tasks_Tier,H$5,Tasks_Type,"base"))</f>
        <v/>
      </c>
      <c r="I43" s="3" t="str">
        <f aca="false">IF(COUNTIFS(Tasks_TaskID,$A43,Tasks_Tier,I$5)=0,"",SUMIFS(Tasks_Cost,Tasks_TaskID,$A43,Tasks_Tier,I$5,Tasks_Type,"base"))</f>
        <v/>
      </c>
      <c r="J43" s="3" t="str">
        <f aca="false">IF(COUNTIFS(Tasks_TaskID,$A43,Tasks_Tier,J$5)=0,"",SUMIFS(Tasks_Cost,Tasks_TaskID,$A43,Tasks_Tier,J$5,Tasks_Type,"base"))</f>
        <v/>
      </c>
      <c r="K43" s="3" t="n">
        <f aca="false">IF(COUNTIFS(Tasks_TaskID,$A43,Tasks_Tier,K$5)=0,"",SUMIFS(Tasks_Cost,Tasks_TaskID,$A43,Tasks_Tier,K$5,Tasks_Type,"base"))</f>
        <v>313.3</v>
      </c>
      <c r="L43" s="3" t="n">
        <f aca="false">IF(COUNTIFS(Tasks_TaskID,$A43,Tasks_Tier,L$5)=0,"",SUMIFS(Tasks_Cost,Tasks_TaskID,$A43,Tasks_Tier,L$5,Tasks_Type,"base"))</f>
        <v>469.95</v>
      </c>
      <c r="M43" s="3" t="n">
        <f aca="false">IF(COUNTIFS(Tasks_TaskID,$A43,Tasks_Tier,M$5)=0,"",SUMIFS(Tasks_Cost,Tasks_TaskID,$A43,Tasks_Tier,M$5,Tasks_Type,"base"))</f>
        <v>626.6</v>
      </c>
    </row>
    <row r="44" customFormat="false" ht="15" hidden="false" customHeight="false" outlineLevel="0" collapsed="false">
      <c r="A44" s="0" t="s">
        <v>1810</v>
      </c>
      <c r="B44" s="0" t="s">
        <v>939</v>
      </c>
      <c r="C44" s="0" t="s">
        <v>1811</v>
      </c>
      <c r="D44" s="3" t="n">
        <f aca="false">IF(COUNTIFS(Tasks_TaskID,$A44,Tasks_Tier,D$5)=0,"",SUMIFS(Tasks_Cost,Tasks_TaskID,$A44,Tasks_Tier,D$5,Tasks_Type,"base"))</f>
        <v>35.9625</v>
      </c>
      <c r="E44" s="3" t="n">
        <f aca="false">IF(COUNTIFS(Tasks_TaskID,$A44,Tasks_Tier,E$5)=0,"",SUMIFS(Tasks_Cost,Tasks_TaskID,$A44,Tasks_Tier,E$5,Tasks_Type,"base"))</f>
        <v>88.9375</v>
      </c>
      <c r="F44" s="3" t="n">
        <f aca="false">IF(COUNTIFS(Tasks_TaskID,$A44,Tasks_Tier,F$5)=0,"",SUMIFS(Tasks_Cost,Tasks_TaskID,$A44,Tasks_Tier,F$5,Tasks_Type,"base"))</f>
        <v>128.8875</v>
      </c>
      <c r="G44" s="3" t="str">
        <f aca="false">IF(COUNTIFS(Tasks_TaskID,$A44,Tasks_Tier,G$5)=0,"",SUMIFS(Tasks_Cost,Tasks_TaskID,$A44,Tasks_Tier,G$5,Tasks_Type,"base"))</f>
        <v/>
      </c>
      <c r="H44" s="3" t="str">
        <f aca="false">IF(COUNTIFS(Tasks_TaskID,$A44,Tasks_Tier,H$5)=0,"",SUMIFS(Tasks_Cost,Tasks_TaskID,$A44,Tasks_Tier,H$5,Tasks_Type,"base"))</f>
        <v/>
      </c>
      <c r="I44" s="3" t="str">
        <f aca="false">IF(COUNTIFS(Tasks_TaskID,$A44,Tasks_Tier,I$5)=0,"",SUMIFS(Tasks_Cost,Tasks_TaskID,$A44,Tasks_Tier,I$5,Tasks_Type,"base"))</f>
        <v/>
      </c>
      <c r="J44" s="3" t="str">
        <f aca="false">IF(COUNTIFS(Tasks_TaskID,$A44,Tasks_Tier,J$5)=0,"",SUMIFS(Tasks_Cost,Tasks_TaskID,$A44,Tasks_Tier,J$5,Tasks_Type,"base"))</f>
        <v/>
      </c>
      <c r="K44" s="3" t="str">
        <f aca="false">IF(COUNTIFS(Tasks_TaskID,$A44,Tasks_Tier,K$5)=0,"",SUMIFS(Tasks_Cost,Tasks_TaskID,$A44,Tasks_Tier,K$5,Tasks_Type,"base"))</f>
        <v/>
      </c>
      <c r="L44" s="3" t="str">
        <f aca="false">IF(COUNTIFS(Tasks_TaskID,$A44,Tasks_Tier,L$5)=0,"",SUMIFS(Tasks_Cost,Tasks_TaskID,$A44,Tasks_Tier,L$5,Tasks_Type,"base"))</f>
        <v/>
      </c>
      <c r="M44" s="3" t="str">
        <f aca="false">IF(COUNTIFS(Tasks_TaskID,$A44,Tasks_Tier,M$5)=0,"",SUMIFS(Tasks_Cost,Tasks_TaskID,$A44,Tasks_Tier,M$5,Tasks_Type,"base"))</f>
        <v/>
      </c>
    </row>
    <row r="45" customFormat="false" ht="15" hidden="false" customHeight="false" outlineLevel="0" collapsed="false">
      <c r="A45" s="0" t="s">
        <v>1819</v>
      </c>
      <c r="B45" s="0" t="s">
        <v>939</v>
      </c>
      <c r="C45" s="0" t="s">
        <v>1820</v>
      </c>
      <c r="D45" s="3" t="n">
        <f aca="false">IF(COUNTIFS(Tasks_TaskID,$A45,Tasks_Tier,D$5)=0,"",SUMIFS(Tasks_Cost,Tasks_TaskID,$A45,Tasks_Tier,D$5,Tasks_Type,"base"))</f>
        <v>71.925</v>
      </c>
      <c r="E45" s="3" t="n">
        <f aca="false">IF(COUNTIFS(Tasks_TaskID,$A45,Tasks_Tier,E$5)=0,"",SUMIFS(Tasks_Cost,Tasks_TaskID,$A45,Tasks_Tier,E$5,Tasks_Type,"base"))</f>
        <v>124.9</v>
      </c>
      <c r="F45" s="3" t="n">
        <f aca="false">IF(COUNTIFS(Tasks_TaskID,$A45,Tasks_Tier,F$5)=0,"",SUMIFS(Tasks_Cost,Tasks_TaskID,$A45,Tasks_Tier,F$5,Tasks_Type,"base"))</f>
        <v>204.8</v>
      </c>
      <c r="G45" s="3" t="str">
        <f aca="false">IF(COUNTIFS(Tasks_TaskID,$A45,Tasks_Tier,G$5)=0,"",SUMIFS(Tasks_Cost,Tasks_TaskID,$A45,Tasks_Tier,G$5,Tasks_Type,"base"))</f>
        <v/>
      </c>
      <c r="H45" s="3" t="str">
        <f aca="false">IF(COUNTIFS(Tasks_TaskID,$A45,Tasks_Tier,H$5)=0,"",SUMIFS(Tasks_Cost,Tasks_TaskID,$A45,Tasks_Tier,H$5,Tasks_Type,"base"))</f>
        <v/>
      </c>
      <c r="I45" s="3" t="str">
        <f aca="false">IF(COUNTIFS(Tasks_TaskID,$A45,Tasks_Tier,I$5)=0,"",SUMIFS(Tasks_Cost,Tasks_TaskID,$A45,Tasks_Tier,I$5,Tasks_Type,"base"))</f>
        <v/>
      </c>
      <c r="J45" s="3" t="str">
        <f aca="false">IF(COUNTIFS(Tasks_TaskID,$A45,Tasks_Tier,J$5)=0,"",SUMIFS(Tasks_Cost,Tasks_TaskID,$A45,Tasks_Tier,J$5,Tasks_Type,"base"))</f>
        <v/>
      </c>
      <c r="K45" s="3" t="str">
        <f aca="false">IF(COUNTIFS(Tasks_TaskID,$A45,Tasks_Tier,K$5)=0,"",SUMIFS(Tasks_Cost,Tasks_TaskID,$A45,Tasks_Tier,K$5,Tasks_Type,"base"))</f>
        <v/>
      </c>
      <c r="L45" s="3" t="str">
        <f aca="false">IF(COUNTIFS(Tasks_TaskID,$A45,Tasks_Tier,L$5)=0,"",SUMIFS(Tasks_Cost,Tasks_TaskID,$A45,Tasks_Tier,L$5,Tasks_Type,"base"))</f>
        <v/>
      </c>
      <c r="M45" s="3" t="str">
        <f aca="false">IF(COUNTIFS(Tasks_TaskID,$A45,Tasks_Tier,M$5)=0,"",SUMIFS(Tasks_Cost,Tasks_TaskID,$A45,Tasks_Tier,M$5,Tasks_Type,"base"))</f>
        <v/>
      </c>
    </row>
    <row r="46" customFormat="false" ht="15" hidden="false" customHeight="false" outlineLevel="0" collapsed="false">
      <c r="A46" s="0" t="s">
        <v>1827</v>
      </c>
      <c r="B46" s="0" t="s">
        <v>939</v>
      </c>
      <c r="C46" s="0" t="s">
        <v>1828</v>
      </c>
      <c r="D46" s="3" t="n">
        <f aca="false">IF(COUNTIFS(Tasks_TaskID,$A46,Tasks_Tier,D$5)=0,"",SUMIFS(Tasks_Cost,Tasks_TaskID,$A46,Tasks_Tier,D$5,Tasks_Type,"base"))</f>
        <v>77</v>
      </c>
      <c r="E46" s="3" t="n">
        <f aca="false">IF(COUNTIFS(Tasks_TaskID,$A46,Tasks_Tier,E$5)=0,"",SUMIFS(Tasks_Cost,Tasks_TaskID,$A46,Tasks_Tier,E$5,Tasks_Type,"base"))</f>
        <v>130</v>
      </c>
      <c r="F46" s="3" t="n">
        <f aca="false">IF(COUNTIFS(Tasks_TaskID,$A46,Tasks_Tier,F$5)=0,"",SUMIFS(Tasks_Cost,Tasks_TaskID,$A46,Tasks_Tier,F$5,Tasks_Type,"base"))</f>
        <v>183</v>
      </c>
      <c r="G46" s="3" t="str">
        <f aca="false">IF(COUNTIFS(Tasks_TaskID,$A46,Tasks_Tier,G$5)=0,"",SUMIFS(Tasks_Cost,Tasks_TaskID,$A46,Tasks_Tier,G$5,Tasks_Type,"base"))</f>
        <v/>
      </c>
      <c r="H46" s="3" t="str">
        <f aca="false">IF(COUNTIFS(Tasks_TaskID,$A46,Tasks_Tier,H$5)=0,"",SUMIFS(Tasks_Cost,Tasks_TaskID,$A46,Tasks_Tier,H$5,Tasks_Type,"base"))</f>
        <v/>
      </c>
      <c r="I46" s="3" t="str">
        <f aca="false">IF(COUNTIFS(Tasks_TaskID,$A46,Tasks_Tier,I$5)=0,"",SUMIFS(Tasks_Cost,Tasks_TaskID,$A46,Tasks_Tier,I$5,Tasks_Type,"base"))</f>
        <v/>
      </c>
      <c r="J46" s="3" t="str">
        <f aca="false">IF(COUNTIFS(Tasks_TaskID,$A46,Tasks_Tier,J$5)=0,"",SUMIFS(Tasks_Cost,Tasks_TaskID,$A46,Tasks_Tier,J$5,Tasks_Type,"base"))</f>
        <v/>
      </c>
      <c r="K46" s="3" t="str">
        <f aca="false">IF(COUNTIFS(Tasks_TaskID,$A46,Tasks_Tier,K$5)=0,"",SUMIFS(Tasks_Cost,Tasks_TaskID,$A46,Tasks_Tier,K$5,Tasks_Type,"base"))</f>
        <v/>
      </c>
      <c r="L46" s="3" t="str">
        <f aca="false">IF(COUNTIFS(Tasks_TaskID,$A46,Tasks_Tier,L$5)=0,"",SUMIFS(Tasks_Cost,Tasks_TaskID,$A46,Tasks_Tier,L$5,Tasks_Type,"base"))</f>
        <v/>
      </c>
      <c r="M46" s="3" t="str">
        <f aca="false">IF(COUNTIFS(Tasks_TaskID,$A46,Tasks_Tier,M$5)=0,"",SUMIFS(Tasks_Cost,Tasks_TaskID,$A46,Tasks_Tier,M$5,Tasks_Type,"base"))</f>
        <v/>
      </c>
    </row>
    <row r="48" customFormat="false" ht="15" hidden="false" customHeight="false" outlineLevel="0" collapsed="false">
      <c r="A48" s="11" t="s">
        <v>1876</v>
      </c>
    </row>
    <row r="49" customFormat="false" ht="15" hidden="false" customHeight="false" outlineLevel="0" collapsed="false">
      <c r="A49" s="1" t="s">
        <v>1026</v>
      </c>
      <c r="B49" s="1" t="s">
        <v>1</v>
      </c>
      <c r="C49" s="1" t="s">
        <v>1027</v>
      </c>
      <c r="D49" s="1" t="s">
        <v>1042</v>
      </c>
      <c r="E49" s="1" t="s">
        <v>1049</v>
      </c>
      <c r="F49" s="1" t="s">
        <v>1051</v>
      </c>
      <c r="G49" s="1" t="s">
        <v>1055</v>
      </c>
      <c r="H49" s="1" t="s">
        <v>1070</v>
      </c>
      <c r="I49" s="1" t="s">
        <v>1074</v>
      </c>
      <c r="J49" s="1" t="s">
        <v>1078</v>
      </c>
      <c r="K49" s="1" t="s">
        <v>1659</v>
      </c>
      <c r="L49" s="1" t="s">
        <v>1679</v>
      </c>
      <c r="M49" s="1" t="s">
        <v>1691</v>
      </c>
    </row>
    <row r="50" customFormat="false" ht="15" hidden="false" customHeight="false" outlineLevel="0" collapsed="false">
      <c r="A50" s="0" t="s">
        <v>1040</v>
      </c>
      <c r="B50" s="0" t="s">
        <v>20</v>
      </c>
      <c r="C50" s="0" t="s">
        <v>1041</v>
      </c>
      <c r="D50" s="3" t="n">
        <f aca="false">IF(COUNTIFS(Tasks_TaskID,$A50,Tasks_Tier,D$49)=0,"",SUMIFS(Tasks_Cost,Tasks_TaskID,$A50,Tasks_Tier,D$49,Tasks_Type,"as-needed"))</f>
        <v>0</v>
      </c>
      <c r="E50" s="3" t="n">
        <f aca="false">IF(COUNTIFS(Tasks_TaskID,$A50,Tasks_Tier,E$49)=0,"",SUMIFS(Tasks_Cost,Tasks_TaskID,$A50,Tasks_Tier,E$49,Tasks_Type,"as-needed"))</f>
        <v>0</v>
      </c>
      <c r="F50" s="3" t="n">
        <f aca="false">IF(COUNTIFS(Tasks_TaskID,$A50,Tasks_Tier,F$49)=0,"",SUMIFS(Tasks_Cost,Tasks_TaskID,$A50,Tasks_Tier,F$49,Tasks_Type,"as-needed"))</f>
        <v>0</v>
      </c>
      <c r="G50" s="3" t="str">
        <f aca="false">IF(COUNTIFS(Tasks_TaskID,$A50,Tasks_Tier,G$49)=0,"",SUMIFS(Tasks_Cost,Tasks_TaskID,$A50,Tasks_Tier,G$49,Tasks_Type,"as-needed"))</f>
        <v/>
      </c>
      <c r="H50" s="3" t="str">
        <f aca="false">IF(COUNTIFS(Tasks_TaskID,$A50,Tasks_Tier,H$49)=0,"",SUMIFS(Tasks_Cost,Tasks_TaskID,$A50,Tasks_Tier,H$49,Tasks_Type,"as-needed"))</f>
        <v/>
      </c>
      <c r="I50" s="3" t="str">
        <f aca="false">IF(COUNTIFS(Tasks_TaskID,$A50,Tasks_Tier,I$49)=0,"",SUMIFS(Tasks_Cost,Tasks_TaskID,$A50,Tasks_Tier,I$49,Tasks_Type,"as-needed"))</f>
        <v/>
      </c>
      <c r="J50" s="3" t="str">
        <f aca="false">IF(COUNTIFS(Tasks_TaskID,$A50,Tasks_Tier,J$49)=0,"",SUMIFS(Tasks_Cost,Tasks_TaskID,$A50,Tasks_Tier,J$49,Tasks_Type,"as-needed"))</f>
        <v/>
      </c>
      <c r="K50" s="3" t="str">
        <f aca="false">IF(COUNTIFS(Tasks_TaskID,$A50,Tasks_Tier,K$49)=0,"",SUMIFS(Tasks_Cost,Tasks_TaskID,$A50,Tasks_Tier,K$49,Tasks_Type,"as-needed"))</f>
        <v/>
      </c>
      <c r="L50" s="3" t="str">
        <f aca="false">IF(COUNTIFS(Tasks_TaskID,$A50,Tasks_Tier,L$49)=0,"",SUMIFS(Tasks_Cost,Tasks_TaskID,$A50,Tasks_Tier,L$49,Tasks_Type,"as-needed"))</f>
        <v/>
      </c>
      <c r="M50" s="3" t="str">
        <f aca="false">IF(COUNTIFS(Tasks_TaskID,$A50,Tasks_Tier,M$49)=0,"",SUMIFS(Tasks_Cost,Tasks_TaskID,$A50,Tasks_Tier,M$49,Tasks_Type,"as-needed"))</f>
        <v/>
      </c>
    </row>
    <row r="51" customFormat="false" ht="15" hidden="false" customHeight="false" outlineLevel="0" collapsed="false">
      <c r="A51" s="0" t="s">
        <v>1053</v>
      </c>
      <c r="B51" s="0" t="s">
        <v>52</v>
      </c>
      <c r="C51" s="0" t="s">
        <v>1054</v>
      </c>
      <c r="D51" s="3" t="str">
        <f aca="false">IF(COUNTIFS(Tasks_TaskID,$A51,Tasks_Tier,D$49)=0,"",SUMIFS(Tasks_Cost,Tasks_TaskID,$A51,Tasks_Tier,D$49,Tasks_Type,"as-needed"))</f>
        <v/>
      </c>
      <c r="E51" s="3" t="str">
        <f aca="false">IF(COUNTIFS(Tasks_TaskID,$A51,Tasks_Tier,E$49)=0,"",SUMIFS(Tasks_Cost,Tasks_TaskID,$A51,Tasks_Tier,E$49,Tasks_Type,"as-needed"))</f>
        <v/>
      </c>
      <c r="F51" s="3" t="str">
        <f aca="false">IF(COUNTIFS(Tasks_TaskID,$A51,Tasks_Tier,F$49)=0,"",SUMIFS(Tasks_Cost,Tasks_TaskID,$A51,Tasks_Tier,F$49,Tasks_Type,"as-needed"))</f>
        <v/>
      </c>
      <c r="G51" s="3" t="n">
        <f aca="false">IF(COUNTIFS(Tasks_TaskID,$A51,Tasks_Tier,G$49)=0,"",SUMIFS(Tasks_Cost,Tasks_TaskID,$A51,Tasks_Tier,G$49,Tasks_Type,"as-needed"))</f>
        <v>196</v>
      </c>
      <c r="H51" s="3" t="n">
        <f aca="false">IF(COUNTIFS(Tasks_TaskID,$A51,Tasks_Tier,H$49)=0,"",SUMIFS(Tasks_Cost,Tasks_TaskID,$A51,Tasks_Tier,H$49,Tasks_Type,"as-needed"))</f>
        <v>221</v>
      </c>
      <c r="I51" s="3" t="n">
        <f aca="false">IF(COUNTIFS(Tasks_TaskID,$A51,Tasks_Tier,I$49)=0,"",SUMIFS(Tasks_Cost,Tasks_TaskID,$A51,Tasks_Tier,I$49,Tasks_Type,"as-needed"))</f>
        <v>280</v>
      </c>
      <c r="J51" s="3" t="n">
        <f aca="false">IF(COUNTIFS(Tasks_TaskID,$A51,Tasks_Tier,J$49)=0,"",SUMIFS(Tasks_Cost,Tasks_TaskID,$A51,Tasks_Tier,J$49,Tasks_Type,"as-needed"))</f>
        <v>321</v>
      </c>
      <c r="K51" s="3" t="str">
        <f aca="false">IF(COUNTIFS(Tasks_TaskID,$A51,Tasks_Tier,K$49)=0,"",SUMIFS(Tasks_Cost,Tasks_TaskID,$A51,Tasks_Tier,K$49,Tasks_Type,"as-needed"))</f>
        <v/>
      </c>
      <c r="L51" s="3" t="str">
        <f aca="false">IF(COUNTIFS(Tasks_TaskID,$A51,Tasks_Tier,L$49)=0,"",SUMIFS(Tasks_Cost,Tasks_TaskID,$A51,Tasks_Tier,L$49,Tasks_Type,"as-needed"))</f>
        <v/>
      </c>
      <c r="M51" s="3" t="str">
        <f aca="false">IF(COUNTIFS(Tasks_TaskID,$A51,Tasks_Tier,M$49)=0,"",SUMIFS(Tasks_Cost,Tasks_TaskID,$A51,Tasks_Tier,M$49,Tasks_Type,"as-needed"))</f>
        <v/>
      </c>
    </row>
    <row r="52" customFormat="false" ht="15" hidden="false" customHeight="false" outlineLevel="0" collapsed="false">
      <c r="A52" s="0" t="s">
        <v>1064</v>
      </c>
      <c r="B52" s="0" t="s">
        <v>52</v>
      </c>
      <c r="C52" s="0" t="s">
        <v>1065</v>
      </c>
      <c r="D52" s="3" t="str">
        <f aca="false">IF(COUNTIFS(Tasks_TaskID,$A52,Tasks_Tier,D$49)=0,"",SUMIFS(Tasks_Cost,Tasks_TaskID,$A52,Tasks_Tier,D$49,Tasks_Type,"as-needed"))</f>
        <v/>
      </c>
      <c r="E52" s="3" t="str">
        <f aca="false">IF(COUNTIFS(Tasks_TaskID,$A52,Tasks_Tier,E$49)=0,"",SUMIFS(Tasks_Cost,Tasks_TaskID,$A52,Tasks_Tier,E$49,Tasks_Type,"as-needed"))</f>
        <v/>
      </c>
      <c r="F52" s="3" t="str">
        <f aca="false">IF(COUNTIFS(Tasks_TaskID,$A52,Tasks_Tier,F$49)=0,"",SUMIFS(Tasks_Cost,Tasks_TaskID,$A52,Tasks_Tier,F$49,Tasks_Type,"as-needed"))</f>
        <v/>
      </c>
      <c r="G52" s="3" t="n">
        <f aca="false">IF(COUNTIFS(Tasks_TaskID,$A52,Tasks_Tier,G$49)=0,"",SUMIFS(Tasks_Cost,Tasks_TaskID,$A52,Tasks_Tier,G$49,Tasks_Type,"as-needed"))</f>
        <v>0</v>
      </c>
      <c r="H52" s="3" t="n">
        <f aca="false">IF(COUNTIFS(Tasks_TaskID,$A52,Tasks_Tier,H$49)=0,"",SUMIFS(Tasks_Cost,Tasks_TaskID,$A52,Tasks_Tier,H$49,Tasks_Type,"as-needed"))</f>
        <v>0</v>
      </c>
      <c r="I52" s="3" t="n">
        <f aca="false">IF(COUNTIFS(Tasks_TaskID,$A52,Tasks_Tier,I$49)=0,"",SUMIFS(Tasks_Cost,Tasks_TaskID,$A52,Tasks_Tier,I$49,Tasks_Type,"as-needed"))</f>
        <v>0</v>
      </c>
      <c r="J52" s="3" t="n">
        <f aca="false">IF(COUNTIFS(Tasks_TaskID,$A52,Tasks_Tier,J$49)=0,"",SUMIFS(Tasks_Cost,Tasks_TaskID,$A52,Tasks_Tier,J$49,Tasks_Type,"as-needed"))</f>
        <v>0</v>
      </c>
      <c r="K52" s="3" t="str">
        <f aca="false">IF(COUNTIFS(Tasks_TaskID,$A52,Tasks_Tier,K$49)=0,"",SUMIFS(Tasks_Cost,Tasks_TaskID,$A52,Tasks_Tier,K$49,Tasks_Type,"as-needed"))</f>
        <v/>
      </c>
      <c r="L52" s="3" t="str">
        <f aca="false">IF(COUNTIFS(Tasks_TaskID,$A52,Tasks_Tier,L$49)=0,"",SUMIFS(Tasks_Cost,Tasks_TaskID,$A52,Tasks_Tier,L$49,Tasks_Type,"as-needed"))</f>
        <v/>
      </c>
      <c r="M52" s="3" t="str">
        <f aca="false">IF(COUNTIFS(Tasks_TaskID,$A52,Tasks_Tier,M$49)=0,"",SUMIFS(Tasks_Cost,Tasks_TaskID,$A52,Tasks_Tier,M$49,Tasks_Type,"as-needed"))</f>
        <v/>
      </c>
    </row>
    <row r="53" customFormat="false" ht="15" hidden="false" customHeight="false" outlineLevel="0" collapsed="false">
      <c r="A53" s="0" t="s">
        <v>1082</v>
      </c>
      <c r="B53" s="0" t="s">
        <v>107</v>
      </c>
      <c r="C53" s="0" t="s">
        <v>1083</v>
      </c>
      <c r="D53" s="3" t="n">
        <f aca="false">IF(COUNTIFS(Tasks_TaskID,$A53,Tasks_Tier,D$49)=0,"",SUMIFS(Tasks_Cost,Tasks_TaskID,$A53,Tasks_Tier,D$49,Tasks_Type,"as-needed"))</f>
        <v>52</v>
      </c>
      <c r="E53" s="3" t="n">
        <f aca="false">IF(COUNTIFS(Tasks_TaskID,$A53,Tasks_Tier,E$49)=0,"",SUMIFS(Tasks_Cost,Tasks_TaskID,$A53,Tasks_Tier,E$49,Tasks_Type,"as-needed"))</f>
        <v>52</v>
      </c>
      <c r="F53" s="3" t="n">
        <f aca="false">IF(COUNTIFS(Tasks_TaskID,$A53,Tasks_Tier,F$49)=0,"",SUMIFS(Tasks_Cost,Tasks_TaskID,$A53,Tasks_Tier,F$49,Tasks_Type,"as-needed"))</f>
        <v>52</v>
      </c>
      <c r="G53" s="3" t="str">
        <f aca="false">IF(COUNTIFS(Tasks_TaskID,$A53,Tasks_Tier,G$49)=0,"",SUMIFS(Tasks_Cost,Tasks_TaskID,$A53,Tasks_Tier,G$49,Tasks_Type,"as-needed"))</f>
        <v/>
      </c>
      <c r="H53" s="3" t="str">
        <f aca="false">IF(COUNTIFS(Tasks_TaskID,$A53,Tasks_Tier,H$49)=0,"",SUMIFS(Tasks_Cost,Tasks_TaskID,$A53,Tasks_Tier,H$49,Tasks_Type,"as-needed"))</f>
        <v/>
      </c>
      <c r="I53" s="3" t="str">
        <f aca="false">IF(COUNTIFS(Tasks_TaskID,$A53,Tasks_Tier,I$49)=0,"",SUMIFS(Tasks_Cost,Tasks_TaskID,$A53,Tasks_Tier,I$49,Tasks_Type,"as-needed"))</f>
        <v/>
      </c>
      <c r="J53" s="3" t="str">
        <f aca="false">IF(COUNTIFS(Tasks_TaskID,$A53,Tasks_Tier,J$49)=0,"",SUMIFS(Tasks_Cost,Tasks_TaskID,$A53,Tasks_Tier,J$49,Tasks_Type,"as-needed"))</f>
        <v/>
      </c>
      <c r="K53" s="3" t="str">
        <f aca="false">IF(COUNTIFS(Tasks_TaskID,$A53,Tasks_Tier,K$49)=0,"",SUMIFS(Tasks_Cost,Tasks_TaskID,$A53,Tasks_Tier,K$49,Tasks_Type,"as-needed"))</f>
        <v/>
      </c>
      <c r="L53" s="3" t="str">
        <f aca="false">IF(COUNTIFS(Tasks_TaskID,$A53,Tasks_Tier,L$49)=0,"",SUMIFS(Tasks_Cost,Tasks_TaskID,$A53,Tasks_Tier,L$49,Tasks_Type,"as-needed"))</f>
        <v/>
      </c>
      <c r="M53" s="3" t="str">
        <f aca="false">IF(COUNTIFS(Tasks_TaskID,$A53,Tasks_Tier,M$49)=0,"",SUMIFS(Tasks_Cost,Tasks_TaskID,$A53,Tasks_Tier,M$49,Tasks_Type,"as-needed"))</f>
        <v/>
      </c>
    </row>
    <row r="54" customFormat="false" ht="15" hidden="false" customHeight="false" outlineLevel="0" collapsed="false">
      <c r="A54" s="0" t="s">
        <v>1088</v>
      </c>
      <c r="B54" s="0" t="s">
        <v>107</v>
      </c>
      <c r="C54" s="0" t="s">
        <v>1089</v>
      </c>
      <c r="D54" s="3" t="n">
        <f aca="false">IF(COUNTIFS(Tasks_TaskID,$A54,Tasks_Tier,D$49)=0,"",SUMIFS(Tasks_Cost,Tasks_TaskID,$A54,Tasks_Tier,D$49,Tasks_Type,"as-needed"))</f>
        <v>188</v>
      </c>
      <c r="E54" s="3" t="n">
        <f aca="false">IF(COUNTIFS(Tasks_TaskID,$A54,Tasks_Tier,E$49)=0,"",SUMIFS(Tasks_Cost,Tasks_TaskID,$A54,Tasks_Tier,E$49,Tasks_Type,"as-needed"))</f>
        <v>408</v>
      </c>
      <c r="F54" s="3" t="n">
        <f aca="false">IF(COUNTIFS(Tasks_TaskID,$A54,Tasks_Tier,F$49)=0,"",SUMIFS(Tasks_Cost,Tasks_TaskID,$A54,Tasks_Tier,F$49,Tasks_Type,"as-needed"))</f>
        <v>469</v>
      </c>
      <c r="G54" s="3" t="str">
        <f aca="false">IF(COUNTIFS(Tasks_TaskID,$A54,Tasks_Tier,G$49)=0,"",SUMIFS(Tasks_Cost,Tasks_TaskID,$A54,Tasks_Tier,G$49,Tasks_Type,"as-needed"))</f>
        <v/>
      </c>
      <c r="H54" s="3" t="str">
        <f aca="false">IF(COUNTIFS(Tasks_TaskID,$A54,Tasks_Tier,H$49)=0,"",SUMIFS(Tasks_Cost,Tasks_TaskID,$A54,Tasks_Tier,H$49,Tasks_Type,"as-needed"))</f>
        <v/>
      </c>
      <c r="I54" s="3" t="str">
        <f aca="false">IF(COUNTIFS(Tasks_TaskID,$A54,Tasks_Tier,I$49)=0,"",SUMIFS(Tasks_Cost,Tasks_TaskID,$A54,Tasks_Tier,I$49,Tasks_Type,"as-needed"))</f>
        <v/>
      </c>
      <c r="J54" s="3" t="str">
        <f aca="false">IF(COUNTIFS(Tasks_TaskID,$A54,Tasks_Tier,J$49)=0,"",SUMIFS(Tasks_Cost,Tasks_TaskID,$A54,Tasks_Tier,J$49,Tasks_Type,"as-needed"))</f>
        <v/>
      </c>
      <c r="K54" s="3" t="str">
        <f aca="false">IF(COUNTIFS(Tasks_TaskID,$A54,Tasks_Tier,K$49)=0,"",SUMIFS(Tasks_Cost,Tasks_TaskID,$A54,Tasks_Tier,K$49,Tasks_Type,"as-needed"))</f>
        <v/>
      </c>
      <c r="L54" s="3" t="str">
        <f aca="false">IF(COUNTIFS(Tasks_TaskID,$A54,Tasks_Tier,L$49)=0,"",SUMIFS(Tasks_Cost,Tasks_TaskID,$A54,Tasks_Tier,L$49,Tasks_Type,"as-needed"))</f>
        <v/>
      </c>
      <c r="M54" s="3" t="str">
        <f aca="false">IF(COUNTIFS(Tasks_TaskID,$A54,Tasks_Tier,M$49)=0,"",SUMIFS(Tasks_Cost,Tasks_TaskID,$A54,Tasks_Tier,M$49,Tasks_Type,"as-needed"))</f>
        <v/>
      </c>
    </row>
    <row r="55" customFormat="false" ht="15" hidden="false" customHeight="false" outlineLevel="0" collapsed="false">
      <c r="A55" s="0" t="s">
        <v>1097</v>
      </c>
      <c r="B55" s="0" t="s">
        <v>107</v>
      </c>
      <c r="C55" s="0" t="s">
        <v>1098</v>
      </c>
      <c r="D55" s="3" t="n">
        <f aca="false">IF(COUNTIFS(Tasks_TaskID,$A55,Tasks_Tier,D$49)=0,"",SUMIFS(Tasks_Cost,Tasks_TaskID,$A55,Tasks_Tier,D$49,Tasks_Type,"as-needed"))</f>
        <v>0</v>
      </c>
      <c r="E55" s="3" t="n">
        <f aca="false">IF(COUNTIFS(Tasks_TaskID,$A55,Tasks_Tier,E$49)=0,"",SUMIFS(Tasks_Cost,Tasks_TaskID,$A55,Tasks_Tier,E$49,Tasks_Type,"as-needed"))</f>
        <v>0</v>
      </c>
      <c r="F55" s="3" t="n">
        <f aca="false">IF(COUNTIFS(Tasks_TaskID,$A55,Tasks_Tier,F$49)=0,"",SUMIFS(Tasks_Cost,Tasks_TaskID,$A55,Tasks_Tier,F$49,Tasks_Type,"as-needed"))</f>
        <v>0</v>
      </c>
      <c r="G55" s="3" t="str">
        <f aca="false">IF(COUNTIFS(Tasks_TaskID,$A55,Tasks_Tier,G$49)=0,"",SUMIFS(Tasks_Cost,Tasks_TaskID,$A55,Tasks_Tier,G$49,Tasks_Type,"as-needed"))</f>
        <v/>
      </c>
      <c r="H55" s="3" t="str">
        <f aca="false">IF(COUNTIFS(Tasks_TaskID,$A55,Tasks_Tier,H$49)=0,"",SUMIFS(Tasks_Cost,Tasks_TaskID,$A55,Tasks_Tier,H$49,Tasks_Type,"as-needed"))</f>
        <v/>
      </c>
      <c r="I55" s="3" t="str">
        <f aca="false">IF(COUNTIFS(Tasks_TaskID,$A55,Tasks_Tier,I$49)=0,"",SUMIFS(Tasks_Cost,Tasks_TaskID,$A55,Tasks_Tier,I$49,Tasks_Type,"as-needed"))</f>
        <v/>
      </c>
      <c r="J55" s="3" t="str">
        <f aca="false">IF(COUNTIFS(Tasks_TaskID,$A55,Tasks_Tier,J$49)=0,"",SUMIFS(Tasks_Cost,Tasks_TaskID,$A55,Tasks_Tier,J$49,Tasks_Type,"as-needed"))</f>
        <v/>
      </c>
      <c r="K55" s="3" t="str">
        <f aca="false">IF(COUNTIFS(Tasks_TaskID,$A55,Tasks_Tier,K$49)=0,"",SUMIFS(Tasks_Cost,Tasks_TaskID,$A55,Tasks_Tier,K$49,Tasks_Type,"as-needed"))</f>
        <v/>
      </c>
      <c r="L55" s="3" t="str">
        <f aca="false">IF(COUNTIFS(Tasks_TaskID,$A55,Tasks_Tier,L$49)=0,"",SUMIFS(Tasks_Cost,Tasks_TaskID,$A55,Tasks_Tier,L$49,Tasks_Type,"as-needed"))</f>
        <v/>
      </c>
      <c r="M55" s="3" t="str">
        <f aca="false">IF(COUNTIFS(Tasks_TaskID,$A55,Tasks_Tier,M$49)=0,"",SUMIFS(Tasks_Cost,Tasks_TaskID,$A55,Tasks_Tier,M$49,Tasks_Type,"as-needed"))</f>
        <v/>
      </c>
    </row>
    <row r="56" customFormat="false" ht="15" hidden="false" customHeight="false" outlineLevel="0" collapsed="false">
      <c r="A56" s="0" t="s">
        <v>1117</v>
      </c>
      <c r="B56" s="0" t="s">
        <v>107</v>
      </c>
      <c r="C56" s="0" t="s">
        <v>1118</v>
      </c>
      <c r="D56" s="3" t="n">
        <f aca="false">IF(COUNTIFS(Tasks_TaskID,$A56,Tasks_Tier,D$49)=0,"",SUMIFS(Tasks_Cost,Tasks_TaskID,$A56,Tasks_Tier,D$49,Tasks_Type,"as-needed"))</f>
        <v>0</v>
      </c>
      <c r="E56" s="3" t="n">
        <f aca="false">IF(COUNTIFS(Tasks_TaskID,$A56,Tasks_Tier,E$49)=0,"",SUMIFS(Tasks_Cost,Tasks_TaskID,$A56,Tasks_Tier,E$49,Tasks_Type,"as-needed"))</f>
        <v>0</v>
      </c>
      <c r="F56" s="3" t="n">
        <f aca="false">IF(COUNTIFS(Tasks_TaskID,$A56,Tasks_Tier,F$49)=0,"",SUMIFS(Tasks_Cost,Tasks_TaskID,$A56,Tasks_Tier,F$49,Tasks_Type,"as-needed"))</f>
        <v>0</v>
      </c>
      <c r="G56" s="3" t="str">
        <f aca="false">IF(COUNTIFS(Tasks_TaskID,$A56,Tasks_Tier,G$49)=0,"",SUMIFS(Tasks_Cost,Tasks_TaskID,$A56,Tasks_Tier,G$49,Tasks_Type,"as-needed"))</f>
        <v/>
      </c>
      <c r="H56" s="3" t="str">
        <f aca="false">IF(COUNTIFS(Tasks_TaskID,$A56,Tasks_Tier,H$49)=0,"",SUMIFS(Tasks_Cost,Tasks_TaskID,$A56,Tasks_Tier,H$49,Tasks_Type,"as-needed"))</f>
        <v/>
      </c>
      <c r="I56" s="3" t="str">
        <f aca="false">IF(COUNTIFS(Tasks_TaskID,$A56,Tasks_Tier,I$49)=0,"",SUMIFS(Tasks_Cost,Tasks_TaskID,$A56,Tasks_Tier,I$49,Tasks_Type,"as-needed"))</f>
        <v/>
      </c>
      <c r="J56" s="3" t="str">
        <f aca="false">IF(COUNTIFS(Tasks_TaskID,$A56,Tasks_Tier,J$49)=0,"",SUMIFS(Tasks_Cost,Tasks_TaskID,$A56,Tasks_Tier,J$49,Tasks_Type,"as-needed"))</f>
        <v/>
      </c>
      <c r="K56" s="3" t="str">
        <f aca="false">IF(COUNTIFS(Tasks_TaskID,$A56,Tasks_Tier,K$49)=0,"",SUMIFS(Tasks_Cost,Tasks_TaskID,$A56,Tasks_Tier,K$49,Tasks_Type,"as-needed"))</f>
        <v/>
      </c>
      <c r="L56" s="3" t="str">
        <f aca="false">IF(COUNTIFS(Tasks_TaskID,$A56,Tasks_Tier,L$49)=0,"",SUMIFS(Tasks_Cost,Tasks_TaskID,$A56,Tasks_Tier,L$49,Tasks_Type,"as-needed"))</f>
        <v/>
      </c>
      <c r="M56" s="3" t="str">
        <f aca="false">IF(COUNTIFS(Tasks_TaskID,$A56,Tasks_Tier,M$49)=0,"",SUMIFS(Tasks_Cost,Tasks_TaskID,$A56,Tasks_Tier,M$49,Tasks_Type,"as-needed"))</f>
        <v/>
      </c>
    </row>
    <row r="57" customFormat="false" ht="15" hidden="false" customHeight="false" outlineLevel="0" collapsed="false">
      <c r="A57" s="0" t="s">
        <v>1126</v>
      </c>
      <c r="B57" s="0" t="s">
        <v>176</v>
      </c>
      <c r="C57" s="0" t="s">
        <v>1127</v>
      </c>
      <c r="D57" s="3" t="n">
        <f aca="false">IF(COUNTIFS(Tasks_TaskID,$A57,Tasks_Tier,D$49)=0,"",SUMIFS(Tasks_Cost,Tasks_TaskID,$A57,Tasks_Tier,D$49,Tasks_Type,"as-needed"))</f>
        <v>0</v>
      </c>
      <c r="E57" s="3" t="n">
        <f aca="false">IF(COUNTIFS(Tasks_TaskID,$A57,Tasks_Tier,E$49)=0,"",SUMIFS(Tasks_Cost,Tasks_TaskID,$A57,Tasks_Tier,E$49,Tasks_Type,"as-needed"))</f>
        <v>0</v>
      </c>
      <c r="F57" s="3" t="n">
        <f aca="false">IF(COUNTIFS(Tasks_TaskID,$A57,Tasks_Tier,F$49)=0,"",SUMIFS(Tasks_Cost,Tasks_TaskID,$A57,Tasks_Tier,F$49,Tasks_Type,"as-needed"))</f>
        <v>0</v>
      </c>
      <c r="G57" s="3" t="str">
        <f aca="false">IF(COUNTIFS(Tasks_TaskID,$A57,Tasks_Tier,G$49)=0,"",SUMIFS(Tasks_Cost,Tasks_TaskID,$A57,Tasks_Tier,G$49,Tasks_Type,"as-needed"))</f>
        <v/>
      </c>
      <c r="H57" s="3" t="str">
        <f aca="false">IF(COUNTIFS(Tasks_TaskID,$A57,Tasks_Tier,H$49)=0,"",SUMIFS(Tasks_Cost,Tasks_TaskID,$A57,Tasks_Tier,H$49,Tasks_Type,"as-needed"))</f>
        <v/>
      </c>
      <c r="I57" s="3" t="str">
        <f aca="false">IF(COUNTIFS(Tasks_TaskID,$A57,Tasks_Tier,I$49)=0,"",SUMIFS(Tasks_Cost,Tasks_TaskID,$A57,Tasks_Tier,I$49,Tasks_Type,"as-needed"))</f>
        <v/>
      </c>
      <c r="J57" s="3" t="str">
        <f aca="false">IF(COUNTIFS(Tasks_TaskID,$A57,Tasks_Tier,J$49)=0,"",SUMIFS(Tasks_Cost,Tasks_TaskID,$A57,Tasks_Tier,J$49,Tasks_Type,"as-needed"))</f>
        <v/>
      </c>
      <c r="K57" s="3" t="str">
        <f aca="false">IF(COUNTIFS(Tasks_TaskID,$A57,Tasks_Tier,K$49)=0,"",SUMIFS(Tasks_Cost,Tasks_TaskID,$A57,Tasks_Tier,K$49,Tasks_Type,"as-needed"))</f>
        <v/>
      </c>
      <c r="L57" s="3" t="str">
        <f aca="false">IF(COUNTIFS(Tasks_TaskID,$A57,Tasks_Tier,L$49)=0,"",SUMIFS(Tasks_Cost,Tasks_TaskID,$A57,Tasks_Tier,L$49,Tasks_Type,"as-needed"))</f>
        <v/>
      </c>
      <c r="M57" s="3" t="str">
        <f aca="false">IF(COUNTIFS(Tasks_TaskID,$A57,Tasks_Tier,M$49)=0,"",SUMIFS(Tasks_Cost,Tasks_TaskID,$A57,Tasks_Tier,M$49,Tasks_Type,"as-needed"))</f>
        <v/>
      </c>
    </row>
    <row r="58" customFormat="false" ht="15" hidden="false" customHeight="false" outlineLevel="0" collapsed="false">
      <c r="A58" s="0" t="s">
        <v>1136</v>
      </c>
      <c r="B58" s="0" t="s">
        <v>176</v>
      </c>
      <c r="C58" s="0" t="s">
        <v>1137</v>
      </c>
      <c r="D58" s="3" t="n">
        <f aca="false">IF(COUNTIFS(Tasks_TaskID,$A58,Tasks_Tier,D$49)=0,"",SUMIFS(Tasks_Cost,Tasks_TaskID,$A58,Tasks_Tier,D$49,Tasks_Type,"as-needed"))</f>
        <v>0</v>
      </c>
      <c r="E58" s="3" t="n">
        <f aca="false">IF(COUNTIFS(Tasks_TaskID,$A58,Tasks_Tier,E$49)=0,"",SUMIFS(Tasks_Cost,Tasks_TaskID,$A58,Tasks_Tier,E$49,Tasks_Type,"as-needed"))</f>
        <v>0</v>
      </c>
      <c r="F58" s="3" t="n">
        <f aca="false">IF(COUNTIFS(Tasks_TaskID,$A58,Tasks_Tier,F$49)=0,"",SUMIFS(Tasks_Cost,Tasks_TaskID,$A58,Tasks_Tier,F$49,Tasks_Type,"as-needed"))</f>
        <v>0</v>
      </c>
      <c r="G58" s="3" t="str">
        <f aca="false">IF(COUNTIFS(Tasks_TaskID,$A58,Tasks_Tier,G$49)=0,"",SUMIFS(Tasks_Cost,Tasks_TaskID,$A58,Tasks_Tier,G$49,Tasks_Type,"as-needed"))</f>
        <v/>
      </c>
      <c r="H58" s="3" t="str">
        <f aca="false">IF(COUNTIFS(Tasks_TaskID,$A58,Tasks_Tier,H$49)=0,"",SUMIFS(Tasks_Cost,Tasks_TaskID,$A58,Tasks_Tier,H$49,Tasks_Type,"as-needed"))</f>
        <v/>
      </c>
      <c r="I58" s="3" t="str">
        <f aca="false">IF(COUNTIFS(Tasks_TaskID,$A58,Tasks_Tier,I$49)=0,"",SUMIFS(Tasks_Cost,Tasks_TaskID,$A58,Tasks_Tier,I$49,Tasks_Type,"as-needed"))</f>
        <v/>
      </c>
      <c r="J58" s="3" t="str">
        <f aca="false">IF(COUNTIFS(Tasks_TaskID,$A58,Tasks_Tier,J$49)=0,"",SUMIFS(Tasks_Cost,Tasks_TaskID,$A58,Tasks_Tier,J$49,Tasks_Type,"as-needed"))</f>
        <v/>
      </c>
      <c r="K58" s="3" t="str">
        <f aca="false">IF(COUNTIFS(Tasks_TaskID,$A58,Tasks_Tier,K$49)=0,"",SUMIFS(Tasks_Cost,Tasks_TaskID,$A58,Tasks_Tier,K$49,Tasks_Type,"as-needed"))</f>
        <v/>
      </c>
      <c r="L58" s="3" t="str">
        <f aca="false">IF(COUNTIFS(Tasks_TaskID,$A58,Tasks_Tier,L$49)=0,"",SUMIFS(Tasks_Cost,Tasks_TaskID,$A58,Tasks_Tier,L$49,Tasks_Type,"as-needed"))</f>
        <v/>
      </c>
      <c r="M58" s="3" t="str">
        <f aca="false">IF(COUNTIFS(Tasks_TaskID,$A58,Tasks_Tier,M$49)=0,"",SUMIFS(Tasks_Cost,Tasks_TaskID,$A58,Tasks_Tier,M$49,Tasks_Type,"as-needed"))</f>
        <v/>
      </c>
    </row>
    <row r="59" customFormat="false" ht="15" hidden="false" customHeight="false" outlineLevel="0" collapsed="false">
      <c r="A59" s="0" t="s">
        <v>1151</v>
      </c>
      <c r="B59" s="0" t="s">
        <v>176</v>
      </c>
      <c r="C59" s="0" t="s">
        <v>1152</v>
      </c>
      <c r="D59" s="3" t="str">
        <f aca="false">IF(COUNTIFS(Tasks_TaskID,$A59,Tasks_Tier,D$49)=0,"",SUMIFS(Tasks_Cost,Tasks_TaskID,$A59,Tasks_Tier,D$49,Tasks_Type,"as-needed"))</f>
        <v/>
      </c>
      <c r="E59" s="3" t="str">
        <f aca="false">IF(COUNTIFS(Tasks_TaskID,$A59,Tasks_Tier,E$49)=0,"",SUMIFS(Tasks_Cost,Tasks_TaskID,$A59,Tasks_Tier,E$49,Tasks_Type,"as-needed"))</f>
        <v/>
      </c>
      <c r="F59" s="3" t="str">
        <f aca="false">IF(COUNTIFS(Tasks_TaskID,$A59,Tasks_Tier,F$49)=0,"",SUMIFS(Tasks_Cost,Tasks_TaskID,$A59,Tasks_Tier,F$49,Tasks_Type,"as-needed"))</f>
        <v/>
      </c>
      <c r="G59" s="3" t="n">
        <f aca="false">IF(COUNTIFS(Tasks_TaskID,$A59,Tasks_Tier,G$49)=0,"",SUMIFS(Tasks_Cost,Tasks_TaskID,$A59,Tasks_Tier,G$49,Tasks_Type,"as-needed"))</f>
        <v>0</v>
      </c>
      <c r="H59" s="3" t="n">
        <f aca="false">IF(COUNTIFS(Tasks_TaskID,$A59,Tasks_Tier,H$49)=0,"",SUMIFS(Tasks_Cost,Tasks_TaskID,$A59,Tasks_Tier,H$49,Tasks_Type,"as-needed"))</f>
        <v>0</v>
      </c>
      <c r="I59" s="3" t="n">
        <f aca="false">IF(COUNTIFS(Tasks_TaskID,$A59,Tasks_Tier,I$49)=0,"",SUMIFS(Tasks_Cost,Tasks_TaskID,$A59,Tasks_Tier,I$49,Tasks_Type,"as-needed"))</f>
        <v>0</v>
      </c>
      <c r="J59" s="3" t="n">
        <f aca="false">IF(COUNTIFS(Tasks_TaskID,$A59,Tasks_Tier,J$49)=0,"",SUMIFS(Tasks_Cost,Tasks_TaskID,$A59,Tasks_Tier,J$49,Tasks_Type,"as-needed"))</f>
        <v>0</v>
      </c>
      <c r="K59" s="3" t="str">
        <f aca="false">IF(COUNTIFS(Tasks_TaskID,$A59,Tasks_Tier,K$49)=0,"",SUMIFS(Tasks_Cost,Tasks_TaskID,$A59,Tasks_Tier,K$49,Tasks_Type,"as-needed"))</f>
        <v/>
      </c>
      <c r="L59" s="3" t="str">
        <f aca="false">IF(COUNTIFS(Tasks_TaskID,$A59,Tasks_Tier,L$49)=0,"",SUMIFS(Tasks_Cost,Tasks_TaskID,$A59,Tasks_Tier,L$49,Tasks_Type,"as-needed"))</f>
        <v/>
      </c>
      <c r="M59" s="3" t="str">
        <f aca="false">IF(COUNTIFS(Tasks_TaskID,$A59,Tasks_Tier,M$49)=0,"",SUMIFS(Tasks_Cost,Tasks_TaskID,$A59,Tasks_Tier,M$49,Tasks_Type,"as-needed"))</f>
        <v/>
      </c>
    </row>
    <row r="60" customFormat="false" ht="15" hidden="false" customHeight="false" outlineLevel="0" collapsed="false">
      <c r="A60" s="0" t="s">
        <v>1161</v>
      </c>
      <c r="B60" s="0" t="s">
        <v>229</v>
      </c>
      <c r="C60" s="0" t="s">
        <v>1162</v>
      </c>
      <c r="D60" s="3" t="n">
        <f aca="false">IF(COUNTIFS(Tasks_TaskID,$A60,Tasks_Tier,D$49)=0,"",SUMIFS(Tasks_Cost,Tasks_TaskID,$A60,Tasks_Tier,D$49,Tasks_Type,"as-needed"))</f>
        <v>0</v>
      </c>
      <c r="E60" s="3" t="n">
        <f aca="false">IF(COUNTIFS(Tasks_TaskID,$A60,Tasks_Tier,E$49)=0,"",SUMIFS(Tasks_Cost,Tasks_TaskID,$A60,Tasks_Tier,E$49,Tasks_Type,"as-needed"))</f>
        <v>0</v>
      </c>
      <c r="F60" s="3" t="n">
        <f aca="false">IF(COUNTIFS(Tasks_TaskID,$A60,Tasks_Tier,F$49)=0,"",SUMIFS(Tasks_Cost,Tasks_TaskID,$A60,Tasks_Tier,F$49,Tasks_Type,"as-needed"))</f>
        <v>0</v>
      </c>
      <c r="G60" s="3" t="str">
        <f aca="false">IF(COUNTIFS(Tasks_TaskID,$A60,Tasks_Tier,G$49)=0,"",SUMIFS(Tasks_Cost,Tasks_TaskID,$A60,Tasks_Tier,G$49,Tasks_Type,"as-needed"))</f>
        <v/>
      </c>
      <c r="H60" s="3" t="str">
        <f aca="false">IF(COUNTIFS(Tasks_TaskID,$A60,Tasks_Tier,H$49)=0,"",SUMIFS(Tasks_Cost,Tasks_TaskID,$A60,Tasks_Tier,H$49,Tasks_Type,"as-needed"))</f>
        <v/>
      </c>
      <c r="I60" s="3" t="str">
        <f aca="false">IF(COUNTIFS(Tasks_TaskID,$A60,Tasks_Tier,I$49)=0,"",SUMIFS(Tasks_Cost,Tasks_TaskID,$A60,Tasks_Tier,I$49,Tasks_Type,"as-needed"))</f>
        <v/>
      </c>
      <c r="J60" s="3" t="str">
        <f aca="false">IF(COUNTIFS(Tasks_TaskID,$A60,Tasks_Tier,J$49)=0,"",SUMIFS(Tasks_Cost,Tasks_TaskID,$A60,Tasks_Tier,J$49,Tasks_Type,"as-needed"))</f>
        <v/>
      </c>
      <c r="K60" s="3" t="str">
        <f aca="false">IF(COUNTIFS(Tasks_TaskID,$A60,Tasks_Tier,K$49)=0,"",SUMIFS(Tasks_Cost,Tasks_TaskID,$A60,Tasks_Tier,K$49,Tasks_Type,"as-needed"))</f>
        <v/>
      </c>
      <c r="L60" s="3" t="str">
        <f aca="false">IF(COUNTIFS(Tasks_TaskID,$A60,Tasks_Tier,L$49)=0,"",SUMIFS(Tasks_Cost,Tasks_TaskID,$A60,Tasks_Tier,L$49,Tasks_Type,"as-needed"))</f>
        <v/>
      </c>
      <c r="M60" s="3" t="str">
        <f aca="false">IF(COUNTIFS(Tasks_TaskID,$A60,Tasks_Tier,M$49)=0,"",SUMIFS(Tasks_Cost,Tasks_TaskID,$A60,Tasks_Tier,M$49,Tasks_Type,"as-needed"))</f>
        <v/>
      </c>
    </row>
    <row r="61" customFormat="false" ht="15" hidden="false" customHeight="false" outlineLevel="0" collapsed="false">
      <c r="A61" s="0" t="s">
        <v>1171</v>
      </c>
      <c r="B61" s="0" t="s">
        <v>229</v>
      </c>
      <c r="C61" s="0" t="s">
        <v>1172</v>
      </c>
      <c r="D61" s="3" t="n">
        <f aca="false">IF(COUNTIFS(Tasks_TaskID,$A61,Tasks_Tier,D$49)=0,"",SUMIFS(Tasks_Cost,Tasks_TaskID,$A61,Tasks_Tier,D$49,Tasks_Type,"as-needed"))</f>
        <v>0</v>
      </c>
      <c r="E61" s="3" t="n">
        <f aca="false">IF(COUNTIFS(Tasks_TaskID,$A61,Tasks_Tier,E$49)=0,"",SUMIFS(Tasks_Cost,Tasks_TaskID,$A61,Tasks_Tier,E$49,Tasks_Type,"as-needed"))</f>
        <v>0</v>
      </c>
      <c r="F61" s="3" t="n">
        <f aca="false">IF(COUNTIFS(Tasks_TaskID,$A61,Tasks_Tier,F$49)=0,"",SUMIFS(Tasks_Cost,Tasks_TaskID,$A61,Tasks_Tier,F$49,Tasks_Type,"as-needed"))</f>
        <v>0</v>
      </c>
      <c r="G61" s="3" t="str">
        <f aca="false">IF(COUNTIFS(Tasks_TaskID,$A61,Tasks_Tier,G$49)=0,"",SUMIFS(Tasks_Cost,Tasks_TaskID,$A61,Tasks_Tier,G$49,Tasks_Type,"as-needed"))</f>
        <v/>
      </c>
      <c r="H61" s="3" t="str">
        <f aca="false">IF(COUNTIFS(Tasks_TaskID,$A61,Tasks_Tier,H$49)=0,"",SUMIFS(Tasks_Cost,Tasks_TaskID,$A61,Tasks_Tier,H$49,Tasks_Type,"as-needed"))</f>
        <v/>
      </c>
      <c r="I61" s="3" t="str">
        <f aca="false">IF(COUNTIFS(Tasks_TaskID,$A61,Tasks_Tier,I$49)=0,"",SUMIFS(Tasks_Cost,Tasks_TaskID,$A61,Tasks_Tier,I$49,Tasks_Type,"as-needed"))</f>
        <v/>
      </c>
      <c r="J61" s="3" t="str">
        <f aca="false">IF(COUNTIFS(Tasks_TaskID,$A61,Tasks_Tier,J$49)=0,"",SUMIFS(Tasks_Cost,Tasks_TaskID,$A61,Tasks_Tier,J$49,Tasks_Type,"as-needed"))</f>
        <v/>
      </c>
      <c r="K61" s="3" t="str">
        <f aca="false">IF(COUNTIFS(Tasks_TaskID,$A61,Tasks_Tier,K$49)=0,"",SUMIFS(Tasks_Cost,Tasks_TaskID,$A61,Tasks_Tier,K$49,Tasks_Type,"as-needed"))</f>
        <v/>
      </c>
      <c r="L61" s="3" t="str">
        <f aca="false">IF(COUNTIFS(Tasks_TaskID,$A61,Tasks_Tier,L$49)=0,"",SUMIFS(Tasks_Cost,Tasks_TaskID,$A61,Tasks_Tier,L$49,Tasks_Type,"as-needed"))</f>
        <v/>
      </c>
      <c r="M61" s="3" t="str">
        <f aca="false">IF(COUNTIFS(Tasks_TaskID,$A61,Tasks_Tier,M$49)=0,"",SUMIFS(Tasks_Cost,Tasks_TaskID,$A61,Tasks_Tier,M$49,Tasks_Type,"as-needed"))</f>
        <v/>
      </c>
    </row>
    <row r="62" customFormat="false" ht="15" hidden="false" customHeight="false" outlineLevel="0" collapsed="false">
      <c r="A62" s="0" t="s">
        <v>1178</v>
      </c>
      <c r="B62" s="0" t="s">
        <v>229</v>
      </c>
      <c r="C62" s="0" t="s">
        <v>1179</v>
      </c>
      <c r="D62" s="3" t="n">
        <f aca="false">IF(COUNTIFS(Tasks_TaskID,$A62,Tasks_Tier,D$49)=0,"",SUMIFS(Tasks_Cost,Tasks_TaskID,$A62,Tasks_Tier,D$49,Tasks_Type,"as-needed"))</f>
        <v>0</v>
      </c>
      <c r="E62" s="3" t="n">
        <f aca="false">IF(COUNTIFS(Tasks_TaskID,$A62,Tasks_Tier,E$49)=0,"",SUMIFS(Tasks_Cost,Tasks_TaskID,$A62,Tasks_Tier,E$49,Tasks_Type,"as-needed"))</f>
        <v>0</v>
      </c>
      <c r="F62" s="3" t="n">
        <f aca="false">IF(COUNTIFS(Tasks_TaskID,$A62,Tasks_Tier,F$49)=0,"",SUMIFS(Tasks_Cost,Tasks_TaskID,$A62,Tasks_Tier,F$49,Tasks_Type,"as-needed"))</f>
        <v>0</v>
      </c>
      <c r="G62" s="3" t="str">
        <f aca="false">IF(COUNTIFS(Tasks_TaskID,$A62,Tasks_Tier,G$49)=0,"",SUMIFS(Tasks_Cost,Tasks_TaskID,$A62,Tasks_Tier,G$49,Tasks_Type,"as-needed"))</f>
        <v/>
      </c>
      <c r="H62" s="3" t="str">
        <f aca="false">IF(COUNTIFS(Tasks_TaskID,$A62,Tasks_Tier,H$49)=0,"",SUMIFS(Tasks_Cost,Tasks_TaskID,$A62,Tasks_Tier,H$49,Tasks_Type,"as-needed"))</f>
        <v/>
      </c>
      <c r="I62" s="3" t="str">
        <f aca="false">IF(COUNTIFS(Tasks_TaskID,$A62,Tasks_Tier,I$49)=0,"",SUMIFS(Tasks_Cost,Tasks_TaskID,$A62,Tasks_Tier,I$49,Tasks_Type,"as-needed"))</f>
        <v/>
      </c>
      <c r="J62" s="3" t="str">
        <f aca="false">IF(COUNTIFS(Tasks_TaskID,$A62,Tasks_Tier,J$49)=0,"",SUMIFS(Tasks_Cost,Tasks_TaskID,$A62,Tasks_Tier,J$49,Tasks_Type,"as-needed"))</f>
        <v/>
      </c>
      <c r="K62" s="3" t="str">
        <f aca="false">IF(COUNTIFS(Tasks_TaskID,$A62,Tasks_Tier,K$49)=0,"",SUMIFS(Tasks_Cost,Tasks_TaskID,$A62,Tasks_Tier,K$49,Tasks_Type,"as-needed"))</f>
        <v/>
      </c>
      <c r="L62" s="3" t="str">
        <f aca="false">IF(COUNTIFS(Tasks_TaskID,$A62,Tasks_Tier,L$49)=0,"",SUMIFS(Tasks_Cost,Tasks_TaskID,$A62,Tasks_Tier,L$49,Tasks_Type,"as-needed"))</f>
        <v/>
      </c>
      <c r="M62" s="3" t="str">
        <f aca="false">IF(COUNTIFS(Tasks_TaskID,$A62,Tasks_Tier,M$49)=0,"",SUMIFS(Tasks_Cost,Tasks_TaskID,$A62,Tasks_Tier,M$49,Tasks_Type,"as-needed"))</f>
        <v/>
      </c>
    </row>
    <row r="63" customFormat="false" ht="15" hidden="false" customHeight="false" outlineLevel="0" collapsed="false">
      <c r="A63" s="0" t="s">
        <v>1185</v>
      </c>
      <c r="B63" s="0" t="s">
        <v>273</v>
      </c>
      <c r="C63" s="0" t="s">
        <v>1186</v>
      </c>
      <c r="D63" s="3" t="n">
        <f aca="false">IF(COUNTIFS(Tasks_TaskID,$A63,Tasks_Tier,D$49)=0,"",SUMIFS(Tasks_Cost,Tasks_TaskID,$A63,Tasks_Tier,D$49,Tasks_Type,"as-needed"))</f>
        <v>2113</v>
      </c>
      <c r="E63" s="3" t="n">
        <f aca="false">IF(COUNTIFS(Tasks_TaskID,$A63,Tasks_Tier,E$49)=0,"",SUMIFS(Tasks_Cost,Tasks_TaskID,$A63,Tasks_Tier,E$49,Tasks_Type,"as-needed"))</f>
        <v>2113</v>
      </c>
      <c r="F63" s="3" t="n">
        <f aca="false">IF(COUNTIFS(Tasks_TaskID,$A63,Tasks_Tier,F$49)=0,"",SUMIFS(Tasks_Cost,Tasks_TaskID,$A63,Tasks_Tier,F$49,Tasks_Type,"as-needed"))</f>
        <v>4291</v>
      </c>
      <c r="G63" s="3" t="str">
        <f aca="false">IF(COUNTIFS(Tasks_TaskID,$A63,Tasks_Tier,G$49)=0,"",SUMIFS(Tasks_Cost,Tasks_TaskID,$A63,Tasks_Tier,G$49,Tasks_Type,"as-needed"))</f>
        <v/>
      </c>
      <c r="H63" s="3" t="str">
        <f aca="false">IF(COUNTIFS(Tasks_TaskID,$A63,Tasks_Tier,H$49)=0,"",SUMIFS(Tasks_Cost,Tasks_TaskID,$A63,Tasks_Tier,H$49,Tasks_Type,"as-needed"))</f>
        <v/>
      </c>
      <c r="I63" s="3" t="str">
        <f aca="false">IF(COUNTIFS(Tasks_TaskID,$A63,Tasks_Tier,I$49)=0,"",SUMIFS(Tasks_Cost,Tasks_TaskID,$A63,Tasks_Tier,I$49,Tasks_Type,"as-needed"))</f>
        <v/>
      </c>
      <c r="J63" s="3" t="str">
        <f aca="false">IF(COUNTIFS(Tasks_TaskID,$A63,Tasks_Tier,J$49)=0,"",SUMIFS(Tasks_Cost,Tasks_TaskID,$A63,Tasks_Tier,J$49,Tasks_Type,"as-needed"))</f>
        <v/>
      </c>
      <c r="K63" s="3" t="str">
        <f aca="false">IF(COUNTIFS(Tasks_TaskID,$A63,Tasks_Tier,K$49)=0,"",SUMIFS(Tasks_Cost,Tasks_TaskID,$A63,Tasks_Tier,K$49,Tasks_Type,"as-needed"))</f>
        <v/>
      </c>
      <c r="L63" s="3" t="str">
        <f aca="false">IF(COUNTIFS(Tasks_TaskID,$A63,Tasks_Tier,L$49)=0,"",SUMIFS(Tasks_Cost,Tasks_TaskID,$A63,Tasks_Tier,L$49,Tasks_Type,"as-needed"))</f>
        <v/>
      </c>
      <c r="M63" s="3" t="str">
        <f aca="false">IF(COUNTIFS(Tasks_TaskID,$A63,Tasks_Tier,M$49)=0,"",SUMIFS(Tasks_Cost,Tasks_TaskID,$A63,Tasks_Tier,M$49,Tasks_Type,"as-needed"))</f>
        <v/>
      </c>
    </row>
    <row r="64" customFormat="false" ht="15" hidden="false" customHeight="false" outlineLevel="0" collapsed="false">
      <c r="A64" s="0" t="s">
        <v>1228</v>
      </c>
      <c r="B64" s="0" t="s">
        <v>273</v>
      </c>
      <c r="C64" s="0" t="s">
        <v>1229</v>
      </c>
      <c r="D64" s="3" t="n">
        <f aca="false">IF(COUNTIFS(Tasks_TaskID,$A64,Tasks_Tier,D$49)=0,"",SUMIFS(Tasks_Cost,Tasks_TaskID,$A64,Tasks_Tier,D$49,Tasks_Type,"as-needed"))</f>
        <v>297</v>
      </c>
      <c r="E64" s="3" t="n">
        <f aca="false">IF(COUNTIFS(Tasks_TaskID,$A64,Tasks_Tier,E$49)=0,"",SUMIFS(Tasks_Cost,Tasks_TaskID,$A64,Tasks_Tier,E$49,Tasks_Type,"as-needed"))</f>
        <v>554</v>
      </c>
      <c r="F64" s="3" t="n">
        <f aca="false">IF(COUNTIFS(Tasks_TaskID,$A64,Tasks_Tier,F$49)=0,"",SUMIFS(Tasks_Cost,Tasks_TaskID,$A64,Tasks_Tier,F$49,Tasks_Type,"as-needed"))</f>
        <v>570</v>
      </c>
      <c r="G64" s="3" t="str">
        <f aca="false">IF(COUNTIFS(Tasks_TaskID,$A64,Tasks_Tier,G$49)=0,"",SUMIFS(Tasks_Cost,Tasks_TaskID,$A64,Tasks_Tier,G$49,Tasks_Type,"as-needed"))</f>
        <v/>
      </c>
      <c r="H64" s="3" t="str">
        <f aca="false">IF(COUNTIFS(Tasks_TaskID,$A64,Tasks_Tier,H$49)=0,"",SUMIFS(Tasks_Cost,Tasks_TaskID,$A64,Tasks_Tier,H$49,Tasks_Type,"as-needed"))</f>
        <v/>
      </c>
      <c r="I64" s="3" t="str">
        <f aca="false">IF(COUNTIFS(Tasks_TaskID,$A64,Tasks_Tier,I$49)=0,"",SUMIFS(Tasks_Cost,Tasks_TaskID,$A64,Tasks_Tier,I$49,Tasks_Type,"as-needed"))</f>
        <v/>
      </c>
      <c r="J64" s="3" t="str">
        <f aca="false">IF(COUNTIFS(Tasks_TaskID,$A64,Tasks_Tier,J$49)=0,"",SUMIFS(Tasks_Cost,Tasks_TaskID,$A64,Tasks_Tier,J$49,Tasks_Type,"as-needed"))</f>
        <v/>
      </c>
      <c r="K64" s="3" t="str">
        <f aca="false">IF(COUNTIFS(Tasks_TaskID,$A64,Tasks_Tier,K$49)=0,"",SUMIFS(Tasks_Cost,Tasks_TaskID,$A64,Tasks_Tier,K$49,Tasks_Type,"as-needed"))</f>
        <v/>
      </c>
      <c r="L64" s="3" t="str">
        <f aca="false">IF(COUNTIFS(Tasks_TaskID,$A64,Tasks_Tier,L$49)=0,"",SUMIFS(Tasks_Cost,Tasks_TaskID,$A64,Tasks_Tier,L$49,Tasks_Type,"as-needed"))</f>
        <v/>
      </c>
      <c r="M64" s="3" t="str">
        <f aca="false">IF(COUNTIFS(Tasks_TaskID,$A64,Tasks_Tier,M$49)=0,"",SUMIFS(Tasks_Cost,Tasks_TaskID,$A64,Tasks_Tier,M$49,Tasks_Type,"as-needed"))</f>
        <v/>
      </c>
    </row>
    <row r="65" customFormat="false" ht="15" hidden="false" customHeight="false" outlineLevel="0" collapsed="false">
      <c r="A65" s="0" t="s">
        <v>1249</v>
      </c>
      <c r="B65" s="0" t="s">
        <v>273</v>
      </c>
      <c r="C65" s="0" t="s">
        <v>1250</v>
      </c>
      <c r="D65" s="3" t="n">
        <f aca="false">IF(COUNTIFS(Tasks_TaskID,$A65,Tasks_Tier,D$49)=0,"",SUMIFS(Tasks_Cost,Tasks_TaskID,$A65,Tasks_Tier,D$49,Tasks_Type,"as-needed"))</f>
        <v>420</v>
      </c>
      <c r="E65" s="3" t="n">
        <f aca="false">IF(COUNTIFS(Tasks_TaskID,$A65,Tasks_Tier,E$49)=0,"",SUMIFS(Tasks_Cost,Tasks_TaskID,$A65,Tasks_Tier,E$49,Tasks_Type,"as-needed"))</f>
        <v>420</v>
      </c>
      <c r="F65" s="3" t="n">
        <f aca="false">IF(COUNTIFS(Tasks_TaskID,$A65,Tasks_Tier,F$49)=0,"",SUMIFS(Tasks_Cost,Tasks_TaskID,$A65,Tasks_Tier,F$49,Tasks_Type,"as-needed"))</f>
        <v>420</v>
      </c>
      <c r="G65" s="3" t="str">
        <f aca="false">IF(COUNTIFS(Tasks_TaskID,$A65,Tasks_Tier,G$49)=0,"",SUMIFS(Tasks_Cost,Tasks_TaskID,$A65,Tasks_Tier,G$49,Tasks_Type,"as-needed"))</f>
        <v/>
      </c>
      <c r="H65" s="3" t="str">
        <f aca="false">IF(COUNTIFS(Tasks_TaskID,$A65,Tasks_Tier,H$49)=0,"",SUMIFS(Tasks_Cost,Tasks_TaskID,$A65,Tasks_Tier,H$49,Tasks_Type,"as-needed"))</f>
        <v/>
      </c>
      <c r="I65" s="3" t="str">
        <f aca="false">IF(COUNTIFS(Tasks_TaskID,$A65,Tasks_Tier,I$49)=0,"",SUMIFS(Tasks_Cost,Tasks_TaskID,$A65,Tasks_Tier,I$49,Tasks_Type,"as-needed"))</f>
        <v/>
      </c>
      <c r="J65" s="3" t="str">
        <f aca="false">IF(COUNTIFS(Tasks_TaskID,$A65,Tasks_Tier,J$49)=0,"",SUMIFS(Tasks_Cost,Tasks_TaskID,$A65,Tasks_Tier,J$49,Tasks_Type,"as-needed"))</f>
        <v/>
      </c>
      <c r="K65" s="3" t="str">
        <f aca="false">IF(COUNTIFS(Tasks_TaskID,$A65,Tasks_Tier,K$49)=0,"",SUMIFS(Tasks_Cost,Tasks_TaskID,$A65,Tasks_Tier,K$49,Tasks_Type,"as-needed"))</f>
        <v/>
      </c>
      <c r="L65" s="3" t="str">
        <f aca="false">IF(COUNTIFS(Tasks_TaskID,$A65,Tasks_Tier,L$49)=0,"",SUMIFS(Tasks_Cost,Tasks_TaskID,$A65,Tasks_Tier,L$49,Tasks_Type,"as-needed"))</f>
        <v/>
      </c>
      <c r="M65" s="3" t="str">
        <f aca="false">IF(COUNTIFS(Tasks_TaskID,$A65,Tasks_Tier,M$49)=0,"",SUMIFS(Tasks_Cost,Tasks_TaskID,$A65,Tasks_Tier,M$49,Tasks_Type,"as-needed"))</f>
        <v/>
      </c>
    </row>
    <row r="66" customFormat="false" ht="15" hidden="false" customHeight="false" outlineLevel="0" collapsed="false">
      <c r="A66" s="0" t="s">
        <v>1267</v>
      </c>
      <c r="B66" s="0" t="s">
        <v>397</v>
      </c>
      <c r="C66" s="0" t="s">
        <v>1268</v>
      </c>
      <c r="D66" s="3" t="n">
        <f aca="false">IF(COUNTIFS(Tasks_TaskID,$A66,Tasks_Tier,D$49)=0,"",SUMIFS(Tasks_Cost,Tasks_TaskID,$A66,Tasks_Tier,D$49,Tasks_Type,"as-needed"))</f>
        <v>0</v>
      </c>
      <c r="E66" s="3" t="n">
        <f aca="false">IF(COUNTIFS(Tasks_TaskID,$A66,Tasks_Tier,E$49)=0,"",SUMIFS(Tasks_Cost,Tasks_TaskID,$A66,Tasks_Tier,E$49,Tasks_Type,"as-needed"))</f>
        <v>0</v>
      </c>
      <c r="F66" s="3" t="n">
        <f aca="false">IF(COUNTIFS(Tasks_TaskID,$A66,Tasks_Tier,F$49)=0,"",SUMIFS(Tasks_Cost,Tasks_TaskID,$A66,Tasks_Tier,F$49,Tasks_Type,"as-needed"))</f>
        <v>0</v>
      </c>
      <c r="G66" s="3" t="str">
        <f aca="false">IF(COUNTIFS(Tasks_TaskID,$A66,Tasks_Tier,G$49)=0,"",SUMIFS(Tasks_Cost,Tasks_TaskID,$A66,Tasks_Tier,G$49,Tasks_Type,"as-needed"))</f>
        <v/>
      </c>
      <c r="H66" s="3" t="str">
        <f aca="false">IF(COUNTIFS(Tasks_TaskID,$A66,Tasks_Tier,H$49)=0,"",SUMIFS(Tasks_Cost,Tasks_TaskID,$A66,Tasks_Tier,H$49,Tasks_Type,"as-needed"))</f>
        <v/>
      </c>
      <c r="I66" s="3" t="str">
        <f aca="false">IF(COUNTIFS(Tasks_TaskID,$A66,Tasks_Tier,I$49)=0,"",SUMIFS(Tasks_Cost,Tasks_TaskID,$A66,Tasks_Tier,I$49,Tasks_Type,"as-needed"))</f>
        <v/>
      </c>
      <c r="J66" s="3" t="str">
        <f aca="false">IF(COUNTIFS(Tasks_TaskID,$A66,Tasks_Tier,J$49)=0,"",SUMIFS(Tasks_Cost,Tasks_TaskID,$A66,Tasks_Tier,J$49,Tasks_Type,"as-needed"))</f>
        <v/>
      </c>
      <c r="K66" s="3" t="str">
        <f aca="false">IF(COUNTIFS(Tasks_TaskID,$A66,Tasks_Tier,K$49)=0,"",SUMIFS(Tasks_Cost,Tasks_TaskID,$A66,Tasks_Tier,K$49,Tasks_Type,"as-needed"))</f>
        <v/>
      </c>
      <c r="L66" s="3" t="str">
        <f aca="false">IF(COUNTIFS(Tasks_TaskID,$A66,Tasks_Tier,L$49)=0,"",SUMIFS(Tasks_Cost,Tasks_TaskID,$A66,Tasks_Tier,L$49,Tasks_Type,"as-needed"))</f>
        <v/>
      </c>
      <c r="M66" s="3" t="str">
        <f aca="false">IF(COUNTIFS(Tasks_TaskID,$A66,Tasks_Tier,M$49)=0,"",SUMIFS(Tasks_Cost,Tasks_TaskID,$A66,Tasks_Tier,M$49,Tasks_Type,"as-needed"))</f>
        <v/>
      </c>
    </row>
    <row r="67" customFormat="false" ht="15" hidden="false" customHeight="false" outlineLevel="0" collapsed="false">
      <c r="A67" s="0" t="s">
        <v>1284</v>
      </c>
      <c r="B67" s="0" t="s">
        <v>397</v>
      </c>
      <c r="C67" s="0" t="s">
        <v>1285</v>
      </c>
      <c r="D67" s="3" t="n">
        <f aca="false">IF(COUNTIFS(Tasks_TaskID,$A67,Tasks_Tier,D$49)=0,"",SUMIFS(Tasks_Cost,Tasks_TaskID,$A67,Tasks_Tier,D$49,Tasks_Type,"as-needed"))</f>
        <v>0</v>
      </c>
      <c r="E67" s="3" t="n">
        <f aca="false">IF(COUNTIFS(Tasks_TaskID,$A67,Tasks_Tier,E$49)=0,"",SUMIFS(Tasks_Cost,Tasks_TaskID,$A67,Tasks_Tier,E$49,Tasks_Type,"as-needed"))</f>
        <v>0</v>
      </c>
      <c r="F67" s="3" t="n">
        <f aca="false">IF(COUNTIFS(Tasks_TaskID,$A67,Tasks_Tier,F$49)=0,"",SUMIFS(Tasks_Cost,Tasks_TaskID,$A67,Tasks_Tier,F$49,Tasks_Type,"as-needed"))</f>
        <v>0</v>
      </c>
      <c r="G67" s="3" t="str">
        <f aca="false">IF(COUNTIFS(Tasks_TaskID,$A67,Tasks_Tier,G$49)=0,"",SUMIFS(Tasks_Cost,Tasks_TaskID,$A67,Tasks_Tier,G$49,Tasks_Type,"as-needed"))</f>
        <v/>
      </c>
      <c r="H67" s="3" t="str">
        <f aca="false">IF(COUNTIFS(Tasks_TaskID,$A67,Tasks_Tier,H$49)=0,"",SUMIFS(Tasks_Cost,Tasks_TaskID,$A67,Tasks_Tier,H$49,Tasks_Type,"as-needed"))</f>
        <v/>
      </c>
      <c r="I67" s="3" t="str">
        <f aca="false">IF(COUNTIFS(Tasks_TaskID,$A67,Tasks_Tier,I$49)=0,"",SUMIFS(Tasks_Cost,Tasks_TaskID,$A67,Tasks_Tier,I$49,Tasks_Type,"as-needed"))</f>
        <v/>
      </c>
      <c r="J67" s="3" t="str">
        <f aca="false">IF(COUNTIFS(Tasks_TaskID,$A67,Tasks_Tier,J$49)=0,"",SUMIFS(Tasks_Cost,Tasks_TaskID,$A67,Tasks_Tier,J$49,Tasks_Type,"as-needed"))</f>
        <v/>
      </c>
      <c r="K67" s="3" t="str">
        <f aca="false">IF(COUNTIFS(Tasks_TaskID,$A67,Tasks_Tier,K$49)=0,"",SUMIFS(Tasks_Cost,Tasks_TaskID,$A67,Tasks_Tier,K$49,Tasks_Type,"as-needed"))</f>
        <v/>
      </c>
      <c r="L67" s="3" t="str">
        <f aca="false">IF(COUNTIFS(Tasks_TaskID,$A67,Tasks_Tier,L$49)=0,"",SUMIFS(Tasks_Cost,Tasks_TaskID,$A67,Tasks_Tier,L$49,Tasks_Type,"as-needed"))</f>
        <v/>
      </c>
      <c r="M67" s="3" t="str">
        <f aca="false">IF(COUNTIFS(Tasks_TaskID,$A67,Tasks_Tier,M$49)=0,"",SUMIFS(Tasks_Cost,Tasks_TaskID,$A67,Tasks_Tier,M$49,Tasks_Type,"as-needed"))</f>
        <v/>
      </c>
    </row>
    <row r="68" customFormat="false" ht="15" hidden="false" customHeight="false" outlineLevel="0" collapsed="false">
      <c r="A68" s="0" t="s">
        <v>1291</v>
      </c>
      <c r="B68" s="0" t="s">
        <v>397</v>
      </c>
      <c r="C68" s="0" t="s">
        <v>1292</v>
      </c>
      <c r="D68" s="3" t="n">
        <f aca="false">IF(COUNTIFS(Tasks_TaskID,$A68,Tasks_Tier,D$49)=0,"",SUMIFS(Tasks_Cost,Tasks_TaskID,$A68,Tasks_Tier,D$49,Tasks_Type,"as-needed"))</f>
        <v>573</v>
      </c>
      <c r="E68" s="3" t="n">
        <f aca="false">IF(COUNTIFS(Tasks_TaskID,$A68,Tasks_Tier,E$49)=0,"",SUMIFS(Tasks_Cost,Tasks_TaskID,$A68,Tasks_Tier,E$49,Tasks_Type,"as-needed"))</f>
        <v>573</v>
      </c>
      <c r="F68" s="3" t="n">
        <f aca="false">IF(COUNTIFS(Tasks_TaskID,$A68,Tasks_Tier,F$49)=0,"",SUMIFS(Tasks_Cost,Tasks_TaskID,$A68,Tasks_Tier,F$49,Tasks_Type,"as-needed"))</f>
        <v>573</v>
      </c>
      <c r="G68" s="3" t="str">
        <f aca="false">IF(COUNTIFS(Tasks_TaskID,$A68,Tasks_Tier,G$49)=0,"",SUMIFS(Tasks_Cost,Tasks_TaskID,$A68,Tasks_Tier,G$49,Tasks_Type,"as-needed"))</f>
        <v/>
      </c>
      <c r="H68" s="3" t="str">
        <f aca="false">IF(COUNTIFS(Tasks_TaskID,$A68,Tasks_Tier,H$49)=0,"",SUMIFS(Tasks_Cost,Tasks_TaskID,$A68,Tasks_Tier,H$49,Tasks_Type,"as-needed"))</f>
        <v/>
      </c>
      <c r="I68" s="3" t="str">
        <f aca="false">IF(COUNTIFS(Tasks_TaskID,$A68,Tasks_Tier,I$49)=0,"",SUMIFS(Tasks_Cost,Tasks_TaskID,$A68,Tasks_Tier,I$49,Tasks_Type,"as-needed"))</f>
        <v/>
      </c>
      <c r="J68" s="3" t="str">
        <f aca="false">IF(COUNTIFS(Tasks_TaskID,$A68,Tasks_Tier,J$49)=0,"",SUMIFS(Tasks_Cost,Tasks_TaskID,$A68,Tasks_Tier,J$49,Tasks_Type,"as-needed"))</f>
        <v/>
      </c>
      <c r="K68" s="3" t="str">
        <f aca="false">IF(COUNTIFS(Tasks_TaskID,$A68,Tasks_Tier,K$49)=0,"",SUMIFS(Tasks_Cost,Tasks_TaskID,$A68,Tasks_Tier,K$49,Tasks_Type,"as-needed"))</f>
        <v/>
      </c>
      <c r="L68" s="3" t="str">
        <f aca="false">IF(COUNTIFS(Tasks_TaskID,$A68,Tasks_Tier,L$49)=0,"",SUMIFS(Tasks_Cost,Tasks_TaskID,$A68,Tasks_Tier,L$49,Tasks_Type,"as-needed"))</f>
        <v/>
      </c>
      <c r="M68" s="3" t="str">
        <f aca="false">IF(COUNTIFS(Tasks_TaskID,$A68,Tasks_Tier,M$49)=0,"",SUMIFS(Tasks_Cost,Tasks_TaskID,$A68,Tasks_Tier,M$49,Tasks_Type,"as-needed"))</f>
        <v/>
      </c>
    </row>
    <row r="69" customFormat="false" ht="15" hidden="false" customHeight="false" outlineLevel="0" collapsed="false">
      <c r="A69" s="0" t="s">
        <v>1318</v>
      </c>
      <c r="B69" s="0" t="s">
        <v>496</v>
      </c>
      <c r="C69" s="0" t="s">
        <v>1319</v>
      </c>
      <c r="D69" s="3" t="n">
        <f aca="false">IF(COUNTIFS(Tasks_TaskID,$A69,Tasks_Tier,D$49)=0,"",SUMIFS(Tasks_Cost,Tasks_TaskID,$A69,Tasks_Tier,D$49,Tasks_Type,"as-needed"))</f>
        <v>0</v>
      </c>
      <c r="E69" s="3" t="n">
        <f aca="false">IF(COUNTIFS(Tasks_TaskID,$A69,Tasks_Tier,E$49)=0,"",SUMIFS(Tasks_Cost,Tasks_TaskID,$A69,Tasks_Tier,E$49,Tasks_Type,"as-needed"))</f>
        <v>0</v>
      </c>
      <c r="F69" s="3" t="n">
        <f aca="false">IF(COUNTIFS(Tasks_TaskID,$A69,Tasks_Tier,F$49)=0,"",SUMIFS(Tasks_Cost,Tasks_TaskID,$A69,Tasks_Tier,F$49,Tasks_Type,"as-needed"))</f>
        <v>0</v>
      </c>
      <c r="G69" s="3" t="str">
        <f aca="false">IF(COUNTIFS(Tasks_TaskID,$A69,Tasks_Tier,G$49)=0,"",SUMIFS(Tasks_Cost,Tasks_TaskID,$A69,Tasks_Tier,G$49,Tasks_Type,"as-needed"))</f>
        <v/>
      </c>
      <c r="H69" s="3" t="str">
        <f aca="false">IF(COUNTIFS(Tasks_TaskID,$A69,Tasks_Tier,H$49)=0,"",SUMIFS(Tasks_Cost,Tasks_TaskID,$A69,Tasks_Tier,H$49,Tasks_Type,"as-needed"))</f>
        <v/>
      </c>
      <c r="I69" s="3" t="str">
        <f aca="false">IF(COUNTIFS(Tasks_TaskID,$A69,Tasks_Tier,I$49)=0,"",SUMIFS(Tasks_Cost,Tasks_TaskID,$A69,Tasks_Tier,I$49,Tasks_Type,"as-needed"))</f>
        <v/>
      </c>
      <c r="J69" s="3" t="str">
        <f aca="false">IF(COUNTIFS(Tasks_TaskID,$A69,Tasks_Tier,J$49)=0,"",SUMIFS(Tasks_Cost,Tasks_TaskID,$A69,Tasks_Tier,J$49,Tasks_Type,"as-needed"))</f>
        <v/>
      </c>
      <c r="K69" s="3" t="str">
        <f aca="false">IF(COUNTIFS(Tasks_TaskID,$A69,Tasks_Tier,K$49)=0,"",SUMIFS(Tasks_Cost,Tasks_TaskID,$A69,Tasks_Tier,K$49,Tasks_Type,"as-needed"))</f>
        <v/>
      </c>
      <c r="L69" s="3" t="str">
        <f aca="false">IF(COUNTIFS(Tasks_TaskID,$A69,Tasks_Tier,L$49)=0,"",SUMIFS(Tasks_Cost,Tasks_TaskID,$A69,Tasks_Tier,L$49,Tasks_Type,"as-needed"))</f>
        <v/>
      </c>
      <c r="M69" s="3" t="str">
        <f aca="false">IF(COUNTIFS(Tasks_TaskID,$A69,Tasks_Tier,M$49)=0,"",SUMIFS(Tasks_Cost,Tasks_TaskID,$A69,Tasks_Tier,M$49,Tasks_Type,"as-needed"))</f>
        <v/>
      </c>
    </row>
    <row r="70" customFormat="false" ht="15" hidden="false" customHeight="false" outlineLevel="0" collapsed="false">
      <c r="A70" s="0" t="s">
        <v>1334</v>
      </c>
      <c r="B70" s="0" t="s">
        <v>496</v>
      </c>
      <c r="C70" s="0" t="s">
        <v>1335</v>
      </c>
      <c r="D70" s="3" t="n">
        <f aca="false">IF(COUNTIFS(Tasks_TaskID,$A70,Tasks_Tier,D$49)=0,"",SUMIFS(Tasks_Cost,Tasks_TaskID,$A70,Tasks_Tier,D$49,Tasks_Type,"as-needed"))</f>
        <v>0</v>
      </c>
      <c r="E70" s="3" t="n">
        <f aca="false">IF(COUNTIFS(Tasks_TaskID,$A70,Tasks_Tier,E$49)=0,"",SUMIFS(Tasks_Cost,Tasks_TaskID,$A70,Tasks_Tier,E$49,Tasks_Type,"as-needed"))</f>
        <v>0</v>
      </c>
      <c r="F70" s="3" t="n">
        <f aca="false">IF(COUNTIFS(Tasks_TaskID,$A70,Tasks_Tier,F$49)=0,"",SUMIFS(Tasks_Cost,Tasks_TaskID,$A70,Tasks_Tier,F$49,Tasks_Type,"as-needed"))</f>
        <v>0</v>
      </c>
      <c r="G70" s="3" t="str">
        <f aca="false">IF(COUNTIFS(Tasks_TaskID,$A70,Tasks_Tier,G$49)=0,"",SUMIFS(Tasks_Cost,Tasks_TaskID,$A70,Tasks_Tier,G$49,Tasks_Type,"as-needed"))</f>
        <v/>
      </c>
      <c r="H70" s="3" t="str">
        <f aca="false">IF(COUNTIFS(Tasks_TaskID,$A70,Tasks_Tier,H$49)=0,"",SUMIFS(Tasks_Cost,Tasks_TaskID,$A70,Tasks_Tier,H$49,Tasks_Type,"as-needed"))</f>
        <v/>
      </c>
      <c r="I70" s="3" t="str">
        <f aca="false">IF(COUNTIFS(Tasks_TaskID,$A70,Tasks_Tier,I$49)=0,"",SUMIFS(Tasks_Cost,Tasks_TaskID,$A70,Tasks_Tier,I$49,Tasks_Type,"as-needed"))</f>
        <v/>
      </c>
      <c r="J70" s="3" t="str">
        <f aca="false">IF(COUNTIFS(Tasks_TaskID,$A70,Tasks_Tier,J$49)=0,"",SUMIFS(Tasks_Cost,Tasks_TaskID,$A70,Tasks_Tier,J$49,Tasks_Type,"as-needed"))</f>
        <v/>
      </c>
      <c r="K70" s="3" t="str">
        <f aca="false">IF(COUNTIFS(Tasks_TaskID,$A70,Tasks_Tier,K$49)=0,"",SUMIFS(Tasks_Cost,Tasks_TaskID,$A70,Tasks_Tier,K$49,Tasks_Type,"as-needed"))</f>
        <v/>
      </c>
      <c r="L70" s="3" t="str">
        <f aca="false">IF(COUNTIFS(Tasks_TaskID,$A70,Tasks_Tier,L$49)=0,"",SUMIFS(Tasks_Cost,Tasks_TaskID,$A70,Tasks_Tier,L$49,Tasks_Type,"as-needed"))</f>
        <v/>
      </c>
      <c r="M70" s="3" t="str">
        <f aca="false">IF(COUNTIFS(Tasks_TaskID,$A70,Tasks_Tier,M$49)=0,"",SUMIFS(Tasks_Cost,Tasks_TaskID,$A70,Tasks_Tier,M$49,Tasks_Type,"as-needed"))</f>
        <v/>
      </c>
    </row>
    <row r="71" customFormat="false" ht="15" hidden="false" customHeight="false" outlineLevel="0" collapsed="false">
      <c r="A71" s="0" t="s">
        <v>1365</v>
      </c>
      <c r="B71" s="0" t="s">
        <v>496</v>
      </c>
      <c r="C71" s="0" t="s">
        <v>1366</v>
      </c>
      <c r="D71" s="3" t="n">
        <f aca="false">IF(COUNTIFS(Tasks_TaskID,$A71,Tasks_Tier,D$49)=0,"",SUMIFS(Tasks_Cost,Tasks_TaskID,$A71,Tasks_Tier,D$49,Tasks_Type,"as-needed"))</f>
        <v>0</v>
      </c>
      <c r="E71" s="3" t="n">
        <f aca="false">IF(COUNTIFS(Tasks_TaskID,$A71,Tasks_Tier,E$49)=0,"",SUMIFS(Tasks_Cost,Tasks_TaskID,$A71,Tasks_Tier,E$49,Tasks_Type,"as-needed"))</f>
        <v>0</v>
      </c>
      <c r="F71" s="3" t="n">
        <f aca="false">IF(COUNTIFS(Tasks_TaskID,$A71,Tasks_Tier,F$49)=0,"",SUMIFS(Tasks_Cost,Tasks_TaskID,$A71,Tasks_Tier,F$49,Tasks_Type,"as-needed"))</f>
        <v>0</v>
      </c>
      <c r="G71" s="3" t="str">
        <f aca="false">IF(COUNTIFS(Tasks_TaskID,$A71,Tasks_Tier,G$49)=0,"",SUMIFS(Tasks_Cost,Tasks_TaskID,$A71,Tasks_Tier,G$49,Tasks_Type,"as-needed"))</f>
        <v/>
      </c>
      <c r="H71" s="3" t="str">
        <f aca="false">IF(COUNTIFS(Tasks_TaskID,$A71,Tasks_Tier,H$49)=0,"",SUMIFS(Tasks_Cost,Tasks_TaskID,$A71,Tasks_Tier,H$49,Tasks_Type,"as-needed"))</f>
        <v/>
      </c>
      <c r="I71" s="3" t="str">
        <f aca="false">IF(COUNTIFS(Tasks_TaskID,$A71,Tasks_Tier,I$49)=0,"",SUMIFS(Tasks_Cost,Tasks_TaskID,$A71,Tasks_Tier,I$49,Tasks_Type,"as-needed"))</f>
        <v/>
      </c>
      <c r="J71" s="3" t="str">
        <f aca="false">IF(COUNTIFS(Tasks_TaskID,$A71,Tasks_Tier,J$49)=0,"",SUMIFS(Tasks_Cost,Tasks_TaskID,$A71,Tasks_Tier,J$49,Tasks_Type,"as-needed"))</f>
        <v/>
      </c>
      <c r="K71" s="3" t="str">
        <f aca="false">IF(COUNTIFS(Tasks_TaskID,$A71,Tasks_Tier,K$49)=0,"",SUMIFS(Tasks_Cost,Tasks_TaskID,$A71,Tasks_Tier,K$49,Tasks_Type,"as-needed"))</f>
        <v/>
      </c>
      <c r="L71" s="3" t="str">
        <f aca="false">IF(COUNTIFS(Tasks_TaskID,$A71,Tasks_Tier,L$49)=0,"",SUMIFS(Tasks_Cost,Tasks_TaskID,$A71,Tasks_Tier,L$49,Tasks_Type,"as-needed"))</f>
        <v/>
      </c>
      <c r="M71" s="3" t="str">
        <f aca="false">IF(COUNTIFS(Tasks_TaskID,$A71,Tasks_Tier,M$49)=0,"",SUMIFS(Tasks_Cost,Tasks_TaskID,$A71,Tasks_Tier,M$49,Tasks_Type,"as-needed"))</f>
        <v/>
      </c>
    </row>
    <row r="72" customFormat="false" ht="15" hidden="false" customHeight="false" outlineLevel="0" collapsed="false">
      <c r="A72" s="0" t="s">
        <v>1372</v>
      </c>
      <c r="B72" s="0" t="s">
        <v>590</v>
      </c>
      <c r="C72" s="0" t="s">
        <v>1373</v>
      </c>
      <c r="D72" s="3" t="n">
        <f aca="false">IF(COUNTIFS(Tasks_TaskID,$A72,Tasks_Tier,D$49)=0,"",SUMIFS(Tasks_Cost,Tasks_TaskID,$A72,Tasks_Tier,D$49,Tasks_Type,"as-needed"))</f>
        <v>37</v>
      </c>
      <c r="E72" s="3" t="n">
        <f aca="false">IF(COUNTIFS(Tasks_TaskID,$A72,Tasks_Tier,E$49)=0,"",SUMIFS(Tasks_Cost,Tasks_TaskID,$A72,Tasks_Tier,E$49,Tasks_Type,"as-needed"))</f>
        <v>37</v>
      </c>
      <c r="F72" s="3" t="n">
        <f aca="false">IF(COUNTIFS(Tasks_TaskID,$A72,Tasks_Tier,F$49)=0,"",SUMIFS(Tasks_Cost,Tasks_TaskID,$A72,Tasks_Tier,F$49,Tasks_Type,"as-needed"))</f>
        <v>37</v>
      </c>
      <c r="G72" s="3" t="str">
        <f aca="false">IF(COUNTIFS(Tasks_TaskID,$A72,Tasks_Tier,G$49)=0,"",SUMIFS(Tasks_Cost,Tasks_TaskID,$A72,Tasks_Tier,G$49,Tasks_Type,"as-needed"))</f>
        <v/>
      </c>
      <c r="H72" s="3" t="str">
        <f aca="false">IF(COUNTIFS(Tasks_TaskID,$A72,Tasks_Tier,H$49)=0,"",SUMIFS(Tasks_Cost,Tasks_TaskID,$A72,Tasks_Tier,H$49,Tasks_Type,"as-needed"))</f>
        <v/>
      </c>
      <c r="I72" s="3" t="str">
        <f aca="false">IF(COUNTIFS(Tasks_TaskID,$A72,Tasks_Tier,I$49)=0,"",SUMIFS(Tasks_Cost,Tasks_TaskID,$A72,Tasks_Tier,I$49,Tasks_Type,"as-needed"))</f>
        <v/>
      </c>
      <c r="J72" s="3" t="str">
        <f aca="false">IF(COUNTIFS(Tasks_TaskID,$A72,Tasks_Tier,J$49)=0,"",SUMIFS(Tasks_Cost,Tasks_TaskID,$A72,Tasks_Tier,J$49,Tasks_Type,"as-needed"))</f>
        <v/>
      </c>
      <c r="K72" s="3" t="str">
        <f aca="false">IF(COUNTIFS(Tasks_TaskID,$A72,Tasks_Tier,K$49)=0,"",SUMIFS(Tasks_Cost,Tasks_TaskID,$A72,Tasks_Tier,K$49,Tasks_Type,"as-needed"))</f>
        <v/>
      </c>
      <c r="L72" s="3" t="str">
        <f aca="false">IF(COUNTIFS(Tasks_TaskID,$A72,Tasks_Tier,L$49)=0,"",SUMIFS(Tasks_Cost,Tasks_TaskID,$A72,Tasks_Tier,L$49,Tasks_Type,"as-needed"))</f>
        <v/>
      </c>
      <c r="M72" s="3" t="str">
        <f aca="false">IF(COUNTIFS(Tasks_TaskID,$A72,Tasks_Tier,M$49)=0,"",SUMIFS(Tasks_Cost,Tasks_TaskID,$A72,Tasks_Tier,M$49,Tasks_Type,"as-needed"))</f>
        <v/>
      </c>
    </row>
    <row r="73" customFormat="false" ht="15" hidden="false" customHeight="false" outlineLevel="0" collapsed="false">
      <c r="A73" s="0" t="s">
        <v>1386</v>
      </c>
      <c r="B73" s="0" t="s">
        <v>618</v>
      </c>
      <c r="C73" s="0" t="s">
        <v>1387</v>
      </c>
      <c r="D73" s="3" t="n">
        <f aca="false">IF(COUNTIFS(Tasks_TaskID,$A73,Tasks_Tier,D$49)=0,"",SUMIFS(Tasks_Cost,Tasks_TaskID,$A73,Tasks_Tier,D$49,Tasks_Type,"as-needed"))</f>
        <v>0</v>
      </c>
      <c r="E73" s="3" t="n">
        <f aca="false">IF(COUNTIFS(Tasks_TaskID,$A73,Tasks_Tier,E$49)=0,"",SUMIFS(Tasks_Cost,Tasks_TaskID,$A73,Tasks_Tier,E$49,Tasks_Type,"as-needed"))</f>
        <v>0</v>
      </c>
      <c r="F73" s="3" t="n">
        <f aca="false">IF(COUNTIFS(Tasks_TaskID,$A73,Tasks_Tier,F$49)=0,"",SUMIFS(Tasks_Cost,Tasks_TaskID,$A73,Tasks_Tier,F$49,Tasks_Type,"as-needed"))</f>
        <v>0</v>
      </c>
      <c r="G73" s="3" t="str">
        <f aca="false">IF(COUNTIFS(Tasks_TaskID,$A73,Tasks_Tier,G$49)=0,"",SUMIFS(Tasks_Cost,Tasks_TaskID,$A73,Tasks_Tier,G$49,Tasks_Type,"as-needed"))</f>
        <v/>
      </c>
      <c r="H73" s="3" t="str">
        <f aca="false">IF(COUNTIFS(Tasks_TaskID,$A73,Tasks_Tier,H$49)=0,"",SUMIFS(Tasks_Cost,Tasks_TaskID,$A73,Tasks_Tier,H$49,Tasks_Type,"as-needed"))</f>
        <v/>
      </c>
      <c r="I73" s="3" t="str">
        <f aca="false">IF(COUNTIFS(Tasks_TaskID,$A73,Tasks_Tier,I$49)=0,"",SUMIFS(Tasks_Cost,Tasks_TaskID,$A73,Tasks_Tier,I$49,Tasks_Type,"as-needed"))</f>
        <v/>
      </c>
      <c r="J73" s="3" t="str">
        <f aca="false">IF(COUNTIFS(Tasks_TaskID,$A73,Tasks_Tier,J$49)=0,"",SUMIFS(Tasks_Cost,Tasks_TaskID,$A73,Tasks_Tier,J$49,Tasks_Type,"as-needed"))</f>
        <v/>
      </c>
      <c r="K73" s="3" t="str">
        <f aca="false">IF(COUNTIFS(Tasks_TaskID,$A73,Tasks_Tier,K$49)=0,"",SUMIFS(Tasks_Cost,Tasks_TaskID,$A73,Tasks_Tier,K$49,Tasks_Type,"as-needed"))</f>
        <v/>
      </c>
      <c r="L73" s="3" t="str">
        <f aca="false">IF(COUNTIFS(Tasks_TaskID,$A73,Tasks_Tier,L$49)=0,"",SUMIFS(Tasks_Cost,Tasks_TaskID,$A73,Tasks_Tier,L$49,Tasks_Type,"as-needed"))</f>
        <v/>
      </c>
      <c r="M73" s="3" t="str">
        <f aca="false">IF(COUNTIFS(Tasks_TaskID,$A73,Tasks_Tier,M$49)=0,"",SUMIFS(Tasks_Cost,Tasks_TaskID,$A73,Tasks_Tier,M$49,Tasks_Type,"as-needed"))</f>
        <v/>
      </c>
    </row>
    <row r="74" customFormat="false" ht="15" hidden="false" customHeight="false" outlineLevel="0" collapsed="false">
      <c r="A74" s="0" t="s">
        <v>1396</v>
      </c>
      <c r="B74" s="0" t="s">
        <v>618</v>
      </c>
      <c r="C74" s="0" t="s">
        <v>1397</v>
      </c>
      <c r="D74" s="3" t="n">
        <f aca="false">IF(COUNTIFS(Tasks_TaskID,$A74,Tasks_Tier,D$49)=0,"",SUMIFS(Tasks_Cost,Tasks_TaskID,$A74,Tasks_Tier,D$49,Tasks_Type,"as-needed"))</f>
        <v>0</v>
      </c>
      <c r="E74" s="3" t="n">
        <f aca="false">IF(COUNTIFS(Tasks_TaskID,$A74,Tasks_Tier,E$49)=0,"",SUMIFS(Tasks_Cost,Tasks_TaskID,$A74,Tasks_Tier,E$49,Tasks_Type,"as-needed"))</f>
        <v>0</v>
      </c>
      <c r="F74" s="3" t="n">
        <f aca="false">IF(COUNTIFS(Tasks_TaskID,$A74,Tasks_Tier,F$49)=0,"",SUMIFS(Tasks_Cost,Tasks_TaskID,$A74,Tasks_Tier,F$49,Tasks_Type,"as-needed"))</f>
        <v>0</v>
      </c>
      <c r="G74" s="3" t="str">
        <f aca="false">IF(COUNTIFS(Tasks_TaskID,$A74,Tasks_Tier,G$49)=0,"",SUMIFS(Tasks_Cost,Tasks_TaskID,$A74,Tasks_Tier,G$49,Tasks_Type,"as-needed"))</f>
        <v/>
      </c>
      <c r="H74" s="3" t="str">
        <f aca="false">IF(COUNTIFS(Tasks_TaskID,$A74,Tasks_Tier,H$49)=0,"",SUMIFS(Tasks_Cost,Tasks_TaskID,$A74,Tasks_Tier,H$49,Tasks_Type,"as-needed"))</f>
        <v/>
      </c>
      <c r="I74" s="3" t="str">
        <f aca="false">IF(COUNTIFS(Tasks_TaskID,$A74,Tasks_Tier,I$49)=0,"",SUMIFS(Tasks_Cost,Tasks_TaskID,$A74,Tasks_Tier,I$49,Tasks_Type,"as-needed"))</f>
        <v/>
      </c>
      <c r="J74" s="3" t="str">
        <f aca="false">IF(COUNTIFS(Tasks_TaskID,$A74,Tasks_Tier,J$49)=0,"",SUMIFS(Tasks_Cost,Tasks_TaskID,$A74,Tasks_Tier,J$49,Tasks_Type,"as-needed"))</f>
        <v/>
      </c>
      <c r="K74" s="3" t="str">
        <f aca="false">IF(COUNTIFS(Tasks_TaskID,$A74,Tasks_Tier,K$49)=0,"",SUMIFS(Tasks_Cost,Tasks_TaskID,$A74,Tasks_Tier,K$49,Tasks_Type,"as-needed"))</f>
        <v/>
      </c>
      <c r="L74" s="3" t="str">
        <f aca="false">IF(COUNTIFS(Tasks_TaskID,$A74,Tasks_Tier,L$49)=0,"",SUMIFS(Tasks_Cost,Tasks_TaskID,$A74,Tasks_Tier,L$49,Tasks_Type,"as-needed"))</f>
        <v/>
      </c>
      <c r="M74" s="3" t="str">
        <f aca="false">IF(COUNTIFS(Tasks_TaskID,$A74,Tasks_Tier,M$49)=0,"",SUMIFS(Tasks_Cost,Tasks_TaskID,$A74,Tasks_Tier,M$49,Tasks_Type,"as-needed"))</f>
        <v/>
      </c>
    </row>
    <row r="75" customFormat="false" ht="15" hidden="false" customHeight="false" outlineLevel="0" collapsed="false">
      <c r="A75" s="0" t="s">
        <v>1415</v>
      </c>
      <c r="B75" s="0" t="s">
        <v>646</v>
      </c>
      <c r="C75" s="0" t="s">
        <v>1416</v>
      </c>
      <c r="D75" s="3" t="n">
        <f aca="false">IF(COUNTIFS(Tasks_TaskID,$A75,Tasks_Tier,D$49)=0,"",SUMIFS(Tasks_Cost,Tasks_TaskID,$A75,Tasks_Tier,D$49,Tasks_Type,"as-needed"))</f>
        <v>0</v>
      </c>
      <c r="E75" s="3" t="n">
        <f aca="false">IF(COUNTIFS(Tasks_TaskID,$A75,Tasks_Tier,E$49)=0,"",SUMIFS(Tasks_Cost,Tasks_TaskID,$A75,Tasks_Tier,E$49,Tasks_Type,"as-needed"))</f>
        <v>0</v>
      </c>
      <c r="F75" s="3" t="n">
        <f aca="false">IF(COUNTIFS(Tasks_TaskID,$A75,Tasks_Tier,F$49)=0,"",SUMIFS(Tasks_Cost,Tasks_TaskID,$A75,Tasks_Tier,F$49,Tasks_Type,"as-needed"))</f>
        <v>0</v>
      </c>
      <c r="G75" s="3" t="str">
        <f aca="false">IF(COUNTIFS(Tasks_TaskID,$A75,Tasks_Tier,G$49)=0,"",SUMIFS(Tasks_Cost,Tasks_TaskID,$A75,Tasks_Tier,G$49,Tasks_Type,"as-needed"))</f>
        <v/>
      </c>
      <c r="H75" s="3" t="str">
        <f aca="false">IF(COUNTIFS(Tasks_TaskID,$A75,Tasks_Tier,H$49)=0,"",SUMIFS(Tasks_Cost,Tasks_TaskID,$A75,Tasks_Tier,H$49,Tasks_Type,"as-needed"))</f>
        <v/>
      </c>
      <c r="I75" s="3" t="str">
        <f aca="false">IF(COUNTIFS(Tasks_TaskID,$A75,Tasks_Tier,I$49)=0,"",SUMIFS(Tasks_Cost,Tasks_TaskID,$A75,Tasks_Tier,I$49,Tasks_Type,"as-needed"))</f>
        <v/>
      </c>
      <c r="J75" s="3" t="str">
        <f aca="false">IF(COUNTIFS(Tasks_TaskID,$A75,Tasks_Tier,J$49)=0,"",SUMIFS(Tasks_Cost,Tasks_TaskID,$A75,Tasks_Tier,J$49,Tasks_Type,"as-needed"))</f>
        <v/>
      </c>
      <c r="K75" s="3" t="str">
        <f aca="false">IF(COUNTIFS(Tasks_TaskID,$A75,Tasks_Tier,K$49)=0,"",SUMIFS(Tasks_Cost,Tasks_TaskID,$A75,Tasks_Tier,K$49,Tasks_Type,"as-needed"))</f>
        <v/>
      </c>
      <c r="L75" s="3" t="str">
        <f aca="false">IF(COUNTIFS(Tasks_TaskID,$A75,Tasks_Tier,L$49)=0,"",SUMIFS(Tasks_Cost,Tasks_TaskID,$A75,Tasks_Tier,L$49,Tasks_Type,"as-needed"))</f>
        <v/>
      </c>
      <c r="M75" s="3" t="str">
        <f aca="false">IF(COUNTIFS(Tasks_TaskID,$A75,Tasks_Tier,M$49)=0,"",SUMIFS(Tasks_Cost,Tasks_TaskID,$A75,Tasks_Tier,M$49,Tasks_Type,"as-needed"))</f>
        <v/>
      </c>
    </row>
    <row r="76" customFormat="false" ht="15" hidden="false" customHeight="false" outlineLevel="0" collapsed="false">
      <c r="A76" s="0" t="s">
        <v>1430</v>
      </c>
      <c r="B76" s="0" t="s">
        <v>677</v>
      </c>
      <c r="C76" s="0" t="s">
        <v>1431</v>
      </c>
      <c r="D76" s="3" t="n">
        <f aca="false">IF(COUNTIFS(Tasks_TaskID,$A76,Tasks_Tier,D$49)=0,"",SUMIFS(Tasks_Cost,Tasks_TaskID,$A76,Tasks_Tier,D$49,Tasks_Type,"as-needed"))</f>
        <v>0</v>
      </c>
      <c r="E76" s="3" t="n">
        <f aca="false">IF(COUNTIFS(Tasks_TaskID,$A76,Tasks_Tier,E$49)=0,"",SUMIFS(Tasks_Cost,Tasks_TaskID,$A76,Tasks_Tier,E$49,Tasks_Type,"as-needed"))</f>
        <v>0</v>
      </c>
      <c r="F76" s="3" t="n">
        <f aca="false">IF(COUNTIFS(Tasks_TaskID,$A76,Tasks_Tier,F$49)=0,"",SUMIFS(Tasks_Cost,Tasks_TaskID,$A76,Tasks_Tier,F$49,Tasks_Type,"as-needed"))</f>
        <v>0</v>
      </c>
      <c r="G76" s="3" t="str">
        <f aca="false">IF(COUNTIFS(Tasks_TaskID,$A76,Tasks_Tier,G$49)=0,"",SUMIFS(Tasks_Cost,Tasks_TaskID,$A76,Tasks_Tier,G$49,Tasks_Type,"as-needed"))</f>
        <v/>
      </c>
      <c r="H76" s="3" t="str">
        <f aca="false">IF(COUNTIFS(Tasks_TaskID,$A76,Tasks_Tier,H$49)=0,"",SUMIFS(Tasks_Cost,Tasks_TaskID,$A76,Tasks_Tier,H$49,Tasks_Type,"as-needed"))</f>
        <v/>
      </c>
      <c r="I76" s="3" t="str">
        <f aca="false">IF(COUNTIFS(Tasks_TaskID,$A76,Tasks_Tier,I$49)=0,"",SUMIFS(Tasks_Cost,Tasks_TaskID,$A76,Tasks_Tier,I$49,Tasks_Type,"as-needed"))</f>
        <v/>
      </c>
      <c r="J76" s="3" t="str">
        <f aca="false">IF(COUNTIFS(Tasks_TaskID,$A76,Tasks_Tier,J$49)=0,"",SUMIFS(Tasks_Cost,Tasks_TaskID,$A76,Tasks_Tier,J$49,Tasks_Type,"as-needed"))</f>
        <v/>
      </c>
      <c r="K76" s="3" t="str">
        <f aca="false">IF(COUNTIFS(Tasks_TaskID,$A76,Tasks_Tier,K$49)=0,"",SUMIFS(Tasks_Cost,Tasks_TaskID,$A76,Tasks_Tier,K$49,Tasks_Type,"as-needed"))</f>
        <v/>
      </c>
      <c r="L76" s="3" t="str">
        <f aca="false">IF(COUNTIFS(Tasks_TaskID,$A76,Tasks_Tier,L$49)=0,"",SUMIFS(Tasks_Cost,Tasks_TaskID,$A76,Tasks_Tier,L$49,Tasks_Type,"as-needed"))</f>
        <v/>
      </c>
      <c r="M76" s="3" t="str">
        <f aca="false">IF(COUNTIFS(Tasks_TaskID,$A76,Tasks_Tier,M$49)=0,"",SUMIFS(Tasks_Cost,Tasks_TaskID,$A76,Tasks_Tier,M$49,Tasks_Type,"as-needed"))</f>
        <v/>
      </c>
    </row>
    <row r="77" customFormat="false" ht="15" hidden="false" customHeight="false" outlineLevel="0" collapsed="false">
      <c r="A77" s="0" t="s">
        <v>1439</v>
      </c>
      <c r="B77" s="0" t="s">
        <v>677</v>
      </c>
      <c r="C77" s="0" t="s">
        <v>1440</v>
      </c>
      <c r="D77" s="3" t="n">
        <f aca="false">IF(COUNTIFS(Tasks_TaskID,$A77,Tasks_Tier,D$49)=0,"",SUMIFS(Tasks_Cost,Tasks_TaskID,$A77,Tasks_Tier,D$49,Tasks_Type,"as-needed"))</f>
        <v>136</v>
      </c>
      <c r="E77" s="3" t="n">
        <f aca="false">IF(COUNTIFS(Tasks_TaskID,$A77,Tasks_Tier,E$49)=0,"",SUMIFS(Tasks_Cost,Tasks_TaskID,$A77,Tasks_Tier,E$49,Tasks_Type,"as-needed"))</f>
        <v>136</v>
      </c>
      <c r="F77" s="3" t="n">
        <f aca="false">IF(COUNTIFS(Tasks_TaskID,$A77,Tasks_Tier,F$49)=0,"",SUMIFS(Tasks_Cost,Tasks_TaskID,$A77,Tasks_Tier,F$49,Tasks_Type,"as-needed"))</f>
        <v>136</v>
      </c>
      <c r="G77" s="3" t="str">
        <f aca="false">IF(COUNTIFS(Tasks_TaskID,$A77,Tasks_Tier,G$49)=0,"",SUMIFS(Tasks_Cost,Tasks_TaskID,$A77,Tasks_Tier,G$49,Tasks_Type,"as-needed"))</f>
        <v/>
      </c>
      <c r="H77" s="3" t="str">
        <f aca="false">IF(COUNTIFS(Tasks_TaskID,$A77,Tasks_Tier,H$49)=0,"",SUMIFS(Tasks_Cost,Tasks_TaskID,$A77,Tasks_Tier,H$49,Tasks_Type,"as-needed"))</f>
        <v/>
      </c>
      <c r="I77" s="3" t="str">
        <f aca="false">IF(COUNTIFS(Tasks_TaskID,$A77,Tasks_Tier,I$49)=0,"",SUMIFS(Tasks_Cost,Tasks_TaskID,$A77,Tasks_Tier,I$49,Tasks_Type,"as-needed"))</f>
        <v/>
      </c>
      <c r="J77" s="3" t="str">
        <f aca="false">IF(COUNTIFS(Tasks_TaskID,$A77,Tasks_Tier,J$49)=0,"",SUMIFS(Tasks_Cost,Tasks_TaskID,$A77,Tasks_Tier,J$49,Tasks_Type,"as-needed"))</f>
        <v/>
      </c>
      <c r="K77" s="3" t="str">
        <f aca="false">IF(COUNTIFS(Tasks_TaskID,$A77,Tasks_Tier,K$49)=0,"",SUMIFS(Tasks_Cost,Tasks_TaskID,$A77,Tasks_Tier,K$49,Tasks_Type,"as-needed"))</f>
        <v/>
      </c>
      <c r="L77" s="3" t="str">
        <f aca="false">IF(COUNTIFS(Tasks_TaskID,$A77,Tasks_Tier,L$49)=0,"",SUMIFS(Tasks_Cost,Tasks_TaskID,$A77,Tasks_Tier,L$49,Tasks_Type,"as-needed"))</f>
        <v/>
      </c>
      <c r="M77" s="3" t="str">
        <f aca="false">IF(COUNTIFS(Tasks_TaskID,$A77,Tasks_Tier,M$49)=0,"",SUMIFS(Tasks_Cost,Tasks_TaskID,$A77,Tasks_Tier,M$49,Tasks_Type,"as-needed"))</f>
        <v/>
      </c>
    </row>
    <row r="78" customFormat="false" ht="15" hidden="false" customHeight="false" outlineLevel="0" collapsed="false">
      <c r="A78" s="0" t="s">
        <v>1454</v>
      </c>
      <c r="B78" s="0" t="s">
        <v>699</v>
      </c>
      <c r="C78" s="0" t="s">
        <v>1455</v>
      </c>
      <c r="D78" s="3" t="n">
        <f aca="false">IF(COUNTIFS(Tasks_TaskID,$A78,Tasks_Tier,D$49)=0,"",SUMIFS(Tasks_Cost,Tasks_TaskID,$A78,Tasks_Tier,D$49,Tasks_Type,"as-needed"))</f>
        <v>0</v>
      </c>
      <c r="E78" s="3" t="n">
        <f aca="false">IF(COUNTIFS(Tasks_TaskID,$A78,Tasks_Tier,E$49)=0,"",SUMIFS(Tasks_Cost,Tasks_TaskID,$A78,Tasks_Tier,E$49,Tasks_Type,"as-needed"))</f>
        <v>0</v>
      </c>
      <c r="F78" s="3" t="n">
        <f aca="false">IF(COUNTIFS(Tasks_TaskID,$A78,Tasks_Tier,F$49)=0,"",SUMIFS(Tasks_Cost,Tasks_TaskID,$A78,Tasks_Tier,F$49,Tasks_Type,"as-needed"))</f>
        <v>0</v>
      </c>
      <c r="G78" s="3" t="str">
        <f aca="false">IF(COUNTIFS(Tasks_TaskID,$A78,Tasks_Tier,G$49)=0,"",SUMIFS(Tasks_Cost,Tasks_TaskID,$A78,Tasks_Tier,G$49,Tasks_Type,"as-needed"))</f>
        <v/>
      </c>
      <c r="H78" s="3" t="str">
        <f aca="false">IF(COUNTIFS(Tasks_TaskID,$A78,Tasks_Tier,H$49)=0,"",SUMIFS(Tasks_Cost,Tasks_TaskID,$A78,Tasks_Tier,H$49,Tasks_Type,"as-needed"))</f>
        <v/>
      </c>
      <c r="I78" s="3" t="str">
        <f aca="false">IF(COUNTIFS(Tasks_TaskID,$A78,Tasks_Tier,I$49)=0,"",SUMIFS(Tasks_Cost,Tasks_TaskID,$A78,Tasks_Tier,I$49,Tasks_Type,"as-needed"))</f>
        <v/>
      </c>
      <c r="J78" s="3" t="str">
        <f aca="false">IF(COUNTIFS(Tasks_TaskID,$A78,Tasks_Tier,J$49)=0,"",SUMIFS(Tasks_Cost,Tasks_TaskID,$A78,Tasks_Tier,J$49,Tasks_Type,"as-needed"))</f>
        <v/>
      </c>
      <c r="K78" s="3" t="str">
        <f aca="false">IF(COUNTIFS(Tasks_TaskID,$A78,Tasks_Tier,K$49)=0,"",SUMIFS(Tasks_Cost,Tasks_TaskID,$A78,Tasks_Tier,K$49,Tasks_Type,"as-needed"))</f>
        <v/>
      </c>
      <c r="L78" s="3" t="str">
        <f aca="false">IF(COUNTIFS(Tasks_TaskID,$A78,Tasks_Tier,L$49)=0,"",SUMIFS(Tasks_Cost,Tasks_TaskID,$A78,Tasks_Tier,L$49,Tasks_Type,"as-needed"))</f>
        <v/>
      </c>
      <c r="M78" s="3" t="str">
        <f aca="false">IF(COUNTIFS(Tasks_TaskID,$A78,Tasks_Tier,M$49)=0,"",SUMIFS(Tasks_Cost,Tasks_TaskID,$A78,Tasks_Tier,M$49,Tasks_Type,"as-needed"))</f>
        <v/>
      </c>
    </row>
    <row r="79" customFormat="false" ht="15" hidden="false" customHeight="false" outlineLevel="0" collapsed="false">
      <c r="A79" s="0" t="s">
        <v>1460</v>
      </c>
      <c r="B79" s="0" t="s">
        <v>699</v>
      </c>
      <c r="C79" s="0" t="s">
        <v>1461</v>
      </c>
      <c r="D79" s="3" t="n">
        <f aca="false">IF(COUNTIFS(Tasks_TaskID,$A79,Tasks_Tier,D$49)=0,"",SUMIFS(Tasks_Cost,Tasks_TaskID,$A79,Tasks_Tier,D$49,Tasks_Type,"as-needed"))</f>
        <v>0</v>
      </c>
      <c r="E79" s="3" t="n">
        <f aca="false">IF(COUNTIFS(Tasks_TaskID,$A79,Tasks_Tier,E$49)=0,"",SUMIFS(Tasks_Cost,Tasks_TaskID,$A79,Tasks_Tier,E$49,Tasks_Type,"as-needed"))</f>
        <v>0</v>
      </c>
      <c r="F79" s="3" t="n">
        <f aca="false">IF(COUNTIFS(Tasks_TaskID,$A79,Tasks_Tier,F$49)=0,"",SUMIFS(Tasks_Cost,Tasks_TaskID,$A79,Tasks_Tier,F$49,Tasks_Type,"as-needed"))</f>
        <v>0</v>
      </c>
      <c r="G79" s="3" t="str">
        <f aca="false">IF(COUNTIFS(Tasks_TaskID,$A79,Tasks_Tier,G$49)=0,"",SUMIFS(Tasks_Cost,Tasks_TaskID,$A79,Tasks_Tier,G$49,Tasks_Type,"as-needed"))</f>
        <v/>
      </c>
      <c r="H79" s="3" t="str">
        <f aca="false">IF(COUNTIFS(Tasks_TaskID,$A79,Tasks_Tier,H$49)=0,"",SUMIFS(Tasks_Cost,Tasks_TaskID,$A79,Tasks_Tier,H$49,Tasks_Type,"as-needed"))</f>
        <v/>
      </c>
      <c r="I79" s="3" t="str">
        <f aca="false">IF(COUNTIFS(Tasks_TaskID,$A79,Tasks_Tier,I$49)=0,"",SUMIFS(Tasks_Cost,Tasks_TaskID,$A79,Tasks_Tier,I$49,Tasks_Type,"as-needed"))</f>
        <v/>
      </c>
      <c r="J79" s="3" t="str">
        <f aca="false">IF(COUNTIFS(Tasks_TaskID,$A79,Tasks_Tier,J$49)=0,"",SUMIFS(Tasks_Cost,Tasks_TaskID,$A79,Tasks_Tier,J$49,Tasks_Type,"as-needed"))</f>
        <v/>
      </c>
      <c r="K79" s="3" t="str">
        <f aca="false">IF(COUNTIFS(Tasks_TaskID,$A79,Tasks_Tier,K$49)=0,"",SUMIFS(Tasks_Cost,Tasks_TaskID,$A79,Tasks_Tier,K$49,Tasks_Type,"as-needed"))</f>
        <v/>
      </c>
      <c r="L79" s="3" t="str">
        <f aca="false">IF(COUNTIFS(Tasks_TaskID,$A79,Tasks_Tier,L$49)=0,"",SUMIFS(Tasks_Cost,Tasks_TaskID,$A79,Tasks_Tier,L$49,Tasks_Type,"as-needed"))</f>
        <v/>
      </c>
      <c r="M79" s="3" t="str">
        <f aca="false">IF(COUNTIFS(Tasks_TaskID,$A79,Tasks_Tier,M$49)=0,"",SUMIFS(Tasks_Cost,Tasks_TaskID,$A79,Tasks_Tier,M$49,Tasks_Type,"as-needed"))</f>
        <v/>
      </c>
    </row>
    <row r="80" customFormat="false" ht="15" hidden="false" customHeight="false" outlineLevel="0" collapsed="false">
      <c r="A80" s="0" t="s">
        <v>1555</v>
      </c>
      <c r="B80" s="0" t="s">
        <v>107</v>
      </c>
      <c r="C80" s="0" t="s">
        <v>1556</v>
      </c>
      <c r="D80" s="3" t="n">
        <f aca="false">IF(COUNTIFS(Tasks_TaskID,$A80,Tasks_Tier,D$49)=0,"",SUMIFS(Tasks_Cost,Tasks_TaskID,$A80,Tasks_Tier,D$49,Tasks_Type,"as-needed"))</f>
        <v>0</v>
      </c>
      <c r="E80" s="3" t="n">
        <f aca="false">IF(COUNTIFS(Tasks_TaskID,$A80,Tasks_Tier,E$49)=0,"",SUMIFS(Tasks_Cost,Tasks_TaskID,$A80,Tasks_Tier,E$49,Tasks_Type,"as-needed"))</f>
        <v>0</v>
      </c>
      <c r="F80" s="3" t="n">
        <f aca="false">IF(COUNTIFS(Tasks_TaskID,$A80,Tasks_Tier,F$49)=0,"",SUMIFS(Tasks_Cost,Tasks_TaskID,$A80,Tasks_Tier,F$49,Tasks_Type,"as-needed"))</f>
        <v>0</v>
      </c>
      <c r="G80" s="3" t="str">
        <f aca="false">IF(COUNTIFS(Tasks_TaskID,$A80,Tasks_Tier,G$49)=0,"",SUMIFS(Tasks_Cost,Tasks_TaskID,$A80,Tasks_Tier,G$49,Tasks_Type,"as-needed"))</f>
        <v/>
      </c>
      <c r="H80" s="3" t="str">
        <f aca="false">IF(COUNTIFS(Tasks_TaskID,$A80,Tasks_Tier,H$49)=0,"",SUMIFS(Tasks_Cost,Tasks_TaskID,$A80,Tasks_Tier,H$49,Tasks_Type,"as-needed"))</f>
        <v/>
      </c>
      <c r="I80" s="3" t="str">
        <f aca="false">IF(COUNTIFS(Tasks_TaskID,$A80,Tasks_Tier,I$49)=0,"",SUMIFS(Tasks_Cost,Tasks_TaskID,$A80,Tasks_Tier,I$49,Tasks_Type,"as-needed"))</f>
        <v/>
      </c>
      <c r="J80" s="3" t="str">
        <f aca="false">IF(COUNTIFS(Tasks_TaskID,$A80,Tasks_Tier,J$49)=0,"",SUMIFS(Tasks_Cost,Tasks_TaskID,$A80,Tasks_Tier,J$49,Tasks_Type,"as-needed"))</f>
        <v/>
      </c>
      <c r="K80" s="3" t="str">
        <f aca="false">IF(COUNTIFS(Tasks_TaskID,$A80,Tasks_Tier,K$49)=0,"",SUMIFS(Tasks_Cost,Tasks_TaskID,$A80,Tasks_Tier,K$49,Tasks_Type,"as-needed"))</f>
        <v/>
      </c>
      <c r="L80" s="3" t="str">
        <f aca="false">IF(COUNTIFS(Tasks_TaskID,$A80,Tasks_Tier,L$49)=0,"",SUMIFS(Tasks_Cost,Tasks_TaskID,$A80,Tasks_Tier,L$49,Tasks_Type,"as-needed"))</f>
        <v/>
      </c>
      <c r="M80" s="3" t="str">
        <f aca="false">IF(COUNTIFS(Tasks_TaskID,$A80,Tasks_Tier,M$49)=0,"",SUMIFS(Tasks_Cost,Tasks_TaskID,$A80,Tasks_Tier,M$49,Tasks_Type,"as-needed"))</f>
        <v/>
      </c>
    </row>
    <row r="81" customFormat="false" ht="15" hidden="false" customHeight="false" outlineLevel="0" collapsed="false">
      <c r="A81" s="0" t="s">
        <v>1569</v>
      </c>
      <c r="B81" s="0" t="s">
        <v>107</v>
      </c>
      <c r="C81" s="0" t="s">
        <v>1570</v>
      </c>
      <c r="D81" s="3" t="n">
        <f aca="false">IF(COUNTIFS(Tasks_TaskID,$A81,Tasks_Tier,D$49)=0,"",SUMIFS(Tasks_Cost,Tasks_TaskID,$A81,Tasks_Tier,D$49,Tasks_Type,"as-needed"))</f>
        <v>0</v>
      </c>
      <c r="E81" s="3" t="n">
        <f aca="false">IF(COUNTIFS(Tasks_TaskID,$A81,Tasks_Tier,E$49)=0,"",SUMIFS(Tasks_Cost,Tasks_TaskID,$A81,Tasks_Tier,E$49,Tasks_Type,"as-needed"))</f>
        <v>0</v>
      </c>
      <c r="F81" s="3" t="n">
        <f aca="false">IF(COUNTIFS(Tasks_TaskID,$A81,Tasks_Tier,F$49)=0,"",SUMIFS(Tasks_Cost,Tasks_TaskID,$A81,Tasks_Tier,F$49,Tasks_Type,"as-needed"))</f>
        <v>0</v>
      </c>
      <c r="G81" s="3" t="str">
        <f aca="false">IF(COUNTIFS(Tasks_TaskID,$A81,Tasks_Tier,G$49)=0,"",SUMIFS(Tasks_Cost,Tasks_TaskID,$A81,Tasks_Tier,G$49,Tasks_Type,"as-needed"))</f>
        <v/>
      </c>
      <c r="H81" s="3" t="str">
        <f aca="false">IF(COUNTIFS(Tasks_TaskID,$A81,Tasks_Tier,H$49)=0,"",SUMIFS(Tasks_Cost,Tasks_TaskID,$A81,Tasks_Tier,H$49,Tasks_Type,"as-needed"))</f>
        <v/>
      </c>
      <c r="I81" s="3" t="str">
        <f aca="false">IF(COUNTIFS(Tasks_TaskID,$A81,Tasks_Tier,I$49)=0,"",SUMIFS(Tasks_Cost,Tasks_TaskID,$A81,Tasks_Tier,I$49,Tasks_Type,"as-needed"))</f>
        <v/>
      </c>
      <c r="J81" s="3" t="str">
        <f aca="false">IF(COUNTIFS(Tasks_TaskID,$A81,Tasks_Tier,J$49)=0,"",SUMIFS(Tasks_Cost,Tasks_TaskID,$A81,Tasks_Tier,J$49,Tasks_Type,"as-needed"))</f>
        <v/>
      </c>
      <c r="K81" s="3" t="str">
        <f aca="false">IF(COUNTIFS(Tasks_TaskID,$A81,Tasks_Tier,K$49)=0,"",SUMIFS(Tasks_Cost,Tasks_TaskID,$A81,Tasks_Tier,K$49,Tasks_Type,"as-needed"))</f>
        <v/>
      </c>
      <c r="L81" s="3" t="str">
        <f aca="false">IF(COUNTIFS(Tasks_TaskID,$A81,Tasks_Tier,L$49)=0,"",SUMIFS(Tasks_Cost,Tasks_TaskID,$A81,Tasks_Tier,L$49,Tasks_Type,"as-needed"))</f>
        <v/>
      </c>
      <c r="M81" s="3" t="str">
        <f aca="false">IF(COUNTIFS(Tasks_TaskID,$A81,Tasks_Tier,M$49)=0,"",SUMIFS(Tasks_Cost,Tasks_TaskID,$A81,Tasks_Tier,M$49,Tasks_Type,"as-needed"))</f>
        <v/>
      </c>
    </row>
    <row r="82" customFormat="false" ht="15" hidden="false" customHeight="false" outlineLevel="0" collapsed="false">
      <c r="A82" s="0" t="s">
        <v>1596</v>
      </c>
      <c r="B82" s="0" t="s">
        <v>176</v>
      </c>
      <c r="C82" s="0" t="s">
        <v>1597</v>
      </c>
      <c r="D82" s="3" t="n">
        <f aca="false">IF(COUNTIFS(Tasks_TaskID,$A82,Tasks_Tier,D$49)=0,"",SUMIFS(Tasks_Cost,Tasks_TaskID,$A82,Tasks_Tier,D$49,Tasks_Type,"as-needed"))</f>
        <v>0</v>
      </c>
      <c r="E82" s="3" t="n">
        <f aca="false">IF(COUNTIFS(Tasks_TaskID,$A82,Tasks_Tier,E$49)=0,"",SUMIFS(Tasks_Cost,Tasks_TaskID,$A82,Tasks_Tier,E$49,Tasks_Type,"as-needed"))</f>
        <v>0</v>
      </c>
      <c r="F82" s="3" t="n">
        <f aca="false">IF(COUNTIFS(Tasks_TaskID,$A82,Tasks_Tier,F$49)=0,"",SUMIFS(Tasks_Cost,Tasks_TaskID,$A82,Tasks_Tier,F$49,Tasks_Type,"as-needed"))</f>
        <v>0</v>
      </c>
      <c r="G82" s="3" t="str">
        <f aca="false">IF(COUNTIFS(Tasks_TaskID,$A82,Tasks_Tier,G$49)=0,"",SUMIFS(Tasks_Cost,Tasks_TaskID,$A82,Tasks_Tier,G$49,Tasks_Type,"as-needed"))</f>
        <v/>
      </c>
      <c r="H82" s="3" t="str">
        <f aca="false">IF(COUNTIFS(Tasks_TaskID,$A82,Tasks_Tier,H$49)=0,"",SUMIFS(Tasks_Cost,Tasks_TaskID,$A82,Tasks_Tier,H$49,Tasks_Type,"as-needed"))</f>
        <v/>
      </c>
      <c r="I82" s="3" t="str">
        <f aca="false">IF(COUNTIFS(Tasks_TaskID,$A82,Tasks_Tier,I$49)=0,"",SUMIFS(Tasks_Cost,Tasks_TaskID,$A82,Tasks_Tier,I$49,Tasks_Type,"as-needed"))</f>
        <v/>
      </c>
      <c r="J82" s="3" t="str">
        <f aca="false">IF(COUNTIFS(Tasks_TaskID,$A82,Tasks_Tier,J$49)=0,"",SUMIFS(Tasks_Cost,Tasks_TaskID,$A82,Tasks_Tier,J$49,Tasks_Type,"as-needed"))</f>
        <v/>
      </c>
      <c r="K82" s="3" t="str">
        <f aca="false">IF(COUNTIFS(Tasks_TaskID,$A82,Tasks_Tier,K$49)=0,"",SUMIFS(Tasks_Cost,Tasks_TaskID,$A82,Tasks_Tier,K$49,Tasks_Type,"as-needed"))</f>
        <v/>
      </c>
      <c r="L82" s="3" t="str">
        <f aca="false">IF(COUNTIFS(Tasks_TaskID,$A82,Tasks_Tier,L$49)=0,"",SUMIFS(Tasks_Cost,Tasks_TaskID,$A82,Tasks_Tier,L$49,Tasks_Type,"as-needed"))</f>
        <v/>
      </c>
      <c r="M82" s="3" t="str">
        <f aca="false">IF(COUNTIFS(Tasks_TaskID,$A82,Tasks_Tier,M$49)=0,"",SUMIFS(Tasks_Cost,Tasks_TaskID,$A82,Tasks_Tier,M$49,Tasks_Type,"as-needed"))</f>
        <v/>
      </c>
    </row>
    <row r="83" customFormat="false" ht="15" hidden="false" customHeight="false" outlineLevel="0" collapsed="false">
      <c r="A83" s="0" t="s">
        <v>1620</v>
      </c>
      <c r="B83" s="0" t="s">
        <v>176</v>
      </c>
      <c r="C83" s="0" t="s">
        <v>1621</v>
      </c>
      <c r="D83" s="3" t="n">
        <f aca="false">IF(COUNTIFS(Tasks_TaskID,$A83,Tasks_Tier,D$49)=0,"",SUMIFS(Tasks_Cost,Tasks_TaskID,$A83,Tasks_Tier,D$49,Tasks_Type,"as-needed"))</f>
        <v>0</v>
      </c>
      <c r="E83" s="3" t="n">
        <f aca="false">IF(COUNTIFS(Tasks_TaskID,$A83,Tasks_Tier,E$49)=0,"",SUMIFS(Tasks_Cost,Tasks_TaskID,$A83,Tasks_Tier,E$49,Tasks_Type,"as-needed"))</f>
        <v>0</v>
      </c>
      <c r="F83" s="3" t="n">
        <f aca="false">IF(COUNTIFS(Tasks_TaskID,$A83,Tasks_Tier,F$49)=0,"",SUMIFS(Tasks_Cost,Tasks_TaskID,$A83,Tasks_Tier,F$49,Tasks_Type,"as-needed"))</f>
        <v>0</v>
      </c>
      <c r="G83" s="3" t="str">
        <f aca="false">IF(COUNTIFS(Tasks_TaskID,$A83,Tasks_Tier,G$49)=0,"",SUMIFS(Tasks_Cost,Tasks_TaskID,$A83,Tasks_Tier,G$49,Tasks_Type,"as-needed"))</f>
        <v/>
      </c>
      <c r="H83" s="3" t="str">
        <f aca="false">IF(COUNTIFS(Tasks_TaskID,$A83,Tasks_Tier,H$49)=0,"",SUMIFS(Tasks_Cost,Tasks_TaskID,$A83,Tasks_Tier,H$49,Tasks_Type,"as-needed"))</f>
        <v/>
      </c>
      <c r="I83" s="3" t="str">
        <f aca="false">IF(COUNTIFS(Tasks_TaskID,$A83,Tasks_Tier,I$49)=0,"",SUMIFS(Tasks_Cost,Tasks_TaskID,$A83,Tasks_Tier,I$49,Tasks_Type,"as-needed"))</f>
        <v/>
      </c>
      <c r="J83" s="3" t="str">
        <f aca="false">IF(COUNTIFS(Tasks_TaskID,$A83,Tasks_Tier,J$49)=0,"",SUMIFS(Tasks_Cost,Tasks_TaskID,$A83,Tasks_Tier,J$49,Tasks_Type,"as-needed"))</f>
        <v/>
      </c>
      <c r="K83" s="3" t="str">
        <f aca="false">IF(COUNTIFS(Tasks_TaskID,$A83,Tasks_Tier,K$49)=0,"",SUMIFS(Tasks_Cost,Tasks_TaskID,$A83,Tasks_Tier,K$49,Tasks_Type,"as-needed"))</f>
        <v/>
      </c>
      <c r="L83" s="3" t="str">
        <f aca="false">IF(COUNTIFS(Tasks_TaskID,$A83,Tasks_Tier,L$49)=0,"",SUMIFS(Tasks_Cost,Tasks_TaskID,$A83,Tasks_Tier,L$49,Tasks_Type,"as-needed"))</f>
        <v/>
      </c>
      <c r="M83" s="3" t="str">
        <f aca="false">IF(COUNTIFS(Tasks_TaskID,$A83,Tasks_Tier,M$49)=0,"",SUMIFS(Tasks_Cost,Tasks_TaskID,$A83,Tasks_Tier,M$49,Tasks_Type,"as-needed"))</f>
        <v/>
      </c>
    </row>
    <row r="84" customFormat="false" ht="15" hidden="false" customHeight="false" outlineLevel="0" collapsed="false">
      <c r="A84" s="0" t="s">
        <v>1657</v>
      </c>
      <c r="B84" s="0" t="s">
        <v>939</v>
      </c>
      <c r="C84" s="0" t="s">
        <v>1658</v>
      </c>
      <c r="D84" s="3" t="str">
        <f aca="false">IF(COUNTIFS(Tasks_TaskID,$A84,Tasks_Tier,D$49)=0,"",SUMIFS(Tasks_Cost,Tasks_TaskID,$A84,Tasks_Tier,D$49,Tasks_Type,"as-needed"))</f>
        <v/>
      </c>
      <c r="E84" s="3" t="str">
        <f aca="false">IF(COUNTIFS(Tasks_TaskID,$A84,Tasks_Tier,E$49)=0,"",SUMIFS(Tasks_Cost,Tasks_TaskID,$A84,Tasks_Tier,E$49,Tasks_Type,"as-needed"))</f>
        <v/>
      </c>
      <c r="F84" s="3" t="str">
        <f aca="false">IF(COUNTIFS(Tasks_TaskID,$A84,Tasks_Tier,F$49)=0,"",SUMIFS(Tasks_Cost,Tasks_TaskID,$A84,Tasks_Tier,F$49,Tasks_Type,"as-needed"))</f>
        <v/>
      </c>
      <c r="G84" s="3" t="str">
        <f aca="false">IF(COUNTIFS(Tasks_TaskID,$A84,Tasks_Tier,G$49)=0,"",SUMIFS(Tasks_Cost,Tasks_TaskID,$A84,Tasks_Tier,G$49,Tasks_Type,"as-needed"))</f>
        <v/>
      </c>
      <c r="H84" s="3" t="str">
        <f aca="false">IF(COUNTIFS(Tasks_TaskID,$A84,Tasks_Tier,H$49)=0,"",SUMIFS(Tasks_Cost,Tasks_TaskID,$A84,Tasks_Tier,H$49,Tasks_Type,"as-needed"))</f>
        <v/>
      </c>
      <c r="I84" s="3" t="str">
        <f aca="false">IF(COUNTIFS(Tasks_TaskID,$A84,Tasks_Tier,I$49)=0,"",SUMIFS(Tasks_Cost,Tasks_TaskID,$A84,Tasks_Tier,I$49,Tasks_Type,"as-needed"))</f>
        <v/>
      </c>
      <c r="J84" s="3" t="str">
        <f aca="false">IF(COUNTIFS(Tasks_TaskID,$A84,Tasks_Tier,J$49)=0,"",SUMIFS(Tasks_Cost,Tasks_TaskID,$A84,Tasks_Tier,J$49,Tasks_Type,"as-needed"))</f>
        <v/>
      </c>
      <c r="K84" s="3" t="n">
        <f aca="false">IF(COUNTIFS(Tasks_TaskID,$A84,Tasks_Tier,K$49)=0,"",SUMIFS(Tasks_Cost,Tasks_TaskID,$A84,Tasks_Tier,K$49,Tasks_Type,"as-needed"))</f>
        <v>185.5</v>
      </c>
      <c r="L84" s="3" t="n">
        <f aca="false">IF(COUNTIFS(Tasks_TaskID,$A84,Tasks_Tier,L$49)=0,"",SUMIFS(Tasks_Cost,Tasks_TaskID,$A84,Tasks_Tier,L$49,Tasks_Type,"as-needed"))</f>
        <v>185.5</v>
      </c>
      <c r="M84" s="3" t="n">
        <f aca="false">IF(COUNTIFS(Tasks_TaskID,$A84,Tasks_Tier,M$49)=0,"",SUMIFS(Tasks_Cost,Tasks_TaskID,$A84,Tasks_Tier,M$49,Tasks_Type,"as-needed"))</f>
        <v>185.5</v>
      </c>
    </row>
    <row r="85" customFormat="false" ht="15" hidden="false" customHeight="false" outlineLevel="0" collapsed="false">
      <c r="A85" s="0" t="s">
        <v>1703</v>
      </c>
      <c r="B85" s="0" t="s">
        <v>939</v>
      </c>
      <c r="C85" s="0" t="s">
        <v>1704</v>
      </c>
      <c r="D85" s="3" t="str">
        <f aca="false">IF(COUNTIFS(Tasks_TaskID,$A85,Tasks_Tier,D$49)=0,"",SUMIFS(Tasks_Cost,Tasks_TaskID,$A85,Tasks_Tier,D$49,Tasks_Type,"as-needed"))</f>
        <v/>
      </c>
      <c r="E85" s="3" t="str">
        <f aca="false">IF(COUNTIFS(Tasks_TaskID,$A85,Tasks_Tier,E$49)=0,"",SUMIFS(Tasks_Cost,Tasks_TaskID,$A85,Tasks_Tier,E$49,Tasks_Type,"as-needed"))</f>
        <v/>
      </c>
      <c r="F85" s="3" t="str">
        <f aca="false">IF(COUNTIFS(Tasks_TaskID,$A85,Tasks_Tier,F$49)=0,"",SUMIFS(Tasks_Cost,Tasks_TaskID,$A85,Tasks_Tier,F$49,Tasks_Type,"as-needed"))</f>
        <v/>
      </c>
      <c r="G85" s="3" t="str">
        <f aca="false">IF(COUNTIFS(Tasks_TaskID,$A85,Tasks_Tier,G$49)=0,"",SUMIFS(Tasks_Cost,Tasks_TaskID,$A85,Tasks_Tier,G$49,Tasks_Type,"as-needed"))</f>
        <v/>
      </c>
      <c r="H85" s="3" t="str">
        <f aca="false">IF(COUNTIFS(Tasks_TaskID,$A85,Tasks_Tier,H$49)=0,"",SUMIFS(Tasks_Cost,Tasks_TaskID,$A85,Tasks_Tier,H$49,Tasks_Type,"as-needed"))</f>
        <v/>
      </c>
      <c r="I85" s="3" t="str">
        <f aca="false">IF(COUNTIFS(Tasks_TaskID,$A85,Tasks_Tier,I$49)=0,"",SUMIFS(Tasks_Cost,Tasks_TaskID,$A85,Tasks_Tier,I$49,Tasks_Type,"as-needed"))</f>
        <v/>
      </c>
      <c r="J85" s="3" t="str">
        <f aca="false">IF(COUNTIFS(Tasks_TaskID,$A85,Tasks_Tier,J$49)=0,"",SUMIFS(Tasks_Cost,Tasks_TaskID,$A85,Tasks_Tier,J$49,Tasks_Type,"as-needed"))</f>
        <v/>
      </c>
      <c r="K85" s="3" t="n">
        <f aca="false">IF(COUNTIFS(Tasks_TaskID,$A85,Tasks_Tier,K$49)=0,"",SUMIFS(Tasks_Cost,Tasks_TaskID,$A85,Tasks_Tier,K$49,Tasks_Type,"as-needed"))</f>
        <v>185.5</v>
      </c>
      <c r="L85" s="3" t="n">
        <f aca="false">IF(COUNTIFS(Tasks_TaskID,$A85,Tasks_Tier,L$49)=0,"",SUMIFS(Tasks_Cost,Tasks_TaskID,$A85,Tasks_Tier,L$49,Tasks_Type,"as-needed"))</f>
        <v>185.5</v>
      </c>
      <c r="M85" s="3" t="n">
        <f aca="false">IF(COUNTIFS(Tasks_TaskID,$A85,Tasks_Tier,M$49)=0,"",SUMIFS(Tasks_Cost,Tasks_TaskID,$A85,Tasks_Tier,M$49,Tasks_Type,"as-needed"))</f>
        <v>185.5</v>
      </c>
    </row>
    <row r="86" customFormat="false" ht="15" hidden="false" customHeight="false" outlineLevel="0" collapsed="false">
      <c r="A86" s="0" t="s">
        <v>1745</v>
      </c>
      <c r="B86" s="0" t="s">
        <v>939</v>
      </c>
      <c r="C86" s="0" t="s">
        <v>1746</v>
      </c>
      <c r="D86" s="3" t="str">
        <f aca="false">IF(COUNTIFS(Tasks_TaskID,$A86,Tasks_Tier,D$49)=0,"",SUMIFS(Tasks_Cost,Tasks_TaskID,$A86,Tasks_Tier,D$49,Tasks_Type,"as-needed"))</f>
        <v/>
      </c>
      <c r="E86" s="3" t="str">
        <f aca="false">IF(COUNTIFS(Tasks_TaskID,$A86,Tasks_Tier,E$49)=0,"",SUMIFS(Tasks_Cost,Tasks_TaskID,$A86,Tasks_Tier,E$49,Tasks_Type,"as-needed"))</f>
        <v/>
      </c>
      <c r="F86" s="3" t="str">
        <f aca="false">IF(COUNTIFS(Tasks_TaskID,$A86,Tasks_Tier,F$49)=0,"",SUMIFS(Tasks_Cost,Tasks_TaskID,$A86,Tasks_Tier,F$49,Tasks_Type,"as-needed"))</f>
        <v/>
      </c>
      <c r="G86" s="3" t="str">
        <f aca="false">IF(COUNTIFS(Tasks_TaskID,$A86,Tasks_Tier,G$49)=0,"",SUMIFS(Tasks_Cost,Tasks_TaskID,$A86,Tasks_Tier,G$49,Tasks_Type,"as-needed"))</f>
        <v/>
      </c>
      <c r="H86" s="3" t="str">
        <f aca="false">IF(COUNTIFS(Tasks_TaskID,$A86,Tasks_Tier,H$49)=0,"",SUMIFS(Tasks_Cost,Tasks_TaskID,$A86,Tasks_Tier,H$49,Tasks_Type,"as-needed"))</f>
        <v/>
      </c>
      <c r="I86" s="3" t="str">
        <f aca="false">IF(COUNTIFS(Tasks_TaskID,$A86,Tasks_Tier,I$49)=0,"",SUMIFS(Tasks_Cost,Tasks_TaskID,$A86,Tasks_Tier,I$49,Tasks_Type,"as-needed"))</f>
        <v/>
      </c>
      <c r="J86" s="3" t="str">
        <f aca="false">IF(COUNTIFS(Tasks_TaskID,$A86,Tasks_Tier,J$49)=0,"",SUMIFS(Tasks_Cost,Tasks_TaskID,$A86,Tasks_Tier,J$49,Tasks_Type,"as-needed"))</f>
        <v/>
      </c>
      <c r="K86" s="3" t="n">
        <f aca="false">IF(COUNTIFS(Tasks_TaskID,$A86,Tasks_Tier,K$49)=0,"",SUMIFS(Tasks_Cost,Tasks_TaskID,$A86,Tasks_Tier,K$49,Tasks_Type,"as-needed"))</f>
        <v>185.5</v>
      </c>
      <c r="L86" s="3" t="n">
        <f aca="false">IF(COUNTIFS(Tasks_TaskID,$A86,Tasks_Tier,L$49)=0,"",SUMIFS(Tasks_Cost,Tasks_TaskID,$A86,Tasks_Tier,L$49,Tasks_Type,"as-needed"))</f>
        <v>185.5</v>
      </c>
      <c r="M86" s="3" t="n">
        <f aca="false">IF(COUNTIFS(Tasks_TaskID,$A86,Tasks_Tier,M$49)=0,"",SUMIFS(Tasks_Cost,Tasks_TaskID,$A86,Tasks_Tier,M$49,Tasks_Type,"as-needed"))</f>
        <v>185.5</v>
      </c>
    </row>
    <row r="87" customFormat="false" ht="15" hidden="false" customHeight="false" outlineLevel="0" collapsed="false">
      <c r="A87" s="0" t="s">
        <v>1782</v>
      </c>
      <c r="B87" s="0" t="s">
        <v>939</v>
      </c>
      <c r="C87" s="0" t="s">
        <v>1783</v>
      </c>
      <c r="D87" s="3" t="str">
        <f aca="false">IF(COUNTIFS(Tasks_TaskID,$A87,Tasks_Tier,D$49)=0,"",SUMIFS(Tasks_Cost,Tasks_TaskID,$A87,Tasks_Tier,D$49,Tasks_Type,"as-needed"))</f>
        <v/>
      </c>
      <c r="E87" s="3" t="str">
        <f aca="false">IF(COUNTIFS(Tasks_TaskID,$A87,Tasks_Tier,E$49)=0,"",SUMIFS(Tasks_Cost,Tasks_TaskID,$A87,Tasks_Tier,E$49,Tasks_Type,"as-needed"))</f>
        <v/>
      </c>
      <c r="F87" s="3" t="str">
        <f aca="false">IF(COUNTIFS(Tasks_TaskID,$A87,Tasks_Tier,F$49)=0,"",SUMIFS(Tasks_Cost,Tasks_TaskID,$A87,Tasks_Tier,F$49,Tasks_Type,"as-needed"))</f>
        <v/>
      </c>
      <c r="G87" s="3" t="str">
        <f aca="false">IF(COUNTIFS(Tasks_TaskID,$A87,Tasks_Tier,G$49)=0,"",SUMIFS(Tasks_Cost,Tasks_TaskID,$A87,Tasks_Tier,G$49,Tasks_Type,"as-needed"))</f>
        <v/>
      </c>
      <c r="H87" s="3" t="str">
        <f aca="false">IF(COUNTIFS(Tasks_TaskID,$A87,Tasks_Tier,H$49)=0,"",SUMIFS(Tasks_Cost,Tasks_TaskID,$A87,Tasks_Tier,H$49,Tasks_Type,"as-needed"))</f>
        <v/>
      </c>
      <c r="I87" s="3" t="str">
        <f aca="false">IF(COUNTIFS(Tasks_TaskID,$A87,Tasks_Tier,I$49)=0,"",SUMIFS(Tasks_Cost,Tasks_TaskID,$A87,Tasks_Tier,I$49,Tasks_Type,"as-needed"))</f>
        <v/>
      </c>
      <c r="J87" s="3" t="str">
        <f aca="false">IF(COUNTIFS(Tasks_TaskID,$A87,Tasks_Tier,J$49)=0,"",SUMIFS(Tasks_Cost,Tasks_TaskID,$A87,Tasks_Tier,J$49,Tasks_Type,"as-needed"))</f>
        <v/>
      </c>
      <c r="K87" s="3" t="n">
        <f aca="false">IF(COUNTIFS(Tasks_TaskID,$A87,Tasks_Tier,K$49)=0,"",SUMIFS(Tasks_Cost,Tasks_TaskID,$A87,Tasks_Tier,K$49,Tasks_Type,"as-needed"))</f>
        <v>0</v>
      </c>
      <c r="L87" s="3" t="n">
        <f aca="false">IF(COUNTIFS(Tasks_TaskID,$A87,Tasks_Tier,L$49)=0,"",SUMIFS(Tasks_Cost,Tasks_TaskID,$A87,Tasks_Tier,L$49,Tasks_Type,"as-needed"))</f>
        <v>0</v>
      </c>
      <c r="M87" s="3" t="n">
        <f aca="false">IF(COUNTIFS(Tasks_TaskID,$A87,Tasks_Tier,M$49)=0,"",SUMIFS(Tasks_Cost,Tasks_TaskID,$A87,Tasks_Tier,M$49,Tasks_Type,"as-needed"))</f>
        <v>0</v>
      </c>
    </row>
    <row r="88" customFormat="false" ht="15" hidden="false" customHeight="false" outlineLevel="0" collapsed="false">
      <c r="A88" s="0" t="s">
        <v>1810</v>
      </c>
      <c r="B88" s="0" t="s">
        <v>939</v>
      </c>
      <c r="C88" s="0" t="s">
        <v>1811</v>
      </c>
      <c r="D88" s="3" t="n">
        <f aca="false">IF(COUNTIFS(Tasks_TaskID,$A88,Tasks_Tier,D$49)=0,"",SUMIFS(Tasks_Cost,Tasks_TaskID,$A88,Tasks_Tier,D$49,Tasks_Type,"as-needed"))</f>
        <v>79.9</v>
      </c>
      <c r="E88" s="3" t="n">
        <f aca="false">IF(COUNTIFS(Tasks_TaskID,$A88,Tasks_Tier,E$49)=0,"",SUMIFS(Tasks_Cost,Tasks_TaskID,$A88,Tasks_Tier,E$49,Tasks_Type,"as-needed"))</f>
        <v>79.9</v>
      </c>
      <c r="F88" s="3" t="n">
        <f aca="false">IF(COUNTIFS(Tasks_TaskID,$A88,Tasks_Tier,F$49)=0,"",SUMIFS(Tasks_Cost,Tasks_TaskID,$A88,Tasks_Tier,F$49,Tasks_Type,"as-needed"))</f>
        <v>79.9</v>
      </c>
      <c r="G88" s="3" t="str">
        <f aca="false">IF(COUNTIFS(Tasks_TaskID,$A88,Tasks_Tier,G$49)=0,"",SUMIFS(Tasks_Cost,Tasks_TaskID,$A88,Tasks_Tier,G$49,Tasks_Type,"as-needed"))</f>
        <v/>
      </c>
      <c r="H88" s="3" t="str">
        <f aca="false">IF(COUNTIFS(Tasks_TaskID,$A88,Tasks_Tier,H$49)=0,"",SUMIFS(Tasks_Cost,Tasks_TaskID,$A88,Tasks_Tier,H$49,Tasks_Type,"as-needed"))</f>
        <v/>
      </c>
      <c r="I88" s="3" t="str">
        <f aca="false">IF(COUNTIFS(Tasks_TaskID,$A88,Tasks_Tier,I$49)=0,"",SUMIFS(Tasks_Cost,Tasks_TaskID,$A88,Tasks_Tier,I$49,Tasks_Type,"as-needed"))</f>
        <v/>
      </c>
      <c r="J88" s="3" t="str">
        <f aca="false">IF(COUNTIFS(Tasks_TaskID,$A88,Tasks_Tier,J$49)=0,"",SUMIFS(Tasks_Cost,Tasks_TaskID,$A88,Tasks_Tier,J$49,Tasks_Type,"as-needed"))</f>
        <v/>
      </c>
      <c r="K88" s="3" t="str">
        <f aca="false">IF(COUNTIFS(Tasks_TaskID,$A88,Tasks_Tier,K$49)=0,"",SUMIFS(Tasks_Cost,Tasks_TaskID,$A88,Tasks_Tier,K$49,Tasks_Type,"as-needed"))</f>
        <v/>
      </c>
      <c r="L88" s="3" t="str">
        <f aca="false">IF(COUNTIFS(Tasks_TaskID,$A88,Tasks_Tier,L$49)=0,"",SUMIFS(Tasks_Cost,Tasks_TaskID,$A88,Tasks_Tier,L$49,Tasks_Type,"as-needed"))</f>
        <v/>
      </c>
      <c r="M88" s="3" t="str">
        <f aca="false">IF(COUNTIFS(Tasks_TaskID,$A88,Tasks_Tier,M$49)=0,"",SUMIFS(Tasks_Cost,Tasks_TaskID,$A88,Tasks_Tier,M$49,Tasks_Type,"as-needed"))</f>
        <v/>
      </c>
    </row>
    <row r="89" customFormat="false" ht="15" hidden="false" customHeight="false" outlineLevel="0" collapsed="false">
      <c r="A89" s="0" t="s">
        <v>1819</v>
      </c>
      <c r="B89" s="0" t="s">
        <v>939</v>
      </c>
      <c r="C89" s="0" t="s">
        <v>1820</v>
      </c>
      <c r="D89" s="3" t="n">
        <f aca="false">IF(COUNTIFS(Tasks_TaskID,$A89,Tasks_Tier,D$49)=0,"",SUMIFS(Tasks_Cost,Tasks_TaskID,$A89,Tasks_Tier,D$49,Tasks_Type,"as-needed"))</f>
        <v>79.9</v>
      </c>
      <c r="E89" s="3" t="n">
        <f aca="false">IF(COUNTIFS(Tasks_TaskID,$A89,Tasks_Tier,E$49)=0,"",SUMIFS(Tasks_Cost,Tasks_TaskID,$A89,Tasks_Tier,E$49,Tasks_Type,"as-needed"))</f>
        <v>79.9</v>
      </c>
      <c r="F89" s="3" t="n">
        <f aca="false">IF(COUNTIFS(Tasks_TaskID,$A89,Tasks_Tier,F$49)=0,"",SUMIFS(Tasks_Cost,Tasks_TaskID,$A89,Tasks_Tier,F$49,Tasks_Type,"as-needed"))</f>
        <v>79.9</v>
      </c>
      <c r="G89" s="3" t="str">
        <f aca="false">IF(COUNTIFS(Tasks_TaskID,$A89,Tasks_Tier,G$49)=0,"",SUMIFS(Tasks_Cost,Tasks_TaskID,$A89,Tasks_Tier,G$49,Tasks_Type,"as-needed"))</f>
        <v/>
      </c>
      <c r="H89" s="3" t="str">
        <f aca="false">IF(COUNTIFS(Tasks_TaskID,$A89,Tasks_Tier,H$49)=0,"",SUMIFS(Tasks_Cost,Tasks_TaskID,$A89,Tasks_Tier,H$49,Tasks_Type,"as-needed"))</f>
        <v/>
      </c>
      <c r="I89" s="3" t="str">
        <f aca="false">IF(COUNTIFS(Tasks_TaskID,$A89,Tasks_Tier,I$49)=0,"",SUMIFS(Tasks_Cost,Tasks_TaskID,$A89,Tasks_Tier,I$49,Tasks_Type,"as-needed"))</f>
        <v/>
      </c>
      <c r="J89" s="3" t="str">
        <f aca="false">IF(COUNTIFS(Tasks_TaskID,$A89,Tasks_Tier,J$49)=0,"",SUMIFS(Tasks_Cost,Tasks_TaskID,$A89,Tasks_Tier,J$49,Tasks_Type,"as-needed"))</f>
        <v/>
      </c>
      <c r="K89" s="3" t="str">
        <f aca="false">IF(COUNTIFS(Tasks_TaskID,$A89,Tasks_Tier,K$49)=0,"",SUMIFS(Tasks_Cost,Tasks_TaskID,$A89,Tasks_Tier,K$49,Tasks_Type,"as-needed"))</f>
        <v/>
      </c>
      <c r="L89" s="3" t="str">
        <f aca="false">IF(COUNTIFS(Tasks_TaskID,$A89,Tasks_Tier,L$49)=0,"",SUMIFS(Tasks_Cost,Tasks_TaskID,$A89,Tasks_Tier,L$49,Tasks_Type,"as-needed"))</f>
        <v/>
      </c>
      <c r="M89" s="3" t="str">
        <f aca="false">IF(COUNTIFS(Tasks_TaskID,$A89,Tasks_Tier,M$49)=0,"",SUMIFS(Tasks_Cost,Tasks_TaskID,$A89,Tasks_Tier,M$49,Tasks_Type,"as-needed"))</f>
        <v/>
      </c>
    </row>
    <row r="90" customFormat="false" ht="15" hidden="false" customHeight="false" outlineLevel="0" collapsed="false">
      <c r="A90" s="0" t="s">
        <v>1827</v>
      </c>
      <c r="B90" s="0" t="s">
        <v>939</v>
      </c>
      <c r="C90" s="0" t="s">
        <v>1828</v>
      </c>
      <c r="D90" s="3" t="n">
        <f aca="false">IF(COUNTIFS(Tasks_TaskID,$A90,Tasks_Tier,D$49)=0,"",SUMIFS(Tasks_Cost,Tasks_TaskID,$A90,Tasks_Tier,D$49,Tasks_Type,"as-needed"))</f>
        <v>0</v>
      </c>
      <c r="E90" s="3" t="n">
        <f aca="false">IF(COUNTIFS(Tasks_TaskID,$A90,Tasks_Tier,E$49)=0,"",SUMIFS(Tasks_Cost,Tasks_TaskID,$A90,Tasks_Tier,E$49,Tasks_Type,"as-needed"))</f>
        <v>0</v>
      </c>
      <c r="F90" s="3" t="n">
        <f aca="false">IF(COUNTIFS(Tasks_TaskID,$A90,Tasks_Tier,F$49)=0,"",SUMIFS(Tasks_Cost,Tasks_TaskID,$A90,Tasks_Tier,F$49,Tasks_Type,"as-needed"))</f>
        <v>0</v>
      </c>
      <c r="G90" s="3" t="str">
        <f aca="false">IF(COUNTIFS(Tasks_TaskID,$A90,Tasks_Tier,G$49)=0,"",SUMIFS(Tasks_Cost,Tasks_TaskID,$A90,Tasks_Tier,G$49,Tasks_Type,"as-needed"))</f>
        <v/>
      </c>
      <c r="H90" s="3" t="str">
        <f aca="false">IF(COUNTIFS(Tasks_TaskID,$A90,Tasks_Tier,H$49)=0,"",SUMIFS(Tasks_Cost,Tasks_TaskID,$A90,Tasks_Tier,H$49,Tasks_Type,"as-needed"))</f>
        <v/>
      </c>
      <c r="I90" s="3" t="str">
        <f aca="false">IF(COUNTIFS(Tasks_TaskID,$A90,Tasks_Tier,I$49)=0,"",SUMIFS(Tasks_Cost,Tasks_TaskID,$A90,Tasks_Tier,I$49,Tasks_Type,"as-needed"))</f>
        <v/>
      </c>
      <c r="J90" s="3" t="str">
        <f aca="false">IF(COUNTIFS(Tasks_TaskID,$A90,Tasks_Tier,J$49)=0,"",SUMIFS(Tasks_Cost,Tasks_TaskID,$A90,Tasks_Tier,J$49,Tasks_Type,"as-needed"))</f>
        <v/>
      </c>
      <c r="K90" s="3" t="str">
        <f aca="false">IF(COUNTIFS(Tasks_TaskID,$A90,Tasks_Tier,K$49)=0,"",SUMIFS(Tasks_Cost,Tasks_TaskID,$A90,Tasks_Tier,K$49,Tasks_Type,"as-needed"))</f>
        <v/>
      </c>
      <c r="L90" s="3" t="str">
        <f aca="false">IF(COUNTIFS(Tasks_TaskID,$A90,Tasks_Tier,L$49)=0,"",SUMIFS(Tasks_Cost,Tasks_TaskID,$A90,Tasks_Tier,L$49,Tasks_Type,"as-needed"))</f>
        <v/>
      </c>
      <c r="M90" s="3" t="str">
        <f aca="false">IF(COUNTIFS(Tasks_TaskID,$A90,Tasks_Tier,M$49)=0,"",SUMIFS(Tasks_Cost,Tasks_TaskID,$A90,Tasks_Tier,M$49,Tasks_Type,"as-needed"))</f>
        <v/>
      </c>
    </row>
    <row r="92" customFormat="false" ht="15" hidden="false" customHeight="false" outlineLevel="0" collapsed="false">
      <c r="A92" s="11" t="s">
        <v>1877</v>
      </c>
    </row>
    <row r="93" customFormat="false" ht="15" hidden="false" customHeight="false" outlineLevel="0" collapsed="false">
      <c r="A93" s="1" t="s">
        <v>1026</v>
      </c>
      <c r="B93" s="1" t="s">
        <v>1</v>
      </c>
      <c r="C93" s="1" t="s">
        <v>1027</v>
      </c>
      <c r="D93" s="1" t="s">
        <v>1042</v>
      </c>
      <c r="E93" s="1" t="s">
        <v>1049</v>
      </c>
      <c r="F93" s="1" t="s">
        <v>1051</v>
      </c>
      <c r="G93" s="1" t="s">
        <v>1055</v>
      </c>
      <c r="H93" s="1" t="s">
        <v>1070</v>
      </c>
      <c r="I93" s="1" t="s">
        <v>1074</v>
      </c>
      <c r="J93" s="1" t="s">
        <v>1078</v>
      </c>
      <c r="K93" s="1" t="s">
        <v>1659</v>
      </c>
      <c r="L93" s="1" t="s">
        <v>1679</v>
      </c>
      <c r="M93" s="1" t="s">
        <v>1691</v>
      </c>
    </row>
    <row r="94" customFormat="false" ht="15" hidden="false" customHeight="false" outlineLevel="0" collapsed="false">
      <c r="A94" s="0" t="s">
        <v>1040</v>
      </c>
      <c r="B94" s="0" t="s">
        <v>20</v>
      </c>
      <c r="C94" s="0" t="s">
        <v>1041</v>
      </c>
      <c r="D94" s="3" t="n">
        <f aca="false">IF(COUNTIFS(Tasks_TaskID,$A94,Tasks_Tier,D$93)=0,"",SUMIFS(Tasks_Cost,Tasks_TaskID,$A94,Tasks_Tier,D$93,Tasks_Type,"flagged"))</f>
        <v>0</v>
      </c>
      <c r="E94" s="3" t="n">
        <f aca="false">IF(COUNTIFS(Tasks_TaskID,$A94,Tasks_Tier,E$93)=0,"",SUMIFS(Tasks_Cost,Tasks_TaskID,$A94,Tasks_Tier,E$93,Tasks_Type,"flagged"))</f>
        <v>0</v>
      </c>
      <c r="F94" s="3" t="n">
        <f aca="false">IF(COUNTIFS(Tasks_TaskID,$A94,Tasks_Tier,F$93)=0,"",SUMIFS(Tasks_Cost,Tasks_TaskID,$A94,Tasks_Tier,F$93,Tasks_Type,"flagged"))</f>
        <v>0</v>
      </c>
      <c r="G94" s="3" t="str">
        <f aca="false">IF(COUNTIFS(Tasks_TaskID,$A94,Tasks_Tier,G$93)=0,"",SUMIFS(Tasks_Cost,Tasks_TaskID,$A94,Tasks_Tier,G$93,Tasks_Type,"flagged"))</f>
        <v/>
      </c>
      <c r="H94" s="3" t="str">
        <f aca="false">IF(COUNTIFS(Tasks_TaskID,$A94,Tasks_Tier,H$93)=0,"",SUMIFS(Tasks_Cost,Tasks_TaskID,$A94,Tasks_Tier,H$93,Tasks_Type,"flagged"))</f>
        <v/>
      </c>
      <c r="I94" s="3" t="str">
        <f aca="false">IF(COUNTIFS(Tasks_TaskID,$A94,Tasks_Tier,I$93)=0,"",SUMIFS(Tasks_Cost,Tasks_TaskID,$A94,Tasks_Tier,I$93,Tasks_Type,"flagged"))</f>
        <v/>
      </c>
      <c r="J94" s="3" t="str">
        <f aca="false">IF(COUNTIFS(Tasks_TaskID,$A94,Tasks_Tier,J$93)=0,"",SUMIFS(Tasks_Cost,Tasks_TaskID,$A94,Tasks_Tier,J$93,Tasks_Type,"flagged"))</f>
        <v/>
      </c>
      <c r="K94" s="3" t="str">
        <f aca="false">IF(COUNTIFS(Tasks_TaskID,$A94,Tasks_Tier,K$93)=0,"",SUMIFS(Tasks_Cost,Tasks_TaskID,$A94,Tasks_Tier,K$93,Tasks_Type,"flagged"))</f>
        <v/>
      </c>
      <c r="L94" s="3" t="str">
        <f aca="false">IF(COUNTIFS(Tasks_TaskID,$A94,Tasks_Tier,L$93)=0,"",SUMIFS(Tasks_Cost,Tasks_TaskID,$A94,Tasks_Tier,L$93,Tasks_Type,"flagged"))</f>
        <v/>
      </c>
      <c r="M94" s="3" t="str">
        <f aca="false">IF(COUNTIFS(Tasks_TaskID,$A94,Tasks_Tier,M$93)=0,"",SUMIFS(Tasks_Cost,Tasks_TaskID,$A94,Tasks_Tier,M$93,Tasks_Type,"flagged"))</f>
        <v/>
      </c>
    </row>
    <row r="95" customFormat="false" ht="15" hidden="false" customHeight="false" outlineLevel="0" collapsed="false">
      <c r="A95" s="0" t="s">
        <v>1053</v>
      </c>
      <c r="B95" s="0" t="s">
        <v>52</v>
      </c>
      <c r="C95" s="0" t="s">
        <v>1054</v>
      </c>
      <c r="D95" s="3" t="str">
        <f aca="false">IF(COUNTIFS(Tasks_TaskID,$A95,Tasks_Tier,D$93)=0,"",SUMIFS(Tasks_Cost,Tasks_TaskID,$A95,Tasks_Tier,D$93,Tasks_Type,"flagged"))</f>
        <v/>
      </c>
      <c r="E95" s="3" t="str">
        <f aca="false">IF(COUNTIFS(Tasks_TaskID,$A95,Tasks_Tier,E$93)=0,"",SUMIFS(Tasks_Cost,Tasks_TaskID,$A95,Tasks_Tier,E$93,Tasks_Type,"flagged"))</f>
        <v/>
      </c>
      <c r="F95" s="3" t="str">
        <f aca="false">IF(COUNTIFS(Tasks_TaskID,$A95,Tasks_Tier,F$93)=0,"",SUMIFS(Tasks_Cost,Tasks_TaskID,$A95,Tasks_Tier,F$93,Tasks_Type,"flagged"))</f>
        <v/>
      </c>
      <c r="G95" s="3" t="n">
        <f aca="false">IF(COUNTIFS(Tasks_TaskID,$A95,Tasks_Tier,G$93)=0,"",SUMIFS(Tasks_Cost,Tasks_TaskID,$A95,Tasks_Tier,G$93,Tasks_Type,"flagged"))</f>
        <v>0</v>
      </c>
      <c r="H95" s="3" t="n">
        <f aca="false">IF(COUNTIFS(Tasks_TaskID,$A95,Tasks_Tier,H$93)=0,"",SUMIFS(Tasks_Cost,Tasks_TaskID,$A95,Tasks_Tier,H$93,Tasks_Type,"flagged"))</f>
        <v>0</v>
      </c>
      <c r="I95" s="3" t="n">
        <f aca="false">IF(COUNTIFS(Tasks_TaskID,$A95,Tasks_Tier,I$93)=0,"",SUMIFS(Tasks_Cost,Tasks_TaskID,$A95,Tasks_Tier,I$93,Tasks_Type,"flagged"))</f>
        <v>0</v>
      </c>
      <c r="J95" s="3" t="n">
        <f aca="false">IF(COUNTIFS(Tasks_TaskID,$A95,Tasks_Tier,J$93)=0,"",SUMIFS(Tasks_Cost,Tasks_TaskID,$A95,Tasks_Tier,J$93,Tasks_Type,"flagged"))</f>
        <v>0</v>
      </c>
      <c r="K95" s="3" t="str">
        <f aca="false">IF(COUNTIFS(Tasks_TaskID,$A95,Tasks_Tier,K$93)=0,"",SUMIFS(Tasks_Cost,Tasks_TaskID,$A95,Tasks_Tier,K$93,Tasks_Type,"flagged"))</f>
        <v/>
      </c>
      <c r="L95" s="3" t="str">
        <f aca="false">IF(COUNTIFS(Tasks_TaskID,$A95,Tasks_Tier,L$93)=0,"",SUMIFS(Tasks_Cost,Tasks_TaskID,$A95,Tasks_Tier,L$93,Tasks_Type,"flagged"))</f>
        <v/>
      </c>
      <c r="M95" s="3" t="str">
        <f aca="false">IF(COUNTIFS(Tasks_TaskID,$A95,Tasks_Tier,M$93)=0,"",SUMIFS(Tasks_Cost,Tasks_TaskID,$A95,Tasks_Tier,M$93,Tasks_Type,"flagged"))</f>
        <v/>
      </c>
    </row>
    <row r="96" customFormat="false" ht="15" hidden="false" customHeight="false" outlineLevel="0" collapsed="false">
      <c r="A96" s="0" t="s">
        <v>1064</v>
      </c>
      <c r="B96" s="0" t="s">
        <v>52</v>
      </c>
      <c r="C96" s="0" t="s">
        <v>1065</v>
      </c>
      <c r="D96" s="3" t="str">
        <f aca="false">IF(COUNTIFS(Tasks_TaskID,$A96,Tasks_Tier,D$93)=0,"",SUMIFS(Tasks_Cost,Tasks_TaskID,$A96,Tasks_Tier,D$93,Tasks_Type,"flagged"))</f>
        <v/>
      </c>
      <c r="E96" s="3" t="str">
        <f aca="false">IF(COUNTIFS(Tasks_TaskID,$A96,Tasks_Tier,E$93)=0,"",SUMIFS(Tasks_Cost,Tasks_TaskID,$A96,Tasks_Tier,E$93,Tasks_Type,"flagged"))</f>
        <v/>
      </c>
      <c r="F96" s="3" t="str">
        <f aca="false">IF(COUNTIFS(Tasks_TaskID,$A96,Tasks_Tier,F$93)=0,"",SUMIFS(Tasks_Cost,Tasks_TaskID,$A96,Tasks_Tier,F$93,Tasks_Type,"flagged"))</f>
        <v/>
      </c>
      <c r="G96" s="3" t="n">
        <f aca="false">IF(COUNTIFS(Tasks_TaskID,$A96,Tasks_Tier,G$93)=0,"",SUMIFS(Tasks_Cost,Tasks_TaskID,$A96,Tasks_Tier,G$93,Tasks_Type,"flagged"))</f>
        <v>0</v>
      </c>
      <c r="H96" s="3" t="n">
        <f aca="false">IF(COUNTIFS(Tasks_TaskID,$A96,Tasks_Tier,H$93)=0,"",SUMIFS(Tasks_Cost,Tasks_TaskID,$A96,Tasks_Tier,H$93,Tasks_Type,"flagged"))</f>
        <v>0</v>
      </c>
      <c r="I96" s="3" t="n">
        <f aca="false">IF(COUNTIFS(Tasks_TaskID,$A96,Tasks_Tier,I$93)=0,"",SUMIFS(Tasks_Cost,Tasks_TaskID,$A96,Tasks_Tier,I$93,Tasks_Type,"flagged"))</f>
        <v>0</v>
      </c>
      <c r="J96" s="3" t="n">
        <f aca="false">IF(COUNTIFS(Tasks_TaskID,$A96,Tasks_Tier,J$93)=0,"",SUMIFS(Tasks_Cost,Tasks_TaskID,$A96,Tasks_Tier,J$93,Tasks_Type,"flagged"))</f>
        <v>0</v>
      </c>
      <c r="K96" s="3" t="str">
        <f aca="false">IF(COUNTIFS(Tasks_TaskID,$A96,Tasks_Tier,K$93)=0,"",SUMIFS(Tasks_Cost,Tasks_TaskID,$A96,Tasks_Tier,K$93,Tasks_Type,"flagged"))</f>
        <v/>
      </c>
      <c r="L96" s="3" t="str">
        <f aca="false">IF(COUNTIFS(Tasks_TaskID,$A96,Tasks_Tier,L$93)=0,"",SUMIFS(Tasks_Cost,Tasks_TaskID,$A96,Tasks_Tier,L$93,Tasks_Type,"flagged"))</f>
        <v/>
      </c>
      <c r="M96" s="3" t="str">
        <f aca="false">IF(COUNTIFS(Tasks_TaskID,$A96,Tasks_Tier,M$93)=0,"",SUMIFS(Tasks_Cost,Tasks_TaskID,$A96,Tasks_Tier,M$93,Tasks_Type,"flagged"))</f>
        <v/>
      </c>
    </row>
    <row r="97" customFormat="false" ht="15" hidden="false" customHeight="false" outlineLevel="0" collapsed="false">
      <c r="A97" s="0" t="s">
        <v>1082</v>
      </c>
      <c r="B97" s="0" t="s">
        <v>107</v>
      </c>
      <c r="C97" s="0" t="s">
        <v>1083</v>
      </c>
      <c r="D97" s="3" t="n">
        <f aca="false">IF(COUNTIFS(Tasks_TaskID,$A97,Tasks_Tier,D$93)=0,"",SUMIFS(Tasks_Cost,Tasks_TaskID,$A97,Tasks_Tier,D$93,Tasks_Type,"flagged"))</f>
        <v>0</v>
      </c>
      <c r="E97" s="3" t="n">
        <f aca="false">IF(COUNTIFS(Tasks_TaskID,$A97,Tasks_Tier,E$93)=0,"",SUMIFS(Tasks_Cost,Tasks_TaskID,$A97,Tasks_Tier,E$93,Tasks_Type,"flagged"))</f>
        <v>0</v>
      </c>
      <c r="F97" s="3" t="n">
        <f aca="false">IF(COUNTIFS(Tasks_TaskID,$A97,Tasks_Tier,F$93)=0,"",SUMIFS(Tasks_Cost,Tasks_TaskID,$A97,Tasks_Tier,F$93,Tasks_Type,"flagged"))</f>
        <v>0</v>
      </c>
      <c r="G97" s="3" t="str">
        <f aca="false">IF(COUNTIFS(Tasks_TaskID,$A97,Tasks_Tier,G$93)=0,"",SUMIFS(Tasks_Cost,Tasks_TaskID,$A97,Tasks_Tier,G$93,Tasks_Type,"flagged"))</f>
        <v/>
      </c>
      <c r="H97" s="3" t="str">
        <f aca="false">IF(COUNTIFS(Tasks_TaskID,$A97,Tasks_Tier,H$93)=0,"",SUMIFS(Tasks_Cost,Tasks_TaskID,$A97,Tasks_Tier,H$93,Tasks_Type,"flagged"))</f>
        <v/>
      </c>
      <c r="I97" s="3" t="str">
        <f aca="false">IF(COUNTIFS(Tasks_TaskID,$A97,Tasks_Tier,I$93)=0,"",SUMIFS(Tasks_Cost,Tasks_TaskID,$A97,Tasks_Tier,I$93,Tasks_Type,"flagged"))</f>
        <v/>
      </c>
      <c r="J97" s="3" t="str">
        <f aca="false">IF(COUNTIFS(Tasks_TaskID,$A97,Tasks_Tier,J$93)=0,"",SUMIFS(Tasks_Cost,Tasks_TaskID,$A97,Tasks_Tier,J$93,Tasks_Type,"flagged"))</f>
        <v/>
      </c>
      <c r="K97" s="3" t="str">
        <f aca="false">IF(COUNTIFS(Tasks_TaskID,$A97,Tasks_Tier,K$93)=0,"",SUMIFS(Tasks_Cost,Tasks_TaskID,$A97,Tasks_Tier,K$93,Tasks_Type,"flagged"))</f>
        <v/>
      </c>
      <c r="L97" s="3" t="str">
        <f aca="false">IF(COUNTIFS(Tasks_TaskID,$A97,Tasks_Tier,L$93)=0,"",SUMIFS(Tasks_Cost,Tasks_TaskID,$A97,Tasks_Tier,L$93,Tasks_Type,"flagged"))</f>
        <v/>
      </c>
      <c r="M97" s="3" t="str">
        <f aca="false">IF(COUNTIFS(Tasks_TaskID,$A97,Tasks_Tier,M$93)=0,"",SUMIFS(Tasks_Cost,Tasks_TaskID,$A97,Tasks_Tier,M$93,Tasks_Type,"flagged"))</f>
        <v/>
      </c>
    </row>
    <row r="98" customFormat="false" ht="15" hidden="false" customHeight="false" outlineLevel="0" collapsed="false">
      <c r="A98" s="0" t="s">
        <v>1088</v>
      </c>
      <c r="B98" s="0" t="s">
        <v>107</v>
      </c>
      <c r="C98" s="0" t="s">
        <v>1089</v>
      </c>
      <c r="D98" s="3" t="n">
        <f aca="false">IF(COUNTIFS(Tasks_TaskID,$A98,Tasks_Tier,D$93)=0,"",SUMIFS(Tasks_Cost,Tasks_TaskID,$A98,Tasks_Tier,D$93,Tasks_Type,"flagged"))</f>
        <v>244</v>
      </c>
      <c r="E98" s="3" t="n">
        <f aca="false">IF(COUNTIFS(Tasks_TaskID,$A98,Tasks_Tier,E$93)=0,"",SUMIFS(Tasks_Cost,Tasks_TaskID,$A98,Tasks_Tier,E$93,Tasks_Type,"flagged"))</f>
        <v>244</v>
      </c>
      <c r="F98" s="3" t="n">
        <f aca="false">IF(COUNTIFS(Tasks_TaskID,$A98,Tasks_Tier,F$93)=0,"",SUMIFS(Tasks_Cost,Tasks_TaskID,$A98,Tasks_Tier,F$93,Tasks_Type,"flagged"))</f>
        <v>244</v>
      </c>
      <c r="G98" s="3" t="str">
        <f aca="false">IF(COUNTIFS(Tasks_TaskID,$A98,Tasks_Tier,G$93)=0,"",SUMIFS(Tasks_Cost,Tasks_TaskID,$A98,Tasks_Tier,G$93,Tasks_Type,"flagged"))</f>
        <v/>
      </c>
      <c r="H98" s="3" t="str">
        <f aca="false">IF(COUNTIFS(Tasks_TaskID,$A98,Tasks_Tier,H$93)=0,"",SUMIFS(Tasks_Cost,Tasks_TaskID,$A98,Tasks_Tier,H$93,Tasks_Type,"flagged"))</f>
        <v/>
      </c>
      <c r="I98" s="3" t="str">
        <f aca="false">IF(COUNTIFS(Tasks_TaskID,$A98,Tasks_Tier,I$93)=0,"",SUMIFS(Tasks_Cost,Tasks_TaskID,$A98,Tasks_Tier,I$93,Tasks_Type,"flagged"))</f>
        <v/>
      </c>
      <c r="J98" s="3" t="str">
        <f aca="false">IF(COUNTIFS(Tasks_TaskID,$A98,Tasks_Tier,J$93)=0,"",SUMIFS(Tasks_Cost,Tasks_TaskID,$A98,Tasks_Tier,J$93,Tasks_Type,"flagged"))</f>
        <v/>
      </c>
      <c r="K98" s="3" t="str">
        <f aca="false">IF(COUNTIFS(Tasks_TaskID,$A98,Tasks_Tier,K$93)=0,"",SUMIFS(Tasks_Cost,Tasks_TaskID,$A98,Tasks_Tier,K$93,Tasks_Type,"flagged"))</f>
        <v/>
      </c>
      <c r="L98" s="3" t="str">
        <f aca="false">IF(COUNTIFS(Tasks_TaskID,$A98,Tasks_Tier,L$93)=0,"",SUMIFS(Tasks_Cost,Tasks_TaskID,$A98,Tasks_Tier,L$93,Tasks_Type,"flagged"))</f>
        <v/>
      </c>
      <c r="M98" s="3" t="str">
        <f aca="false">IF(COUNTIFS(Tasks_TaskID,$A98,Tasks_Tier,M$93)=0,"",SUMIFS(Tasks_Cost,Tasks_TaskID,$A98,Tasks_Tier,M$93,Tasks_Type,"flagged"))</f>
        <v/>
      </c>
    </row>
    <row r="99" customFormat="false" ht="15" hidden="false" customHeight="false" outlineLevel="0" collapsed="false">
      <c r="A99" s="0" t="s">
        <v>1097</v>
      </c>
      <c r="B99" s="0" t="s">
        <v>107</v>
      </c>
      <c r="C99" s="0" t="s">
        <v>1098</v>
      </c>
      <c r="D99" s="3" t="n">
        <f aca="false">IF(COUNTIFS(Tasks_TaskID,$A99,Tasks_Tier,D$93)=0,"",SUMIFS(Tasks_Cost,Tasks_TaskID,$A99,Tasks_Tier,D$93,Tasks_Type,"flagged"))</f>
        <v>0</v>
      </c>
      <c r="E99" s="3" t="n">
        <f aca="false">IF(COUNTIFS(Tasks_TaskID,$A99,Tasks_Tier,E$93)=0,"",SUMIFS(Tasks_Cost,Tasks_TaskID,$A99,Tasks_Tier,E$93,Tasks_Type,"flagged"))</f>
        <v>0</v>
      </c>
      <c r="F99" s="3" t="n">
        <f aca="false">IF(COUNTIFS(Tasks_TaskID,$A99,Tasks_Tier,F$93)=0,"",SUMIFS(Tasks_Cost,Tasks_TaskID,$A99,Tasks_Tier,F$93,Tasks_Type,"flagged"))</f>
        <v>0</v>
      </c>
      <c r="G99" s="3" t="str">
        <f aca="false">IF(COUNTIFS(Tasks_TaskID,$A99,Tasks_Tier,G$93)=0,"",SUMIFS(Tasks_Cost,Tasks_TaskID,$A99,Tasks_Tier,G$93,Tasks_Type,"flagged"))</f>
        <v/>
      </c>
      <c r="H99" s="3" t="str">
        <f aca="false">IF(COUNTIFS(Tasks_TaskID,$A99,Tasks_Tier,H$93)=0,"",SUMIFS(Tasks_Cost,Tasks_TaskID,$A99,Tasks_Tier,H$93,Tasks_Type,"flagged"))</f>
        <v/>
      </c>
      <c r="I99" s="3" t="str">
        <f aca="false">IF(COUNTIFS(Tasks_TaskID,$A99,Tasks_Tier,I$93)=0,"",SUMIFS(Tasks_Cost,Tasks_TaskID,$A99,Tasks_Tier,I$93,Tasks_Type,"flagged"))</f>
        <v/>
      </c>
      <c r="J99" s="3" t="str">
        <f aca="false">IF(COUNTIFS(Tasks_TaskID,$A99,Tasks_Tier,J$93)=0,"",SUMIFS(Tasks_Cost,Tasks_TaskID,$A99,Tasks_Tier,J$93,Tasks_Type,"flagged"))</f>
        <v/>
      </c>
      <c r="K99" s="3" t="str">
        <f aca="false">IF(COUNTIFS(Tasks_TaskID,$A99,Tasks_Tier,K$93)=0,"",SUMIFS(Tasks_Cost,Tasks_TaskID,$A99,Tasks_Tier,K$93,Tasks_Type,"flagged"))</f>
        <v/>
      </c>
      <c r="L99" s="3" t="str">
        <f aca="false">IF(COUNTIFS(Tasks_TaskID,$A99,Tasks_Tier,L$93)=0,"",SUMIFS(Tasks_Cost,Tasks_TaskID,$A99,Tasks_Tier,L$93,Tasks_Type,"flagged"))</f>
        <v/>
      </c>
      <c r="M99" s="3" t="str">
        <f aca="false">IF(COUNTIFS(Tasks_TaskID,$A99,Tasks_Tier,M$93)=0,"",SUMIFS(Tasks_Cost,Tasks_TaskID,$A99,Tasks_Tier,M$93,Tasks_Type,"flagged"))</f>
        <v/>
      </c>
    </row>
    <row r="100" customFormat="false" ht="15" hidden="false" customHeight="false" outlineLevel="0" collapsed="false">
      <c r="A100" s="0" t="s">
        <v>1117</v>
      </c>
      <c r="B100" s="0" t="s">
        <v>107</v>
      </c>
      <c r="C100" s="0" t="s">
        <v>1118</v>
      </c>
      <c r="D100" s="3" t="n">
        <f aca="false">IF(COUNTIFS(Tasks_TaskID,$A100,Tasks_Tier,D$93)=0,"",SUMIFS(Tasks_Cost,Tasks_TaskID,$A100,Tasks_Tier,D$93,Tasks_Type,"flagged"))</f>
        <v>0</v>
      </c>
      <c r="E100" s="3" t="n">
        <f aca="false">IF(COUNTIFS(Tasks_TaskID,$A100,Tasks_Tier,E$93)=0,"",SUMIFS(Tasks_Cost,Tasks_TaskID,$A100,Tasks_Tier,E$93,Tasks_Type,"flagged"))</f>
        <v>0</v>
      </c>
      <c r="F100" s="3" t="n">
        <f aca="false">IF(COUNTIFS(Tasks_TaskID,$A100,Tasks_Tier,F$93)=0,"",SUMIFS(Tasks_Cost,Tasks_TaskID,$A100,Tasks_Tier,F$93,Tasks_Type,"flagged"))</f>
        <v>0</v>
      </c>
      <c r="G100" s="3" t="str">
        <f aca="false">IF(COUNTIFS(Tasks_TaskID,$A100,Tasks_Tier,G$93)=0,"",SUMIFS(Tasks_Cost,Tasks_TaskID,$A100,Tasks_Tier,G$93,Tasks_Type,"flagged"))</f>
        <v/>
      </c>
      <c r="H100" s="3" t="str">
        <f aca="false">IF(COUNTIFS(Tasks_TaskID,$A100,Tasks_Tier,H$93)=0,"",SUMIFS(Tasks_Cost,Tasks_TaskID,$A100,Tasks_Tier,H$93,Tasks_Type,"flagged"))</f>
        <v/>
      </c>
      <c r="I100" s="3" t="str">
        <f aca="false">IF(COUNTIFS(Tasks_TaskID,$A100,Tasks_Tier,I$93)=0,"",SUMIFS(Tasks_Cost,Tasks_TaskID,$A100,Tasks_Tier,I$93,Tasks_Type,"flagged"))</f>
        <v/>
      </c>
      <c r="J100" s="3" t="str">
        <f aca="false">IF(COUNTIFS(Tasks_TaskID,$A100,Tasks_Tier,J$93)=0,"",SUMIFS(Tasks_Cost,Tasks_TaskID,$A100,Tasks_Tier,J$93,Tasks_Type,"flagged"))</f>
        <v/>
      </c>
      <c r="K100" s="3" t="str">
        <f aca="false">IF(COUNTIFS(Tasks_TaskID,$A100,Tasks_Tier,K$93)=0,"",SUMIFS(Tasks_Cost,Tasks_TaskID,$A100,Tasks_Tier,K$93,Tasks_Type,"flagged"))</f>
        <v/>
      </c>
      <c r="L100" s="3" t="str">
        <f aca="false">IF(COUNTIFS(Tasks_TaskID,$A100,Tasks_Tier,L$93)=0,"",SUMIFS(Tasks_Cost,Tasks_TaskID,$A100,Tasks_Tier,L$93,Tasks_Type,"flagged"))</f>
        <v/>
      </c>
      <c r="M100" s="3" t="str">
        <f aca="false">IF(COUNTIFS(Tasks_TaskID,$A100,Tasks_Tier,M$93)=0,"",SUMIFS(Tasks_Cost,Tasks_TaskID,$A100,Tasks_Tier,M$93,Tasks_Type,"flagged"))</f>
        <v/>
      </c>
    </row>
    <row r="101" customFormat="false" ht="15" hidden="false" customHeight="false" outlineLevel="0" collapsed="false">
      <c r="A101" s="0" t="s">
        <v>1126</v>
      </c>
      <c r="B101" s="0" t="s">
        <v>176</v>
      </c>
      <c r="C101" s="0" t="s">
        <v>1127</v>
      </c>
      <c r="D101" s="3" t="n">
        <f aca="false">IF(COUNTIFS(Tasks_TaskID,$A101,Tasks_Tier,D$93)=0,"",SUMIFS(Tasks_Cost,Tasks_TaskID,$A101,Tasks_Tier,D$93,Tasks_Type,"flagged"))</f>
        <v>982</v>
      </c>
      <c r="E101" s="3" t="n">
        <f aca="false">IF(COUNTIFS(Tasks_TaskID,$A101,Tasks_Tier,E$93)=0,"",SUMIFS(Tasks_Cost,Tasks_TaskID,$A101,Tasks_Tier,E$93,Tasks_Type,"flagged"))</f>
        <v>982</v>
      </c>
      <c r="F101" s="3" t="n">
        <f aca="false">IF(COUNTIFS(Tasks_TaskID,$A101,Tasks_Tier,F$93)=0,"",SUMIFS(Tasks_Cost,Tasks_TaskID,$A101,Tasks_Tier,F$93,Tasks_Type,"flagged"))</f>
        <v>982</v>
      </c>
      <c r="G101" s="3" t="str">
        <f aca="false">IF(COUNTIFS(Tasks_TaskID,$A101,Tasks_Tier,G$93)=0,"",SUMIFS(Tasks_Cost,Tasks_TaskID,$A101,Tasks_Tier,G$93,Tasks_Type,"flagged"))</f>
        <v/>
      </c>
      <c r="H101" s="3" t="str">
        <f aca="false">IF(COUNTIFS(Tasks_TaskID,$A101,Tasks_Tier,H$93)=0,"",SUMIFS(Tasks_Cost,Tasks_TaskID,$A101,Tasks_Tier,H$93,Tasks_Type,"flagged"))</f>
        <v/>
      </c>
      <c r="I101" s="3" t="str">
        <f aca="false">IF(COUNTIFS(Tasks_TaskID,$A101,Tasks_Tier,I$93)=0,"",SUMIFS(Tasks_Cost,Tasks_TaskID,$A101,Tasks_Tier,I$93,Tasks_Type,"flagged"))</f>
        <v/>
      </c>
      <c r="J101" s="3" t="str">
        <f aca="false">IF(COUNTIFS(Tasks_TaskID,$A101,Tasks_Tier,J$93)=0,"",SUMIFS(Tasks_Cost,Tasks_TaskID,$A101,Tasks_Tier,J$93,Tasks_Type,"flagged"))</f>
        <v/>
      </c>
      <c r="K101" s="3" t="str">
        <f aca="false">IF(COUNTIFS(Tasks_TaskID,$A101,Tasks_Tier,K$93)=0,"",SUMIFS(Tasks_Cost,Tasks_TaskID,$A101,Tasks_Tier,K$93,Tasks_Type,"flagged"))</f>
        <v/>
      </c>
      <c r="L101" s="3" t="str">
        <f aca="false">IF(COUNTIFS(Tasks_TaskID,$A101,Tasks_Tier,L$93)=0,"",SUMIFS(Tasks_Cost,Tasks_TaskID,$A101,Tasks_Tier,L$93,Tasks_Type,"flagged"))</f>
        <v/>
      </c>
      <c r="M101" s="3" t="str">
        <f aca="false">IF(COUNTIFS(Tasks_TaskID,$A101,Tasks_Tier,M$93)=0,"",SUMIFS(Tasks_Cost,Tasks_TaskID,$A101,Tasks_Tier,M$93,Tasks_Type,"flagged"))</f>
        <v/>
      </c>
    </row>
    <row r="102" customFormat="false" ht="15" hidden="false" customHeight="false" outlineLevel="0" collapsed="false">
      <c r="A102" s="0" t="s">
        <v>1136</v>
      </c>
      <c r="B102" s="0" t="s">
        <v>176</v>
      </c>
      <c r="C102" s="0" t="s">
        <v>1137</v>
      </c>
      <c r="D102" s="3" t="n">
        <f aca="false">IF(COUNTIFS(Tasks_TaskID,$A102,Tasks_Tier,D$93)=0,"",SUMIFS(Tasks_Cost,Tasks_TaskID,$A102,Tasks_Tier,D$93,Tasks_Type,"flagged"))</f>
        <v>161</v>
      </c>
      <c r="E102" s="3" t="n">
        <f aca="false">IF(COUNTIFS(Tasks_TaskID,$A102,Tasks_Tier,E$93)=0,"",SUMIFS(Tasks_Cost,Tasks_TaskID,$A102,Tasks_Tier,E$93,Tasks_Type,"flagged"))</f>
        <v>161</v>
      </c>
      <c r="F102" s="3" t="n">
        <f aca="false">IF(COUNTIFS(Tasks_TaskID,$A102,Tasks_Tier,F$93)=0,"",SUMIFS(Tasks_Cost,Tasks_TaskID,$A102,Tasks_Tier,F$93,Tasks_Type,"flagged"))</f>
        <v>161</v>
      </c>
      <c r="G102" s="3" t="str">
        <f aca="false">IF(COUNTIFS(Tasks_TaskID,$A102,Tasks_Tier,G$93)=0,"",SUMIFS(Tasks_Cost,Tasks_TaskID,$A102,Tasks_Tier,G$93,Tasks_Type,"flagged"))</f>
        <v/>
      </c>
      <c r="H102" s="3" t="str">
        <f aca="false">IF(COUNTIFS(Tasks_TaskID,$A102,Tasks_Tier,H$93)=0,"",SUMIFS(Tasks_Cost,Tasks_TaskID,$A102,Tasks_Tier,H$93,Tasks_Type,"flagged"))</f>
        <v/>
      </c>
      <c r="I102" s="3" t="str">
        <f aca="false">IF(COUNTIFS(Tasks_TaskID,$A102,Tasks_Tier,I$93)=0,"",SUMIFS(Tasks_Cost,Tasks_TaskID,$A102,Tasks_Tier,I$93,Tasks_Type,"flagged"))</f>
        <v/>
      </c>
      <c r="J102" s="3" t="str">
        <f aca="false">IF(COUNTIFS(Tasks_TaskID,$A102,Tasks_Tier,J$93)=0,"",SUMIFS(Tasks_Cost,Tasks_TaskID,$A102,Tasks_Tier,J$93,Tasks_Type,"flagged"))</f>
        <v/>
      </c>
      <c r="K102" s="3" t="str">
        <f aca="false">IF(COUNTIFS(Tasks_TaskID,$A102,Tasks_Tier,K$93)=0,"",SUMIFS(Tasks_Cost,Tasks_TaskID,$A102,Tasks_Tier,K$93,Tasks_Type,"flagged"))</f>
        <v/>
      </c>
      <c r="L102" s="3" t="str">
        <f aca="false">IF(COUNTIFS(Tasks_TaskID,$A102,Tasks_Tier,L$93)=0,"",SUMIFS(Tasks_Cost,Tasks_TaskID,$A102,Tasks_Tier,L$93,Tasks_Type,"flagged"))</f>
        <v/>
      </c>
      <c r="M102" s="3" t="str">
        <f aca="false">IF(COUNTIFS(Tasks_TaskID,$A102,Tasks_Tier,M$93)=0,"",SUMIFS(Tasks_Cost,Tasks_TaskID,$A102,Tasks_Tier,M$93,Tasks_Type,"flagged"))</f>
        <v/>
      </c>
    </row>
    <row r="103" customFormat="false" ht="15" hidden="false" customHeight="false" outlineLevel="0" collapsed="false">
      <c r="A103" s="0" t="s">
        <v>1151</v>
      </c>
      <c r="B103" s="0" t="s">
        <v>176</v>
      </c>
      <c r="C103" s="0" t="s">
        <v>1152</v>
      </c>
      <c r="D103" s="3" t="str">
        <f aca="false">IF(COUNTIFS(Tasks_TaskID,$A103,Tasks_Tier,D$93)=0,"",SUMIFS(Tasks_Cost,Tasks_TaskID,$A103,Tasks_Tier,D$93,Tasks_Type,"flagged"))</f>
        <v/>
      </c>
      <c r="E103" s="3" t="str">
        <f aca="false">IF(COUNTIFS(Tasks_TaskID,$A103,Tasks_Tier,E$93)=0,"",SUMIFS(Tasks_Cost,Tasks_TaskID,$A103,Tasks_Tier,E$93,Tasks_Type,"flagged"))</f>
        <v/>
      </c>
      <c r="F103" s="3" t="str">
        <f aca="false">IF(COUNTIFS(Tasks_TaskID,$A103,Tasks_Tier,F$93)=0,"",SUMIFS(Tasks_Cost,Tasks_TaskID,$A103,Tasks_Tier,F$93,Tasks_Type,"flagged"))</f>
        <v/>
      </c>
      <c r="G103" s="3" t="n">
        <f aca="false">IF(COUNTIFS(Tasks_TaskID,$A103,Tasks_Tier,G$93)=0,"",SUMIFS(Tasks_Cost,Tasks_TaskID,$A103,Tasks_Tier,G$93,Tasks_Type,"flagged"))</f>
        <v>473</v>
      </c>
      <c r="H103" s="3" t="n">
        <f aca="false">IF(COUNTIFS(Tasks_TaskID,$A103,Tasks_Tier,H$93)=0,"",SUMIFS(Tasks_Cost,Tasks_TaskID,$A103,Tasks_Tier,H$93,Tasks_Type,"flagged"))</f>
        <v>473</v>
      </c>
      <c r="I103" s="3" t="n">
        <f aca="false">IF(COUNTIFS(Tasks_TaskID,$A103,Tasks_Tier,I$93)=0,"",SUMIFS(Tasks_Cost,Tasks_TaskID,$A103,Tasks_Tier,I$93,Tasks_Type,"flagged"))</f>
        <v>473</v>
      </c>
      <c r="J103" s="3" t="n">
        <f aca="false">IF(COUNTIFS(Tasks_TaskID,$A103,Tasks_Tier,J$93)=0,"",SUMIFS(Tasks_Cost,Tasks_TaskID,$A103,Tasks_Tier,J$93,Tasks_Type,"flagged"))</f>
        <v>473</v>
      </c>
      <c r="K103" s="3" t="str">
        <f aca="false">IF(COUNTIFS(Tasks_TaskID,$A103,Tasks_Tier,K$93)=0,"",SUMIFS(Tasks_Cost,Tasks_TaskID,$A103,Tasks_Tier,K$93,Tasks_Type,"flagged"))</f>
        <v/>
      </c>
      <c r="L103" s="3" t="str">
        <f aca="false">IF(COUNTIFS(Tasks_TaskID,$A103,Tasks_Tier,L$93)=0,"",SUMIFS(Tasks_Cost,Tasks_TaskID,$A103,Tasks_Tier,L$93,Tasks_Type,"flagged"))</f>
        <v/>
      </c>
      <c r="M103" s="3" t="str">
        <f aca="false">IF(COUNTIFS(Tasks_TaskID,$A103,Tasks_Tier,M$93)=0,"",SUMIFS(Tasks_Cost,Tasks_TaskID,$A103,Tasks_Tier,M$93,Tasks_Type,"flagged"))</f>
        <v/>
      </c>
    </row>
    <row r="104" customFormat="false" ht="15" hidden="false" customHeight="false" outlineLevel="0" collapsed="false">
      <c r="A104" s="0" t="s">
        <v>1161</v>
      </c>
      <c r="B104" s="0" t="s">
        <v>229</v>
      </c>
      <c r="C104" s="0" t="s">
        <v>1162</v>
      </c>
      <c r="D104" s="3" t="n">
        <f aca="false">IF(COUNTIFS(Tasks_TaskID,$A104,Tasks_Tier,D$93)=0,"",SUMIFS(Tasks_Cost,Tasks_TaskID,$A104,Tasks_Tier,D$93,Tasks_Type,"flagged"))</f>
        <v>0</v>
      </c>
      <c r="E104" s="3" t="n">
        <f aca="false">IF(COUNTIFS(Tasks_TaskID,$A104,Tasks_Tier,E$93)=0,"",SUMIFS(Tasks_Cost,Tasks_TaskID,$A104,Tasks_Tier,E$93,Tasks_Type,"flagged"))</f>
        <v>0</v>
      </c>
      <c r="F104" s="3" t="n">
        <f aca="false">IF(COUNTIFS(Tasks_TaskID,$A104,Tasks_Tier,F$93)=0,"",SUMIFS(Tasks_Cost,Tasks_TaskID,$A104,Tasks_Tier,F$93,Tasks_Type,"flagged"))</f>
        <v>0</v>
      </c>
      <c r="G104" s="3" t="str">
        <f aca="false">IF(COUNTIFS(Tasks_TaskID,$A104,Tasks_Tier,G$93)=0,"",SUMIFS(Tasks_Cost,Tasks_TaskID,$A104,Tasks_Tier,G$93,Tasks_Type,"flagged"))</f>
        <v/>
      </c>
      <c r="H104" s="3" t="str">
        <f aca="false">IF(COUNTIFS(Tasks_TaskID,$A104,Tasks_Tier,H$93)=0,"",SUMIFS(Tasks_Cost,Tasks_TaskID,$A104,Tasks_Tier,H$93,Tasks_Type,"flagged"))</f>
        <v/>
      </c>
      <c r="I104" s="3" t="str">
        <f aca="false">IF(COUNTIFS(Tasks_TaskID,$A104,Tasks_Tier,I$93)=0,"",SUMIFS(Tasks_Cost,Tasks_TaskID,$A104,Tasks_Tier,I$93,Tasks_Type,"flagged"))</f>
        <v/>
      </c>
      <c r="J104" s="3" t="str">
        <f aca="false">IF(COUNTIFS(Tasks_TaskID,$A104,Tasks_Tier,J$93)=0,"",SUMIFS(Tasks_Cost,Tasks_TaskID,$A104,Tasks_Tier,J$93,Tasks_Type,"flagged"))</f>
        <v/>
      </c>
      <c r="K104" s="3" t="str">
        <f aca="false">IF(COUNTIFS(Tasks_TaskID,$A104,Tasks_Tier,K$93)=0,"",SUMIFS(Tasks_Cost,Tasks_TaskID,$A104,Tasks_Tier,K$93,Tasks_Type,"flagged"))</f>
        <v/>
      </c>
      <c r="L104" s="3" t="str">
        <f aca="false">IF(COUNTIFS(Tasks_TaskID,$A104,Tasks_Tier,L$93)=0,"",SUMIFS(Tasks_Cost,Tasks_TaskID,$A104,Tasks_Tier,L$93,Tasks_Type,"flagged"))</f>
        <v/>
      </c>
      <c r="M104" s="3" t="str">
        <f aca="false">IF(COUNTIFS(Tasks_TaskID,$A104,Tasks_Tier,M$93)=0,"",SUMIFS(Tasks_Cost,Tasks_TaskID,$A104,Tasks_Tier,M$93,Tasks_Type,"flagged"))</f>
        <v/>
      </c>
    </row>
    <row r="105" customFormat="false" ht="15" hidden="false" customHeight="false" outlineLevel="0" collapsed="false">
      <c r="A105" s="0" t="s">
        <v>1171</v>
      </c>
      <c r="B105" s="0" t="s">
        <v>229</v>
      </c>
      <c r="C105" s="0" t="s">
        <v>1172</v>
      </c>
      <c r="D105" s="3" t="n">
        <f aca="false">IF(COUNTIFS(Tasks_TaskID,$A105,Tasks_Tier,D$93)=0,"",SUMIFS(Tasks_Cost,Tasks_TaskID,$A105,Tasks_Tier,D$93,Tasks_Type,"flagged"))</f>
        <v>0</v>
      </c>
      <c r="E105" s="3" t="n">
        <f aca="false">IF(COUNTIFS(Tasks_TaskID,$A105,Tasks_Tier,E$93)=0,"",SUMIFS(Tasks_Cost,Tasks_TaskID,$A105,Tasks_Tier,E$93,Tasks_Type,"flagged"))</f>
        <v>0</v>
      </c>
      <c r="F105" s="3" t="n">
        <f aca="false">IF(COUNTIFS(Tasks_TaskID,$A105,Tasks_Tier,F$93)=0,"",SUMIFS(Tasks_Cost,Tasks_TaskID,$A105,Tasks_Tier,F$93,Tasks_Type,"flagged"))</f>
        <v>0</v>
      </c>
      <c r="G105" s="3" t="str">
        <f aca="false">IF(COUNTIFS(Tasks_TaskID,$A105,Tasks_Tier,G$93)=0,"",SUMIFS(Tasks_Cost,Tasks_TaskID,$A105,Tasks_Tier,G$93,Tasks_Type,"flagged"))</f>
        <v/>
      </c>
      <c r="H105" s="3" t="str">
        <f aca="false">IF(COUNTIFS(Tasks_TaskID,$A105,Tasks_Tier,H$93)=0,"",SUMIFS(Tasks_Cost,Tasks_TaskID,$A105,Tasks_Tier,H$93,Tasks_Type,"flagged"))</f>
        <v/>
      </c>
      <c r="I105" s="3" t="str">
        <f aca="false">IF(COUNTIFS(Tasks_TaskID,$A105,Tasks_Tier,I$93)=0,"",SUMIFS(Tasks_Cost,Tasks_TaskID,$A105,Tasks_Tier,I$93,Tasks_Type,"flagged"))</f>
        <v/>
      </c>
      <c r="J105" s="3" t="str">
        <f aca="false">IF(COUNTIFS(Tasks_TaskID,$A105,Tasks_Tier,J$93)=0,"",SUMIFS(Tasks_Cost,Tasks_TaskID,$A105,Tasks_Tier,J$93,Tasks_Type,"flagged"))</f>
        <v/>
      </c>
      <c r="K105" s="3" t="str">
        <f aca="false">IF(COUNTIFS(Tasks_TaskID,$A105,Tasks_Tier,K$93)=0,"",SUMIFS(Tasks_Cost,Tasks_TaskID,$A105,Tasks_Tier,K$93,Tasks_Type,"flagged"))</f>
        <v/>
      </c>
      <c r="L105" s="3" t="str">
        <f aca="false">IF(COUNTIFS(Tasks_TaskID,$A105,Tasks_Tier,L$93)=0,"",SUMIFS(Tasks_Cost,Tasks_TaskID,$A105,Tasks_Tier,L$93,Tasks_Type,"flagged"))</f>
        <v/>
      </c>
      <c r="M105" s="3" t="str">
        <f aca="false">IF(COUNTIFS(Tasks_TaskID,$A105,Tasks_Tier,M$93)=0,"",SUMIFS(Tasks_Cost,Tasks_TaskID,$A105,Tasks_Tier,M$93,Tasks_Type,"flagged"))</f>
        <v/>
      </c>
    </row>
    <row r="106" customFormat="false" ht="15" hidden="false" customHeight="false" outlineLevel="0" collapsed="false">
      <c r="A106" s="0" t="s">
        <v>1178</v>
      </c>
      <c r="B106" s="0" t="s">
        <v>229</v>
      </c>
      <c r="C106" s="0" t="s">
        <v>1179</v>
      </c>
      <c r="D106" s="3" t="n">
        <f aca="false">IF(COUNTIFS(Tasks_TaskID,$A106,Tasks_Tier,D$93)=0,"",SUMIFS(Tasks_Cost,Tasks_TaskID,$A106,Tasks_Tier,D$93,Tasks_Type,"flagged"))</f>
        <v>0</v>
      </c>
      <c r="E106" s="3" t="n">
        <f aca="false">IF(COUNTIFS(Tasks_TaskID,$A106,Tasks_Tier,E$93)=0,"",SUMIFS(Tasks_Cost,Tasks_TaskID,$A106,Tasks_Tier,E$93,Tasks_Type,"flagged"))</f>
        <v>0</v>
      </c>
      <c r="F106" s="3" t="n">
        <f aca="false">IF(COUNTIFS(Tasks_TaskID,$A106,Tasks_Tier,F$93)=0,"",SUMIFS(Tasks_Cost,Tasks_TaskID,$A106,Tasks_Tier,F$93,Tasks_Type,"flagged"))</f>
        <v>0</v>
      </c>
      <c r="G106" s="3" t="str">
        <f aca="false">IF(COUNTIFS(Tasks_TaskID,$A106,Tasks_Tier,G$93)=0,"",SUMIFS(Tasks_Cost,Tasks_TaskID,$A106,Tasks_Tier,G$93,Tasks_Type,"flagged"))</f>
        <v/>
      </c>
      <c r="H106" s="3" t="str">
        <f aca="false">IF(COUNTIFS(Tasks_TaskID,$A106,Tasks_Tier,H$93)=0,"",SUMIFS(Tasks_Cost,Tasks_TaskID,$A106,Tasks_Tier,H$93,Tasks_Type,"flagged"))</f>
        <v/>
      </c>
      <c r="I106" s="3" t="str">
        <f aca="false">IF(COUNTIFS(Tasks_TaskID,$A106,Tasks_Tier,I$93)=0,"",SUMIFS(Tasks_Cost,Tasks_TaskID,$A106,Tasks_Tier,I$93,Tasks_Type,"flagged"))</f>
        <v/>
      </c>
      <c r="J106" s="3" t="str">
        <f aca="false">IF(COUNTIFS(Tasks_TaskID,$A106,Tasks_Tier,J$93)=0,"",SUMIFS(Tasks_Cost,Tasks_TaskID,$A106,Tasks_Tier,J$93,Tasks_Type,"flagged"))</f>
        <v/>
      </c>
      <c r="K106" s="3" t="str">
        <f aca="false">IF(COUNTIFS(Tasks_TaskID,$A106,Tasks_Tier,K$93)=0,"",SUMIFS(Tasks_Cost,Tasks_TaskID,$A106,Tasks_Tier,K$93,Tasks_Type,"flagged"))</f>
        <v/>
      </c>
      <c r="L106" s="3" t="str">
        <f aca="false">IF(COUNTIFS(Tasks_TaskID,$A106,Tasks_Tier,L$93)=0,"",SUMIFS(Tasks_Cost,Tasks_TaskID,$A106,Tasks_Tier,L$93,Tasks_Type,"flagged"))</f>
        <v/>
      </c>
      <c r="M106" s="3" t="str">
        <f aca="false">IF(COUNTIFS(Tasks_TaskID,$A106,Tasks_Tier,M$93)=0,"",SUMIFS(Tasks_Cost,Tasks_TaskID,$A106,Tasks_Tier,M$93,Tasks_Type,"flagged"))</f>
        <v/>
      </c>
    </row>
    <row r="107" customFormat="false" ht="15" hidden="false" customHeight="false" outlineLevel="0" collapsed="false">
      <c r="A107" s="0" t="s">
        <v>1185</v>
      </c>
      <c r="B107" s="0" t="s">
        <v>273</v>
      </c>
      <c r="C107" s="0" t="s">
        <v>1186</v>
      </c>
      <c r="D107" s="3" t="n">
        <f aca="false">IF(COUNTIFS(Tasks_TaskID,$A107,Tasks_Tier,D$93)=0,"",SUMIFS(Tasks_Cost,Tasks_TaskID,$A107,Tasks_Tier,D$93,Tasks_Type,"flagged"))</f>
        <v>0</v>
      </c>
      <c r="E107" s="3" t="n">
        <f aca="false">IF(COUNTIFS(Tasks_TaskID,$A107,Tasks_Tier,E$93)=0,"",SUMIFS(Tasks_Cost,Tasks_TaskID,$A107,Tasks_Tier,E$93,Tasks_Type,"flagged"))</f>
        <v>0</v>
      </c>
      <c r="F107" s="3" t="n">
        <f aca="false">IF(COUNTIFS(Tasks_TaskID,$A107,Tasks_Tier,F$93)=0,"",SUMIFS(Tasks_Cost,Tasks_TaskID,$A107,Tasks_Tier,F$93,Tasks_Type,"flagged"))</f>
        <v>0</v>
      </c>
      <c r="G107" s="3" t="str">
        <f aca="false">IF(COUNTIFS(Tasks_TaskID,$A107,Tasks_Tier,G$93)=0,"",SUMIFS(Tasks_Cost,Tasks_TaskID,$A107,Tasks_Tier,G$93,Tasks_Type,"flagged"))</f>
        <v/>
      </c>
      <c r="H107" s="3" t="str">
        <f aca="false">IF(COUNTIFS(Tasks_TaskID,$A107,Tasks_Tier,H$93)=0,"",SUMIFS(Tasks_Cost,Tasks_TaskID,$A107,Tasks_Tier,H$93,Tasks_Type,"flagged"))</f>
        <v/>
      </c>
      <c r="I107" s="3" t="str">
        <f aca="false">IF(COUNTIFS(Tasks_TaskID,$A107,Tasks_Tier,I$93)=0,"",SUMIFS(Tasks_Cost,Tasks_TaskID,$A107,Tasks_Tier,I$93,Tasks_Type,"flagged"))</f>
        <v/>
      </c>
      <c r="J107" s="3" t="str">
        <f aca="false">IF(COUNTIFS(Tasks_TaskID,$A107,Tasks_Tier,J$93)=0,"",SUMIFS(Tasks_Cost,Tasks_TaskID,$A107,Tasks_Tier,J$93,Tasks_Type,"flagged"))</f>
        <v/>
      </c>
      <c r="K107" s="3" t="str">
        <f aca="false">IF(COUNTIFS(Tasks_TaskID,$A107,Tasks_Tier,K$93)=0,"",SUMIFS(Tasks_Cost,Tasks_TaskID,$A107,Tasks_Tier,K$93,Tasks_Type,"flagged"))</f>
        <v/>
      </c>
      <c r="L107" s="3" t="str">
        <f aca="false">IF(COUNTIFS(Tasks_TaskID,$A107,Tasks_Tier,L$93)=0,"",SUMIFS(Tasks_Cost,Tasks_TaskID,$A107,Tasks_Tier,L$93,Tasks_Type,"flagged"))</f>
        <v/>
      </c>
      <c r="M107" s="3" t="str">
        <f aca="false">IF(COUNTIFS(Tasks_TaskID,$A107,Tasks_Tier,M$93)=0,"",SUMIFS(Tasks_Cost,Tasks_TaskID,$A107,Tasks_Tier,M$93,Tasks_Type,"flagged"))</f>
        <v/>
      </c>
    </row>
    <row r="108" customFormat="false" ht="15" hidden="false" customHeight="false" outlineLevel="0" collapsed="false">
      <c r="A108" s="0" t="s">
        <v>1228</v>
      </c>
      <c r="B108" s="0" t="s">
        <v>273</v>
      </c>
      <c r="C108" s="0" t="s">
        <v>1229</v>
      </c>
      <c r="D108" s="3" t="n">
        <f aca="false">IF(COUNTIFS(Tasks_TaskID,$A108,Tasks_Tier,D$93)=0,"",SUMIFS(Tasks_Cost,Tasks_TaskID,$A108,Tasks_Tier,D$93,Tasks_Type,"flagged"))</f>
        <v>0</v>
      </c>
      <c r="E108" s="3" t="n">
        <f aca="false">IF(COUNTIFS(Tasks_TaskID,$A108,Tasks_Tier,E$93)=0,"",SUMIFS(Tasks_Cost,Tasks_TaskID,$A108,Tasks_Tier,E$93,Tasks_Type,"flagged"))</f>
        <v>0</v>
      </c>
      <c r="F108" s="3" t="n">
        <f aca="false">IF(COUNTIFS(Tasks_TaskID,$A108,Tasks_Tier,F$93)=0,"",SUMIFS(Tasks_Cost,Tasks_TaskID,$A108,Tasks_Tier,F$93,Tasks_Type,"flagged"))</f>
        <v>0</v>
      </c>
      <c r="G108" s="3" t="str">
        <f aca="false">IF(COUNTIFS(Tasks_TaskID,$A108,Tasks_Tier,G$93)=0,"",SUMIFS(Tasks_Cost,Tasks_TaskID,$A108,Tasks_Tier,G$93,Tasks_Type,"flagged"))</f>
        <v/>
      </c>
      <c r="H108" s="3" t="str">
        <f aca="false">IF(COUNTIFS(Tasks_TaskID,$A108,Tasks_Tier,H$93)=0,"",SUMIFS(Tasks_Cost,Tasks_TaskID,$A108,Tasks_Tier,H$93,Tasks_Type,"flagged"))</f>
        <v/>
      </c>
      <c r="I108" s="3" t="str">
        <f aca="false">IF(COUNTIFS(Tasks_TaskID,$A108,Tasks_Tier,I$93)=0,"",SUMIFS(Tasks_Cost,Tasks_TaskID,$A108,Tasks_Tier,I$93,Tasks_Type,"flagged"))</f>
        <v/>
      </c>
      <c r="J108" s="3" t="str">
        <f aca="false">IF(COUNTIFS(Tasks_TaskID,$A108,Tasks_Tier,J$93)=0,"",SUMIFS(Tasks_Cost,Tasks_TaskID,$A108,Tasks_Tier,J$93,Tasks_Type,"flagged"))</f>
        <v/>
      </c>
      <c r="K108" s="3" t="str">
        <f aca="false">IF(COUNTIFS(Tasks_TaskID,$A108,Tasks_Tier,K$93)=0,"",SUMIFS(Tasks_Cost,Tasks_TaskID,$A108,Tasks_Tier,K$93,Tasks_Type,"flagged"))</f>
        <v/>
      </c>
      <c r="L108" s="3" t="str">
        <f aca="false">IF(COUNTIFS(Tasks_TaskID,$A108,Tasks_Tier,L$93)=0,"",SUMIFS(Tasks_Cost,Tasks_TaskID,$A108,Tasks_Tier,L$93,Tasks_Type,"flagged"))</f>
        <v/>
      </c>
      <c r="M108" s="3" t="str">
        <f aca="false">IF(COUNTIFS(Tasks_TaskID,$A108,Tasks_Tier,M$93)=0,"",SUMIFS(Tasks_Cost,Tasks_TaskID,$A108,Tasks_Tier,M$93,Tasks_Type,"flagged"))</f>
        <v/>
      </c>
    </row>
    <row r="109" customFormat="false" ht="15" hidden="false" customHeight="false" outlineLevel="0" collapsed="false">
      <c r="A109" s="0" t="s">
        <v>1249</v>
      </c>
      <c r="B109" s="0" t="s">
        <v>273</v>
      </c>
      <c r="C109" s="0" t="s">
        <v>1250</v>
      </c>
      <c r="D109" s="3" t="n">
        <f aca="false">IF(COUNTIFS(Tasks_TaskID,$A109,Tasks_Tier,D$93)=0,"",SUMIFS(Tasks_Cost,Tasks_TaskID,$A109,Tasks_Tier,D$93,Tasks_Type,"flagged"))</f>
        <v>0</v>
      </c>
      <c r="E109" s="3" t="n">
        <f aca="false">IF(COUNTIFS(Tasks_TaskID,$A109,Tasks_Tier,E$93)=0,"",SUMIFS(Tasks_Cost,Tasks_TaskID,$A109,Tasks_Tier,E$93,Tasks_Type,"flagged"))</f>
        <v>0</v>
      </c>
      <c r="F109" s="3" t="n">
        <f aca="false">IF(COUNTIFS(Tasks_TaskID,$A109,Tasks_Tier,F$93)=0,"",SUMIFS(Tasks_Cost,Tasks_TaskID,$A109,Tasks_Tier,F$93,Tasks_Type,"flagged"))</f>
        <v>0</v>
      </c>
      <c r="G109" s="3" t="str">
        <f aca="false">IF(COUNTIFS(Tasks_TaskID,$A109,Tasks_Tier,G$93)=0,"",SUMIFS(Tasks_Cost,Tasks_TaskID,$A109,Tasks_Tier,G$93,Tasks_Type,"flagged"))</f>
        <v/>
      </c>
      <c r="H109" s="3" t="str">
        <f aca="false">IF(COUNTIFS(Tasks_TaskID,$A109,Tasks_Tier,H$93)=0,"",SUMIFS(Tasks_Cost,Tasks_TaskID,$A109,Tasks_Tier,H$93,Tasks_Type,"flagged"))</f>
        <v/>
      </c>
      <c r="I109" s="3" t="str">
        <f aca="false">IF(COUNTIFS(Tasks_TaskID,$A109,Tasks_Tier,I$93)=0,"",SUMIFS(Tasks_Cost,Tasks_TaskID,$A109,Tasks_Tier,I$93,Tasks_Type,"flagged"))</f>
        <v/>
      </c>
      <c r="J109" s="3" t="str">
        <f aca="false">IF(COUNTIFS(Tasks_TaskID,$A109,Tasks_Tier,J$93)=0,"",SUMIFS(Tasks_Cost,Tasks_TaskID,$A109,Tasks_Tier,J$93,Tasks_Type,"flagged"))</f>
        <v/>
      </c>
      <c r="K109" s="3" t="str">
        <f aca="false">IF(COUNTIFS(Tasks_TaskID,$A109,Tasks_Tier,K$93)=0,"",SUMIFS(Tasks_Cost,Tasks_TaskID,$A109,Tasks_Tier,K$93,Tasks_Type,"flagged"))</f>
        <v/>
      </c>
      <c r="L109" s="3" t="str">
        <f aca="false">IF(COUNTIFS(Tasks_TaskID,$A109,Tasks_Tier,L$93)=0,"",SUMIFS(Tasks_Cost,Tasks_TaskID,$A109,Tasks_Tier,L$93,Tasks_Type,"flagged"))</f>
        <v/>
      </c>
      <c r="M109" s="3" t="str">
        <f aca="false">IF(COUNTIFS(Tasks_TaskID,$A109,Tasks_Tier,M$93)=0,"",SUMIFS(Tasks_Cost,Tasks_TaskID,$A109,Tasks_Tier,M$93,Tasks_Type,"flagged"))</f>
        <v/>
      </c>
    </row>
    <row r="110" customFormat="false" ht="15" hidden="false" customHeight="false" outlineLevel="0" collapsed="false">
      <c r="A110" s="0" t="s">
        <v>1267</v>
      </c>
      <c r="B110" s="0" t="s">
        <v>397</v>
      </c>
      <c r="C110" s="0" t="s">
        <v>1268</v>
      </c>
      <c r="D110" s="3" t="n">
        <f aca="false">IF(COUNTIFS(Tasks_TaskID,$A110,Tasks_Tier,D$93)=0,"",SUMIFS(Tasks_Cost,Tasks_TaskID,$A110,Tasks_Tier,D$93,Tasks_Type,"flagged"))</f>
        <v>0</v>
      </c>
      <c r="E110" s="3" t="n">
        <f aca="false">IF(COUNTIFS(Tasks_TaskID,$A110,Tasks_Tier,E$93)=0,"",SUMIFS(Tasks_Cost,Tasks_TaskID,$A110,Tasks_Tier,E$93,Tasks_Type,"flagged"))</f>
        <v>0</v>
      </c>
      <c r="F110" s="3" t="n">
        <f aca="false">IF(COUNTIFS(Tasks_TaskID,$A110,Tasks_Tier,F$93)=0,"",SUMIFS(Tasks_Cost,Tasks_TaskID,$A110,Tasks_Tier,F$93,Tasks_Type,"flagged"))</f>
        <v>0</v>
      </c>
      <c r="G110" s="3" t="str">
        <f aca="false">IF(COUNTIFS(Tasks_TaskID,$A110,Tasks_Tier,G$93)=0,"",SUMIFS(Tasks_Cost,Tasks_TaskID,$A110,Tasks_Tier,G$93,Tasks_Type,"flagged"))</f>
        <v/>
      </c>
      <c r="H110" s="3" t="str">
        <f aca="false">IF(COUNTIFS(Tasks_TaskID,$A110,Tasks_Tier,H$93)=0,"",SUMIFS(Tasks_Cost,Tasks_TaskID,$A110,Tasks_Tier,H$93,Tasks_Type,"flagged"))</f>
        <v/>
      </c>
      <c r="I110" s="3" t="str">
        <f aca="false">IF(COUNTIFS(Tasks_TaskID,$A110,Tasks_Tier,I$93)=0,"",SUMIFS(Tasks_Cost,Tasks_TaskID,$A110,Tasks_Tier,I$93,Tasks_Type,"flagged"))</f>
        <v/>
      </c>
      <c r="J110" s="3" t="str">
        <f aca="false">IF(COUNTIFS(Tasks_TaskID,$A110,Tasks_Tier,J$93)=0,"",SUMIFS(Tasks_Cost,Tasks_TaskID,$A110,Tasks_Tier,J$93,Tasks_Type,"flagged"))</f>
        <v/>
      </c>
      <c r="K110" s="3" t="str">
        <f aca="false">IF(COUNTIFS(Tasks_TaskID,$A110,Tasks_Tier,K$93)=0,"",SUMIFS(Tasks_Cost,Tasks_TaskID,$A110,Tasks_Tier,K$93,Tasks_Type,"flagged"))</f>
        <v/>
      </c>
      <c r="L110" s="3" t="str">
        <f aca="false">IF(COUNTIFS(Tasks_TaskID,$A110,Tasks_Tier,L$93)=0,"",SUMIFS(Tasks_Cost,Tasks_TaskID,$A110,Tasks_Tier,L$93,Tasks_Type,"flagged"))</f>
        <v/>
      </c>
      <c r="M110" s="3" t="str">
        <f aca="false">IF(COUNTIFS(Tasks_TaskID,$A110,Tasks_Tier,M$93)=0,"",SUMIFS(Tasks_Cost,Tasks_TaskID,$A110,Tasks_Tier,M$93,Tasks_Type,"flagged"))</f>
        <v/>
      </c>
    </row>
    <row r="111" customFormat="false" ht="15" hidden="false" customHeight="false" outlineLevel="0" collapsed="false">
      <c r="A111" s="0" t="s">
        <v>1284</v>
      </c>
      <c r="B111" s="0" t="s">
        <v>397</v>
      </c>
      <c r="C111" s="0" t="s">
        <v>1285</v>
      </c>
      <c r="D111" s="3" t="n">
        <f aca="false">IF(COUNTIFS(Tasks_TaskID,$A111,Tasks_Tier,D$93)=0,"",SUMIFS(Tasks_Cost,Tasks_TaskID,$A111,Tasks_Tier,D$93,Tasks_Type,"flagged"))</f>
        <v>0</v>
      </c>
      <c r="E111" s="3" t="n">
        <f aca="false">IF(COUNTIFS(Tasks_TaskID,$A111,Tasks_Tier,E$93)=0,"",SUMIFS(Tasks_Cost,Tasks_TaskID,$A111,Tasks_Tier,E$93,Tasks_Type,"flagged"))</f>
        <v>0</v>
      </c>
      <c r="F111" s="3" t="n">
        <f aca="false">IF(COUNTIFS(Tasks_TaskID,$A111,Tasks_Tier,F$93)=0,"",SUMIFS(Tasks_Cost,Tasks_TaskID,$A111,Tasks_Tier,F$93,Tasks_Type,"flagged"))</f>
        <v>0</v>
      </c>
      <c r="G111" s="3" t="str">
        <f aca="false">IF(COUNTIFS(Tasks_TaskID,$A111,Tasks_Tier,G$93)=0,"",SUMIFS(Tasks_Cost,Tasks_TaskID,$A111,Tasks_Tier,G$93,Tasks_Type,"flagged"))</f>
        <v/>
      </c>
      <c r="H111" s="3" t="str">
        <f aca="false">IF(COUNTIFS(Tasks_TaskID,$A111,Tasks_Tier,H$93)=0,"",SUMIFS(Tasks_Cost,Tasks_TaskID,$A111,Tasks_Tier,H$93,Tasks_Type,"flagged"))</f>
        <v/>
      </c>
      <c r="I111" s="3" t="str">
        <f aca="false">IF(COUNTIFS(Tasks_TaskID,$A111,Tasks_Tier,I$93)=0,"",SUMIFS(Tasks_Cost,Tasks_TaskID,$A111,Tasks_Tier,I$93,Tasks_Type,"flagged"))</f>
        <v/>
      </c>
      <c r="J111" s="3" t="str">
        <f aca="false">IF(COUNTIFS(Tasks_TaskID,$A111,Tasks_Tier,J$93)=0,"",SUMIFS(Tasks_Cost,Tasks_TaskID,$A111,Tasks_Tier,J$93,Tasks_Type,"flagged"))</f>
        <v/>
      </c>
      <c r="K111" s="3" t="str">
        <f aca="false">IF(COUNTIFS(Tasks_TaskID,$A111,Tasks_Tier,K$93)=0,"",SUMIFS(Tasks_Cost,Tasks_TaskID,$A111,Tasks_Tier,K$93,Tasks_Type,"flagged"))</f>
        <v/>
      </c>
      <c r="L111" s="3" t="str">
        <f aca="false">IF(COUNTIFS(Tasks_TaskID,$A111,Tasks_Tier,L$93)=0,"",SUMIFS(Tasks_Cost,Tasks_TaskID,$A111,Tasks_Tier,L$93,Tasks_Type,"flagged"))</f>
        <v/>
      </c>
      <c r="M111" s="3" t="str">
        <f aca="false">IF(COUNTIFS(Tasks_TaskID,$A111,Tasks_Tier,M$93)=0,"",SUMIFS(Tasks_Cost,Tasks_TaskID,$A111,Tasks_Tier,M$93,Tasks_Type,"flagged"))</f>
        <v/>
      </c>
    </row>
    <row r="112" customFormat="false" ht="15" hidden="false" customHeight="false" outlineLevel="0" collapsed="false">
      <c r="A112" s="0" t="s">
        <v>1291</v>
      </c>
      <c r="B112" s="0" t="s">
        <v>397</v>
      </c>
      <c r="C112" s="0" t="s">
        <v>1292</v>
      </c>
      <c r="D112" s="3" t="n">
        <f aca="false">IF(COUNTIFS(Tasks_TaskID,$A112,Tasks_Tier,D$93)=0,"",SUMIFS(Tasks_Cost,Tasks_TaskID,$A112,Tasks_Tier,D$93,Tasks_Type,"flagged"))</f>
        <v>0</v>
      </c>
      <c r="E112" s="3" t="n">
        <f aca="false">IF(COUNTIFS(Tasks_TaskID,$A112,Tasks_Tier,E$93)=0,"",SUMIFS(Tasks_Cost,Tasks_TaskID,$A112,Tasks_Tier,E$93,Tasks_Type,"flagged"))</f>
        <v>0</v>
      </c>
      <c r="F112" s="3" t="n">
        <f aca="false">IF(COUNTIFS(Tasks_TaskID,$A112,Tasks_Tier,F$93)=0,"",SUMIFS(Tasks_Cost,Tasks_TaskID,$A112,Tasks_Tier,F$93,Tasks_Type,"flagged"))</f>
        <v>0</v>
      </c>
      <c r="G112" s="3" t="str">
        <f aca="false">IF(COUNTIFS(Tasks_TaskID,$A112,Tasks_Tier,G$93)=0,"",SUMIFS(Tasks_Cost,Tasks_TaskID,$A112,Tasks_Tier,G$93,Tasks_Type,"flagged"))</f>
        <v/>
      </c>
      <c r="H112" s="3" t="str">
        <f aca="false">IF(COUNTIFS(Tasks_TaskID,$A112,Tasks_Tier,H$93)=0,"",SUMIFS(Tasks_Cost,Tasks_TaskID,$A112,Tasks_Tier,H$93,Tasks_Type,"flagged"))</f>
        <v/>
      </c>
      <c r="I112" s="3" t="str">
        <f aca="false">IF(COUNTIFS(Tasks_TaskID,$A112,Tasks_Tier,I$93)=0,"",SUMIFS(Tasks_Cost,Tasks_TaskID,$A112,Tasks_Tier,I$93,Tasks_Type,"flagged"))</f>
        <v/>
      </c>
      <c r="J112" s="3" t="str">
        <f aca="false">IF(COUNTIFS(Tasks_TaskID,$A112,Tasks_Tier,J$93)=0,"",SUMIFS(Tasks_Cost,Tasks_TaskID,$A112,Tasks_Tier,J$93,Tasks_Type,"flagged"))</f>
        <v/>
      </c>
      <c r="K112" s="3" t="str">
        <f aca="false">IF(COUNTIFS(Tasks_TaskID,$A112,Tasks_Tier,K$93)=0,"",SUMIFS(Tasks_Cost,Tasks_TaskID,$A112,Tasks_Tier,K$93,Tasks_Type,"flagged"))</f>
        <v/>
      </c>
      <c r="L112" s="3" t="str">
        <f aca="false">IF(COUNTIFS(Tasks_TaskID,$A112,Tasks_Tier,L$93)=0,"",SUMIFS(Tasks_Cost,Tasks_TaskID,$A112,Tasks_Tier,L$93,Tasks_Type,"flagged"))</f>
        <v/>
      </c>
      <c r="M112" s="3" t="str">
        <f aca="false">IF(COUNTIFS(Tasks_TaskID,$A112,Tasks_Tier,M$93)=0,"",SUMIFS(Tasks_Cost,Tasks_TaskID,$A112,Tasks_Tier,M$93,Tasks_Type,"flagged"))</f>
        <v/>
      </c>
    </row>
    <row r="113" customFormat="false" ht="15" hidden="false" customHeight="false" outlineLevel="0" collapsed="false">
      <c r="A113" s="0" t="s">
        <v>1318</v>
      </c>
      <c r="B113" s="0" t="s">
        <v>496</v>
      </c>
      <c r="C113" s="0" t="s">
        <v>1319</v>
      </c>
      <c r="D113" s="3" t="n">
        <f aca="false">IF(COUNTIFS(Tasks_TaskID,$A113,Tasks_Tier,D$93)=0,"",SUMIFS(Tasks_Cost,Tasks_TaskID,$A113,Tasks_Tier,D$93,Tasks_Type,"flagged"))</f>
        <v>0</v>
      </c>
      <c r="E113" s="3" t="n">
        <f aca="false">IF(COUNTIFS(Tasks_TaskID,$A113,Tasks_Tier,E$93)=0,"",SUMIFS(Tasks_Cost,Tasks_TaskID,$A113,Tasks_Tier,E$93,Tasks_Type,"flagged"))</f>
        <v>0</v>
      </c>
      <c r="F113" s="3" t="n">
        <f aca="false">IF(COUNTIFS(Tasks_TaskID,$A113,Tasks_Tier,F$93)=0,"",SUMIFS(Tasks_Cost,Tasks_TaskID,$A113,Tasks_Tier,F$93,Tasks_Type,"flagged"))</f>
        <v>0</v>
      </c>
      <c r="G113" s="3" t="str">
        <f aca="false">IF(COUNTIFS(Tasks_TaskID,$A113,Tasks_Tier,G$93)=0,"",SUMIFS(Tasks_Cost,Tasks_TaskID,$A113,Tasks_Tier,G$93,Tasks_Type,"flagged"))</f>
        <v/>
      </c>
      <c r="H113" s="3" t="str">
        <f aca="false">IF(COUNTIFS(Tasks_TaskID,$A113,Tasks_Tier,H$93)=0,"",SUMIFS(Tasks_Cost,Tasks_TaskID,$A113,Tasks_Tier,H$93,Tasks_Type,"flagged"))</f>
        <v/>
      </c>
      <c r="I113" s="3" t="str">
        <f aca="false">IF(COUNTIFS(Tasks_TaskID,$A113,Tasks_Tier,I$93)=0,"",SUMIFS(Tasks_Cost,Tasks_TaskID,$A113,Tasks_Tier,I$93,Tasks_Type,"flagged"))</f>
        <v/>
      </c>
      <c r="J113" s="3" t="str">
        <f aca="false">IF(COUNTIFS(Tasks_TaskID,$A113,Tasks_Tier,J$93)=0,"",SUMIFS(Tasks_Cost,Tasks_TaskID,$A113,Tasks_Tier,J$93,Tasks_Type,"flagged"))</f>
        <v/>
      </c>
      <c r="K113" s="3" t="str">
        <f aca="false">IF(COUNTIFS(Tasks_TaskID,$A113,Tasks_Tier,K$93)=0,"",SUMIFS(Tasks_Cost,Tasks_TaskID,$A113,Tasks_Tier,K$93,Tasks_Type,"flagged"))</f>
        <v/>
      </c>
      <c r="L113" s="3" t="str">
        <f aca="false">IF(COUNTIFS(Tasks_TaskID,$A113,Tasks_Tier,L$93)=0,"",SUMIFS(Tasks_Cost,Tasks_TaskID,$A113,Tasks_Tier,L$93,Tasks_Type,"flagged"))</f>
        <v/>
      </c>
      <c r="M113" s="3" t="str">
        <f aca="false">IF(COUNTIFS(Tasks_TaskID,$A113,Tasks_Tier,M$93)=0,"",SUMIFS(Tasks_Cost,Tasks_TaskID,$A113,Tasks_Tier,M$93,Tasks_Type,"flagged"))</f>
        <v/>
      </c>
    </row>
    <row r="114" customFormat="false" ht="15" hidden="false" customHeight="false" outlineLevel="0" collapsed="false">
      <c r="A114" s="0" t="s">
        <v>1334</v>
      </c>
      <c r="B114" s="0" t="s">
        <v>496</v>
      </c>
      <c r="C114" s="0" t="s">
        <v>1335</v>
      </c>
      <c r="D114" s="3" t="n">
        <f aca="false">IF(COUNTIFS(Tasks_TaskID,$A114,Tasks_Tier,D$93)=0,"",SUMIFS(Tasks_Cost,Tasks_TaskID,$A114,Tasks_Tier,D$93,Tasks_Type,"flagged"))</f>
        <v>0</v>
      </c>
      <c r="E114" s="3" t="n">
        <f aca="false">IF(COUNTIFS(Tasks_TaskID,$A114,Tasks_Tier,E$93)=0,"",SUMIFS(Tasks_Cost,Tasks_TaskID,$A114,Tasks_Tier,E$93,Tasks_Type,"flagged"))</f>
        <v>0</v>
      </c>
      <c r="F114" s="3" t="n">
        <f aca="false">IF(COUNTIFS(Tasks_TaskID,$A114,Tasks_Tier,F$93)=0,"",SUMIFS(Tasks_Cost,Tasks_TaskID,$A114,Tasks_Tier,F$93,Tasks_Type,"flagged"))</f>
        <v>0</v>
      </c>
      <c r="G114" s="3" t="str">
        <f aca="false">IF(COUNTIFS(Tasks_TaskID,$A114,Tasks_Tier,G$93)=0,"",SUMIFS(Tasks_Cost,Tasks_TaskID,$A114,Tasks_Tier,G$93,Tasks_Type,"flagged"))</f>
        <v/>
      </c>
      <c r="H114" s="3" t="str">
        <f aca="false">IF(COUNTIFS(Tasks_TaskID,$A114,Tasks_Tier,H$93)=0,"",SUMIFS(Tasks_Cost,Tasks_TaskID,$A114,Tasks_Tier,H$93,Tasks_Type,"flagged"))</f>
        <v/>
      </c>
      <c r="I114" s="3" t="str">
        <f aca="false">IF(COUNTIFS(Tasks_TaskID,$A114,Tasks_Tier,I$93)=0,"",SUMIFS(Tasks_Cost,Tasks_TaskID,$A114,Tasks_Tier,I$93,Tasks_Type,"flagged"))</f>
        <v/>
      </c>
      <c r="J114" s="3" t="str">
        <f aca="false">IF(COUNTIFS(Tasks_TaskID,$A114,Tasks_Tier,J$93)=0,"",SUMIFS(Tasks_Cost,Tasks_TaskID,$A114,Tasks_Tier,J$93,Tasks_Type,"flagged"))</f>
        <v/>
      </c>
      <c r="K114" s="3" t="str">
        <f aca="false">IF(COUNTIFS(Tasks_TaskID,$A114,Tasks_Tier,K$93)=0,"",SUMIFS(Tasks_Cost,Tasks_TaskID,$A114,Tasks_Tier,K$93,Tasks_Type,"flagged"))</f>
        <v/>
      </c>
      <c r="L114" s="3" t="str">
        <f aca="false">IF(COUNTIFS(Tasks_TaskID,$A114,Tasks_Tier,L$93)=0,"",SUMIFS(Tasks_Cost,Tasks_TaskID,$A114,Tasks_Tier,L$93,Tasks_Type,"flagged"))</f>
        <v/>
      </c>
      <c r="M114" s="3" t="str">
        <f aca="false">IF(COUNTIFS(Tasks_TaskID,$A114,Tasks_Tier,M$93)=0,"",SUMIFS(Tasks_Cost,Tasks_TaskID,$A114,Tasks_Tier,M$93,Tasks_Type,"flagged"))</f>
        <v/>
      </c>
    </row>
    <row r="115" customFormat="false" ht="15" hidden="false" customHeight="false" outlineLevel="0" collapsed="false">
      <c r="A115" s="0" t="s">
        <v>1365</v>
      </c>
      <c r="B115" s="0" t="s">
        <v>496</v>
      </c>
      <c r="C115" s="0" t="s">
        <v>1366</v>
      </c>
      <c r="D115" s="3" t="n">
        <f aca="false">IF(COUNTIFS(Tasks_TaskID,$A115,Tasks_Tier,D$93)=0,"",SUMIFS(Tasks_Cost,Tasks_TaskID,$A115,Tasks_Tier,D$93,Tasks_Type,"flagged"))</f>
        <v>0</v>
      </c>
      <c r="E115" s="3" t="n">
        <f aca="false">IF(COUNTIFS(Tasks_TaskID,$A115,Tasks_Tier,E$93)=0,"",SUMIFS(Tasks_Cost,Tasks_TaskID,$A115,Tasks_Tier,E$93,Tasks_Type,"flagged"))</f>
        <v>0</v>
      </c>
      <c r="F115" s="3" t="n">
        <f aca="false">IF(COUNTIFS(Tasks_TaskID,$A115,Tasks_Tier,F$93)=0,"",SUMIFS(Tasks_Cost,Tasks_TaskID,$A115,Tasks_Tier,F$93,Tasks_Type,"flagged"))</f>
        <v>0</v>
      </c>
      <c r="G115" s="3" t="str">
        <f aca="false">IF(COUNTIFS(Tasks_TaskID,$A115,Tasks_Tier,G$93)=0,"",SUMIFS(Tasks_Cost,Tasks_TaskID,$A115,Tasks_Tier,G$93,Tasks_Type,"flagged"))</f>
        <v/>
      </c>
      <c r="H115" s="3" t="str">
        <f aca="false">IF(COUNTIFS(Tasks_TaskID,$A115,Tasks_Tier,H$93)=0,"",SUMIFS(Tasks_Cost,Tasks_TaskID,$A115,Tasks_Tier,H$93,Tasks_Type,"flagged"))</f>
        <v/>
      </c>
      <c r="I115" s="3" t="str">
        <f aca="false">IF(COUNTIFS(Tasks_TaskID,$A115,Tasks_Tier,I$93)=0,"",SUMIFS(Tasks_Cost,Tasks_TaskID,$A115,Tasks_Tier,I$93,Tasks_Type,"flagged"))</f>
        <v/>
      </c>
      <c r="J115" s="3" t="str">
        <f aca="false">IF(COUNTIFS(Tasks_TaskID,$A115,Tasks_Tier,J$93)=0,"",SUMIFS(Tasks_Cost,Tasks_TaskID,$A115,Tasks_Tier,J$93,Tasks_Type,"flagged"))</f>
        <v/>
      </c>
      <c r="K115" s="3" t="str">
        <f aca="false">IF(COUNTIFS(Tasks_TaskID,$A115,Tasks_Tier,K$93)=0,"",SUMIFS(Tasks_Cost,Tasks_TaskID,$A115,Tasks_Tier,K$93,Tasks_Type,"flagged"))</f>
        <v/>
      </c>
      <c r="L115" s="3" t="str">
        <f aca="false">IF(COUNTIFS(Tasks_TaskID,$A115,Tasks_Tier,L$93)=0,"",SUMIFS(Tasks_Cost,Tasks_TaskID,$A115,Tasks_Tier,L$93,Tasks_Type,"flagged"))</f>
        <v/>
      </c>
      <c r="M115" s="3" t="str">
        <f aca="false">IF(COUNTIFS(Tasks_TaskID,$A115,Tasks_Tier,M$93)=0,"",SUMIFS(Tasks_Cost,Tasks_TaskID,$A115,Tasks_Tier,M$93,Tasks_Type,"flagged"))</f>
        <v/>
      </c>
    </row>
    <row r="116" customFormat="false" ht="15" hidden="false" customHeight="false" outlineLevel="0" collapsed="false">
      <c r="A116" s="0" t="s">
        <v>1372</v>
      </c>
      <c r="B116" s="0" t="s">
        <v>590</v>
      </c>
      <c r="C116" s="0" t="s">
        <v>1373</v>
      </c>
      <c r="D116" s="3" t="n">
        <f aca="false">IF(COUNTIFS(Tasks_TaskID,$A116,Tasks_Tier,D$93)=0,"",SUMIFS(Tasks_Cost,Tasks_TaskID,$A116,Tasks_Tier,D$93,Tasks_Type,"flagged"))</f>
        <v>0</v>
      </c>
      <c r="E116" s="3" t="n">
        <f aca="false">IF(COUNTIFS(Tasks_TaskID,$A116,Tasks_Tier,E$93)=0,"",SUMIFS(Tasks_Cost,Tasks_TaskID,$A116,Tasks_Tier,E$93,Tasks_Type,"flagged"))</f>
        <v>0</v>
      </c>
      <c r="F116" s="3" t="n">
        <f aca="false">IF(COUNTIFS(Tasks_TaskID,$A116,Tasks_Tier,F$93)=0,"",SUMIFS(Tasks_Cost,Tasks_TaskID,$A116,Tasks_Tier,F$93,Tasks_Type,"flagged"))</f>
        <v>0</v>
      </c>
      <c r="G116" s="3" t="str">
        <f aca="false">IF(COUNTIFS(Tasks_TaskID,$A116,Tasks_Tier,G$93)=0,"",SUMIFS(Tasks_Cost,Tasks_TaskID,$A116,Tasks_Tier,G$93,Tasks_Type,"flagged"))</f>
        <v/>
      </c>
      <c r="H116" s="3" t="str">
        <f aca="false">IF(COUNTIFS(Tasks_TaskID,$A116,Tasks_Tier,H$93)=0,"",SUMIFS(Tasks_Cost,Tasks_TaskID,$A116,Tasks_Tier,H$93,Tasks_Type,"flagged"))</f>
        <v/>
      </c>
      <c r="I116" s="3" t="str">
        <f aca="false">IF(COUNTIFS(Tasks_TaskID,$A116,Tasks_Tier,I$93)=0,"",SUMIFS(Tasks_Cost,Tasks_TaskID,$A116,Tasks_Tier,I$93,Tasks_Type,"flagged"))</f>
        <v/>
      </c>
      <c r="J116" s="3" t="str">
        <f aca="false">IF(COUNTIFS(Tasks_TaskID,$A116,Tasks_Tier,J$93)=0,"",SUMIFS(Tasks_Cost,Tasks_TaskID,$A116,Tasks_Tier,J$93,Tasks_Type,"flagged"))</f>
        <v/>
      </c>
      <c r="K116" s="3" t="str">
        <f aca="false">IF(COUNTIFS(Tasks_TaskID,$A116,Tasks_Tier,K$93)=0,"",SUMIFS(Tasks_Cost,Tasks_TaskID,$A116,Tasks_Tier,K$93,Tasks_Type,"flagged"))</f>
        <v/>
      </c>
      <c r="L116" s="3" t="str">
        <f aca="false">IF(COUNTIFS(Tasks_TaskID,$A116,Tasks_Tier,L$93)=0,"",SUMIFS(Tasks_Cost,Tasks_TaskID,$A116,Tasks_Tier,L$93,Tasks_Type,"flagged"))</f>
        <v/>
      </c>
      <c r="M116" s="3" t="str">
        <f aca="false">IF(COUNTIFS(Tasks_TaskID,$A116,Tasks_Tier,M$93)=0,"",SUMIFS(Tasks_Cost,Tasks_TaskID,$A116,Tasks_Tier,M$93,Tasks_Type,"flagged"))</f>
        <v/>
      </c>
    </row>
    <row r="117" customFormat="false" ht="15" hidden="false" customHeight="false" outlineLevel="0" collapsed="false">
      <c r="A117" s="0" t="s">
        <v>1386</v>
      </c>
      <c r="B117" s="0" t="s">
        <v>618</v>
      </c>
      <c r="C117" s="0" t="s">
        <v>1387</v>
      </c>
      <c r="D117" s="3" t="n">
        <f aca="false">IF(COUNTIFS(Tasks_TaskID,$A117,Tasks_Tier,D$93)=0,"",SUMIFS(Tasks_Cost,Tasks_TaskID,$A117,Tasks_Tier,D$93,Tasks_Type,"flagged"))</f>
        <v>0</v>
      </c>
      <c r="E117" s="3" t="n">
        <f aca="false">IF(COUNTIFS(Tasks_TaskID,$A117,Tasks_Tier,E$93)=0,"",SUMIFS(Tasks_Cost,Tasks_TaskID,$A117,Tasks_Tier,E$93,Tasks_Type,"flagged"))</f>
        <v>0</v>
      </c>
      <c r="F117" s="3" t="n">
        <f aca="false">IF(COUNTIFS(Tasks_TaskID,$A117,Tasks_Tier,F$93)=0,"",SUMIFS(Tasks_Cost,Tasks_TaskID,$A117,Tasks_Tier,F$93,Tasks_Type,"flagged"))</f>
        <v>0</v>
      </c>
      <c r="G117" s="3" t="str">
        <f aca="false">IF(COUNTIFS(Tasks_TaskID,$A117,Tasks_Tier,G$93)=0,"",SUMIFS(Tasks_Cost,Tasks_TaskID,$A117,Tasks_Tier,G$93,Tasks_Type,"flagged"))</f>
        <v/>
      </c>
      <c r="H117" s="3" t="str">
        <f aca="false">IF(COUNTIFS(Tasks_TaskID,$A117,Tasks_Tier,H$93)=0,"",SUMIFS(Tasks_Cost,Tasks_TaskID,$A117,Tasks_Tier,H$93,Tasks_Type,"flagged"))</f>
        <v/>
      </c>
      <c r="I117" s="3" t="str">
        <f aca="false">IF(COUNTIFS(Tasks_TaskID,$A117,Tasks_Tier,I$93)=0,"",SUMIFS(Tasks_Cost,Tasks_TaskID,$A117,Tasks_Tier,I$93,Tasks_Type,"flagged"))</f>
        <v/>
      </c>
      <c r="J117" s="3" t="str">
        <f aca="false">IF(COUNTIFS(Tasks_TaskID,$A117,Tasks_Tier,J$93)=0,"",SUMIFS(Tasks_Cost,Tasks_TaskID,$A117,Tasks_Tier,J$93,Tasks_Type,"flagged"))</f>
        <v/>
      </c>
      <c r="K117" s="3" t="str">
        <f aca="false">IF(COUNTIFS(Tasks_TaskID,$A117,Tasks_Tier,K$93)=0,"",SUMIFS(Tasks_Cost,Tasks_TaskID,$A117,Tasks_Tier,K$93,Tasks_Type,"flagged"))</f>
        <v/>
      </c>
      <c r="L117" s="3" t="str">
        <f aca="false">IF(COUNTIFS(Tasks_TaskID,$A117,Tasks_Tier,L$93)=0,"",SUMIFS(Tasks_Cost,Tasks_TaskID,$A117,Tasks_Tier,L$93,Tasks_Type,"flagged"))</f>
        <v/>
      </c>
      <c r="M117" s="3" t="str">
        <f aca="false">IF(COUNTIFS(Tasks_TaskID,$A117,Tasks_Tier,M$93)=0,"",SUMIFS(Tasks_Cost,Tasks_TaskID,$A117,Tasks_Tier,M$93,Tasks_Type,"flagged"))</f>
        <v/>
      </c>
    </row>
    <row r="118" customFormat="false" ht="15" hidden="false" customHeight="false" outlineLevel="0" collapsed="false">
      <c r="A118" s="0" t="s">
        <v>1396</v>
      </c>
      <c r="B118" s="0" t="s">
        <v>618</v>
      </c>
      <c r="C118" s="0" t="s">
        <v>1397</v>
      </c>
      <c r="D118" s="3" t="n">
        <f aca="false">IF(COUNTIFS(Tasks_TaskID,$A118,Tasks_Tier,D$93)=0,"",SUMIFS(Tasks_Cost,Tasks_TaskID,$A118,Tasks_Tier,D$93,Tasks_Type,"flagged"))</f>
        <v>0</v>
      </c>
      <c r="E118" s="3" t="n">
        <f aca="false">IF(COUNTIFS(Tasks_TaskID,$A118,Tasks_Tier,E$93)=0,"",SUMIFS(Tasks_Cost,Tasks_TaskID,$A118,Tasks_Tier,E$93,Tasks_Type,"flagged"))</f>
        <v>0</v>
      </c>
      <c r="F118" s="3" t="n">
        <f aca="false">IF(COUNTIFS(Tasks_TaskID,$A118,Tasks_Tier,F$93)=0,"",SUMIFS(Tasks_Cost,Tasks_TaskID,$A118,Tasks_Tier,F$93,Tasks_Type,"flagged"))</f>
        <v>0</v>
      </c>
      <c r="G118" s="3" t="str">
        <f aca="false">IF(COUNTIFS(Tasks_TaskID,$A118,Tasks_Tier,G$93)=0,"",SUMIFS(Tasks_Cost,Tasks_TaskID,$A118,Tasks_Tier,G$93,Tasks_Type,"flagged"))</f>
        <v/>
      </c>
      <c r="H118" s="3" t="str">
        <f aca="false">IF(COUNTIFS(Tasks_TaskID,$A118,Tasks_Tier,H$93)=0,"",SUMIFS(Tasks_Cost,Tasks_TaskID,$A118,Tasks_Tier,H$93,Tasks_Type,"flagged"))</f>
        <v/>
      </c>
      <c r="I118" s="3" t="str">
        <f aca="false">IF(COUNTIFS(Tasks_TaskID,$A118,Tasks_Tier,I$93)=0,"",SUMIFS(Tasks_Cost,Tasks_TaskID,$A118,Tasks_Tier,I$93,Tasks_Type,"flagged"))</f>
        <v/>
      </c>
      <c r="J118" s="3" t="str">
        <f aca="false">IF(COUNTIFS(Tasks_TaskID,$A118,Tasks_Tier,J$93)=0,"",SUMIFS(Tasks_Cost,Tasks_TaskID,$A118,Tasks_Tier,J$93,Tasks_Type,"flagged"))</f>
        <v/>
      </c>
      <c r="K118" s="3" t="str">
        <f aca="false">IF(COUNTIFS(Tasks_TaskID,$A118,Tasks_Tier,K$93)=0,"",SUMIFS(Tasks_Cost,Tasks_TaskID,$A118,Tasks_Tier,K$93,Tasks_Type,"flagged"))</f>
        <v/>
      </c>
      <c r="L118" s="3" t="str">
        <f aca="false">IF(COUNTIFS(Tasks_TaskID,$A118,Tasks_Tier,L$93)=0,"",SUMIFS(Tasks_Cost,Tasks_TaskID,$A118,Tasks_Tier,L$93,Tasks_Type,"flagged"))</f>
        <v/>
      </c>
      <c r="M118" s="3" t="str">
        <f aca="false">IF(COUNTIFS(Tasks_TaskID,$A118,Tasks_Tier,M$93)=0,"",SUMIFS(Tasks_Cost,Tasks_TaskID,$A118,Tasks_Tier,M$93,Tasks_Type,"flagged"))</f>
        <v/>
      </c>
    </row>
    <row r="119" customFormat="false" ht="15" hidden="false" customHeight="false" outlineLevel="0" collapsed="false">
      <c r="A119" s="0" t="s">
        <v>1415</v>
      </c>
      <c r="B119" s="0" t="s">
        <v>646</v>
      </c>
      <c r="C119" s="0" t="s">
        <v>1416</v>
      </c>
      <c r="D119" s="3" t="n">
        <f aca="false">IF(COUNTIFS(Tasks_TaskID,$A119,Tasks_Tier,D$93)=0,"",SUMIFS(Tasks_Cost,Tasks_TaskID,$A119,Tasks_Tier,D$93,Tasks_Type,"flagged"))</f>
        <v>0</v>
      </c>
      <c r="E119" s="3" t="n">
        <f aca="false">IF(COUNTIFS(Tasks_TaskID,$A119,Tasks_Tier,E$93)=0,"",SUMIFS(Tasks_Cost,Tasks_TaskID,$A119,Tasks_Tier,E$93,Tasks_Type,"flagged"))</f>
        <v>0</v>
      </c>
      <c r="F119" s="3" t="n">
        <f aca="false">IF(COUNTIFS(Tasks_TaskID,$A119,Tasks_Tier,F$93)=0,"",SUMIFS(Tasks_Cost,Tasks_TaskID,$A119,Tasks_Tier,F$93,Tasks_Type,"flagged"))</f>
        <v>0</v>
      </c>
      <c r="G119" s="3" t="str">
        <f aca="false">IF(COUNTIFS(Tasks_TaskID,$A119,Tasks_Tier,G$93)=0,"",SUMIFS(Tasks_Cost,Tasks_TaskID,$A119,Tasks_Tier,G$93,Tasks_Type,"flagged"))</f>
        <v/>
      </c>
      <c r="H119" s="3" t="str">
        <f aca="false">IF(COUNTIFS(Tasks_TaskID,$A119,Tasks_Tier,H$93)=0,"",SUMIFS(Tasks_Cost,Tasks_TaskID,$A119,Tasks_Tier,H$93,Tasks_Type,"flagged"))</f>
        <v/>
      </c>
      <c r="I119" s="3" t="str">
        <f aca="false">IF(COUNTIFS(Tasks_TaskID,$A119,Tasks_Tier,I$93)=0,"",SUMIFS(Tasks_Cost,Tasks_TaskID,$A119,Tasks_Tier,I$93,Tasks_Type,"flagged"))</f>
        <v/>
      </c>
      <c r="J119" s="3" t="str">
        <f aca="false">IF(COUNTIFS(Tasks_TaskID,$A119,Tasks_Tier,J$93)=0,"",SUMIFS(Tasks_Cost,Tasks_TaskID,$A119,Tasks_Tier,J$93,Tasks_Type,"flagged"))</f>
        <v/>
      </c>
      <c r="K119" s="3" t="str">
        <f aca="false">IF(COUNTIFS(Tasks_TaskID,$A119,Tasks_Tier,K$93)=0,"",SUMIFS(Tasks_Cost,Tasks_TaskID,$A119,Tasks_Tier,K$93,Tasks_Type,"flagged"))</f>
        <v/>
      </c>
      <c r="L119" s="3" t="str">
        <f aca="false">IF(COUNTIFS(Tasks_TaskID,$A119,Tasks_Tier,L$93)=0,"",SUMIFS(Tasks_Cost,Tasks_TaskID,$A119,Tasks_Tier,L$93,Tasks_Type,"flagged"))</f>
        <v/>
      </c>
      <c r="M119" s="3" t="str">
        <f aca="false">IF(COUNTIFS(Tasks_TaskID,$A119,Tasks_Tier,M$93)=0,"",SUMIFS(Tasks_Cost,Tasks_TaskID,$A119,Tasks_Tier,M$93,Tasks_Type,"flagged"))</f>
        <v/>
      </c>
    </row>
    <row r="120" customFormat="false" ht="15" hidden="false" customHeight="false" outlineLevel="0" collapsed="false">
      <c r="A120" s="0" t="s">
        <v>1430</v>
      </c>
      <c r="B120" s="0" t="s">
        <v>677</v>
      </c>
      <c r="C120" s="0" t="s">
        <v>1431</v>
      </c>
      <c r="D120" s="3" t="n">
        <f aca="false">IF(COUNTIFS(Tasks_TaskID,$A120,Tasks_Tier,D$93)=0,"",SUMIFS(Tasks_Cost,Tasks_TaskID,$A120,Tasks_Tier,D$93,Tasks_Type,"flagged"))</f>
        <v>0</v>
      </c>
      <c r="E120" s="3" t="n">
        <f aca="false">IF(COUNTIFS(Tasks_TaskID,$A120,Tasks_Tier,E$93)=0,"",SUMIFS(Tasks_Cost,Tasks_TaskID,$A120,Tasks_Tier,E$93,Tasks_Type,"flagged"))</f>
        <v>0</v>
      </c>
      <c r="F120" s="3" t="n">
        <f aca="false">IF(COUNTIFS(Tasks_TaskID,$A120,Tasks_Tier,F$93)=0,"",SUMIFS(Tasks_Cost,Tasks_TaskID,$A120,Tasks_Tier,F$93,Tasks_Type,"flagged"))</f>
        <v>0</v>
      </c>
      <c r="G120" s="3" t="str">
        <f aca="false">IF(COUNTIFS(Tasks_TaskID,$A120,Tasks_Tier,G$93)=0,"",SUMIFS(Tasks_Cost,Tasks_TaskID,$A120,Tasks_Tier,G$93,Tasks_Type,"flagged"))</f>
        <v/>
      </c>
      <c r="H120" s="3" t="str">
        <f aca="false">IF(COUNTIFS(Tasks_TaskID,$A120,Tasks_Tier,H$93)=0,"",SUMIFS(Tasks_Cost,Tasks_TaskID,$A120,Tasks_Tier,H$93,Tasks_Type,"flagged"))</f>
        <v/>
      </c>
      <c r="I120" s="3" t="str">
        <f aca="false">IF(COUNTIFS(Tasks_TaskID,$A120,Tasks_Tier,I$93)=0,"",SUMIFS(Tasks_Cost,Tasks_TaskID,$A120,Tasks_Tier,I$93,Tasks_Type,"flagged"))</f>
        <v/>
      </c>
      <c r="J120" s="3" t="str">
        <f aca="false">IF(COUNTIFS(Tasks_TaskID,$A120,Tasks_Tier,J$93)=0,"",SUMIFS(Tasks_Cost,Tasks_TaskID,$A120,Tasks_Tier,J$93,Tasks_Type,"flagged"))</f>
        <v/>
      </c>
      <c r="K120" s="3" t="str">
        <f aca="false">IF(COUNTIFS(Tasks_TaskID,$A120,Tasks_Tier,K$93)=0,"",SUMIFS(Tasks_Cost,Tasks_TaskID,$A120,Tasks_Tier,K$93,Tasks_Type,"flagged"))</f>
        <v/>
      </c>
      <c r="L120" s="3" t="str">
        <f aca="false">IF(COUNTIFS(Tasks_TaskID,$A120,Tasks_Tier,L$93)=0,"",SUMIFS(Tasks_Cost,Tasks_TaskID,$A120,Tasks_Tier,L$93,Tasks_Type,"flagged"))</f>
        <v/>
      </c>
      <c r="M120" s="3" t="str">
        <f aca="false">IF(COUNTIFS(Tasks_TaskID,$A120,Tasks_Tier,M$93)=0,"",SUMIFS(Tasks_Cost,Tasks_TaskID,$A120,Tasks_Tier,M$93,Tasks_Type,"flagged"))</f>
        <v/>
      </c>
    </row>
    <row r="121" customFormat="false" ht="15" hidden="false" customHeight="false" outlineLevel="0" collapsed="false">
      <c r="A121" s="0" t="s">
        <v>1439</v>
      </c>
      <c r="B121" s="0" t="s">
        <v>677</v>
      </c>
      <c r="C121" s="0" t="s">
        <v>1440</v>
      </c>
      <c r="D121" s="3" t="n">
        <f aca="false">IF(COUNTIFS(Tasks_TaskID,$A121,Tasks_Tier,D$93)=0,"",SUMIFS(Tasks_Cost,Tasks_TaskID,$A121,Tasks_Tier,D$93,Tasks_Type,"flagged"))</f>
        <v>0</v>
      </c>
      <c r="E121" s="3" t="n">
        <f aca="false">IF(COUNTIFS(Tasks_TaskID,$A121,Tasks_Tier,E$93)=0,"",SUMIFS(Tasks_Cost,Tasks_TaskID,$A121,Tasks_Tier,E$93,Tasks_Type,"flagged"))</f>
        <v>0</v>
      </c>
      <c r="F121" s="3" t="n">
        <f aca="false">IF(COUNTIFS(Tasks_TaskID,$A121,Tasks_Tier,F$93)=0,"",SUMIFS(Tasks_Cost,Tasks_TaskID,$A121,Tasks_Tier,F$93,Tasks_Type,"flagged"))</f>
        <v>0</v>
      </c>
      <c r="G121" s="3" t="str">
        <f aca="false">IF(COUNTIFS(Tasks_TaskID,$A121,Tasks_Tier,G$93)=0,"",SUMIFS(Tasks_Cost,Tasks_TaskID,$A121,Tasks_Tier,G$93,Tasks_Type,"flagged"))</f>
        <v/>
      </c>
      <c r="H121" s="3" t="str">
        <f aca="false">IF(COUNTIFS(Tasks_TaskID,$A121,Tasks_Tier,H$93)=0,"",SUMIFS(Tasks_Cost,Tasks_TaskID,$A121,Tasks_Tier,H$93,Tasks_Type,"flagged"))</f>
        <v/>
      </c>
      <c r="I121" s="3" t="str">
        <f aca="false">IF(COUNTIFS(Tasks_TaskID,$A121,Tasks_Tier,I$93)=0,"",SUMIFS(Tasks_Cost,Tasks_TaskID,$A121,Tasks_Tier,I$93,Tasks_Type,"flagged"))</f>
        <v/>
      </c>
      <c r="J121" s="3" t="str">
        <f aca="false">IF(COUNTIFS(Tasks_TaskID,$A121,Tasks_Tier,J$93)=0,"",SUMIFS(Tasks_Cost,Tasks_TaskID,$A121,Tasks_Tier,J$93,Tasks_Type,"flagged"))</f>
        <v/>
      </c>
      <c r="K121" s="3" t="str">
        <f aca="false">IF(COUNTIFS(Tasks_TaskID,$A121,Tasks_Tier,K$93)=0,"",SUMIFS(Tasks_Cost,Tasks_TaskID,$A121,Tasks_Tier,K$93,Tasks_Type,"flagged"))</f>
        <v/>
      </c>
      <c r="L121" s="3" t="str">
        <f aca="false">IF(COUNTIFS(Tasks_TaskID,$A121,Tasks_Tier,L$93)=0,"",SUMIFS(Tasks_Cost,Tasks_TaskID,$A121,Tasks_Tier,L$93,Tasks_Type,"flagged"))</f>
        <v/>
      </c>
      <c r="M121" s="3" t="str">
        <f aca="false">IF(COUNTIFS(Tasks_TaskID,$A121,Tasks_Tier,M$93)=0,"",SUMIFS(Tasks_Cost,Tasks_TaskID,$A121,Tasks_Tier,M$93,Tasks_Type,"flagged"))</f>
        <v/>
      </c>
    </row>
    <row r="122" customFormat="false" ht="15" hidden="false" customHeight="false" outlineLevel="0" collapsed="false">
      <c r="A122" s="0" t="s">
        <v>1454</v>
      </c>
      <c r="B122" s="0" t="s">
        <v>699</v>
      </c>
      <c r="C122" s="0" t="s">
        <v>1455</v>
      </c>
      <c r="D122" s="3" t="n">
        <f aca="false">IF(COUNTIFS(Tasks_TaskID,$A122,Tasks_Tier,D$93)=0,"",SUMIFS(Tasks_Cost,Tasks_TaskID,$A122,Tasks_Tier,D$93,Tasks_Type,"flagged"))</f>
        <v>0</v>
      </c>
      <c r="E122" s="3" t="n">
        <f aca="false">IF(COUNTIFS(Tasks_TaskID,$A122,Tasks_Tier,E$93)=0,"",SUMIFS(Tasks_Cost,Tasks_TaskID,$A122,Tasks_Tier,E$93,Tasks_Type,"flagged"))</f>
        <v>0</v>
      </c>
      <c r="F122" s="3" t="n">
        <f aca="false">IF(COUNTIFS(Tasks_TaskID,$A122,Tasks_Tier,F$93)=0,"",SUMIFS(Tasks_Cost,Tasks_TaskID,$A122,Tasks_Tier,F$93,Tasks_Type,"flagged"))</f>
        <v>0</v>
      </c>
      <c r="G122" s="3" t="str">
        <f aca="false">IF(COUNTIFS(Tasks_TaskID,$A122,Tasks_Tier,G$93)=0,"",SUMIFS(Tasks_Cost,Tasks_TaskID,$A122,Tasks_Tier,G$93,Tasks_Type,"flagged"))</f>
        <v/>
      </c>
      <c r="H122" s="3" t="str">
        <f aca="false">IF(COUNTIFS(Tasks_TaskID,$A122,Tasks_Tier,H$93)=0,"",SUMIFS(Tasks_Cost,Tasks_TaskID,$A122,Tasks_Tier,H$93,Tasks_Type,"flagged"))</f>
        <v/>
      </c>
      <c r="I122" s="3" t="str">
        <f aca="false">IF(COUNTIFS(Tasks_TaskID,$A122,Tasks_Tier,I$93)=0,"",SUMIFS(Tasks_Cost,Tasks_TaskID,$A122,Tasks_Tier,I$93,Tasks_Type,"flagged"))</f>
        <v/>
      </c>
      <c r="J122" s="3" t="str">
        <f aca="false">IF(COUNTIFS(Tasks_TaskID,$A122,Tasks_Tier,J$93)=0,"",SUMIFS(Tasks_Cost,Tasks_TaskID,$A122,Tasks_Tier,J$93,Tasks_Type,"flagged"))</f>
        <v/>
      </c>
      <c r="K122" s="3" t="str">
        <f aca="false">IF(COUNTIFS(Tasks_TaskID,$A122,Tasks_Tier,K$93)=0,"",SUMIFS(Tasks_Cost,Tasks_TaskID,$A122,Tasks_Tier,K$93,Tasks_Type,"flagged"))</f>
        <v/>
      </c>
      <c r="L122" s="3" t="str">
        <f aca="false">IF(COUNTIFS(Tasks_TaskID,$A122,Tasks_Tier,L$93)=0,"",SUMIFS(Tasks_Cost,Tasks_TaskID,$A122,Tasks_Tier,L$93,Tasks_Type,"flagged"))</f>
        <v/>
      </c>
      <c r="M122" s="3" t="str">
        <f aca="false">IF(COUNTIFS(Tasks_TaskID,$A122,Tasks_Tier,M$93)=0,"",SUMIFS(Tasks_Cost,Tasks_TaskID,$A122,Tasks_Tier,M$93,Tasks_Type,"flagged"))</f>
        <v/>
      </c>
    </row>
    <row r="123" customFormat="false" ht="15" hidden="false" customHeight="false" outlineLevel="0" collapsed="false">
      <c r="A123" s="0" t="s">
        <v>1460</v>
      </c>
      <c r="B123" s="0" t="s">
        <v>699</v>
      </c>
      <c r="C123" s="0" t="s">
        <v>1461</v>
      </c>
      <c r="D123" s="3" t="n">
        <f aca="false">IF(COUNTIFS(Tasks_TaskID,$A123,Tasks_Tier,D$93)=0,"",SUMIFS(Tasks_Cost,Tasks_TaskID,$A123,Tasks_Tier,D$93,Tasks_Type,"flagged"))</f>
        <v>0</v>
      </c>
      <c r="E123" s="3" t="n">
        <f aca="false">IF(COUNTIFS(Tasks_TaskID,$A123,Tasks_Tier,E$93)=0,"",SUMIFS(Tasks_Cost,Tasks_TaskID,$A123,Tasks_Tier,E$93,Tasks_Type,"flagged"))</f>
        <v>0</v>
      </c>
      <c r="F123" s="3" t="n">
        <f aca="false">IF(COUNTIFS(Tasks_TaskID,$A123,Tasks_Tier,F$93)=0,"",SUMIFS(Tasks_Cost,Tasks_TaskID,$A123,Tasks_Tier,F$93,Tasks_Type,"flagged"))</f>
        <v>0</v>
      </c>
      <c r="G123" s="3" t="str">
        <f aca="false">IF(COUNTIFS(Tasks_TaskID,$A123,Tasks_Tier,G$93)=0,"",SUMIFS(Tasks_Cost,Tasks_TaskID,$A123,Tasks_Tier,G$93,Tasks_Type,"flagged"))</f>
        <v/>
      </c>
      <c r="H123" s="3" t="str">
        <f aca="false">IF(COUNTIFS(Tasks_TaskID,$A123,Tasks_Tier,H$93)=0,"",SUMIFS(Tasks_Cost,Tasks_TaskID,$A123,Tasks_Tier,H$93,Tasks_Type,"flagged"))</f>
        <v/>
      </c>
      <c r="I123" s="3" t="str">
        <f aca="false">IF(COUNTIFS(Tasks_TaskID,$A123,Tasks_Tier,I$93)=0,"",SUMIFS(Tasks_Cost,Tasks_TaskID,$A123,Tasks_Tier,I$93,Tasks_Type,"flagged"))</f>
        <v/>
      </c>
      <c r="J123" s="3" t="str">
        <f aca="false">IF(COUNTIFS(Tasks_TaskID,$A123,Tasks_Tier,J$93)=0,"",SUMIFS(Tasks_Cost,Tasks_TaskID,$A123,Tasks_Tier,J$93,Tasks_Type,"flagged"))</f>
        <v/>
      </c>
      <c r="K123" s="3" t="str">
        <f aca="false">IF(COUNTIFS(Tasks_TaskID,$A123,Tasks_Tier,K$93)=0,"",SUMIFS(Tasks_Cost,Tasks_TaskID,$A123,Tasks_Tier,K$93,Tasks_Type,"flagged"))</f>
        <v/>
      </c>
      <c r="L123" s="3" t="str">
        <f aca="false">IF(COUNTIFS(Tasks_TaskID,$A123,Tasks_Tier,L$93)=0,"",SUMIFS(Tasks_Cost,Tasks_TaskID,$A123,Tasks_Tier,L$93,Tasks_Type,"flagged"))</f>
        <v/>
      </c>
      <c r="M123" s="3" t="str">
        <f aca="false">IF(COUNTIFS(Tasks_TaskID,$A123,Tasks_Tier,M$93)=0,"",SUMIFS(Tasks_Cost,Tasks_TaskID,$A123,Tasks_Tier,M$93,Tasks_Type,"flagged"))</f>
        <v/>
      </c>
    </row>
    <row r="124" customFormat="false" ht="15" hidden="false" customHeight="false" outlineLevel="0" collapsed="false">
      <c r="A124" s="0" t="s">
        <v>1555</v>
      </c>
      <c r="B124" s="0" t="s">
        <v>107</v>
      </c>
      <c r="C124" s="0" t="s">
        <v>1556</v>
      </c>
      <c r="D124" s="3" t="n">
        <f aca="false">IF(COUNTIFS(Tasks_TaskID,$A124,Tasks_Tier,D$93)=0,"",SUMIFS(Tasks_Cost,Tasks_TaskID,$A124,Tasks_Tier,D$93,Tasks_Type,"flagged"))</f>
        <v>0</v>
      </c>
      <c r="E124" s="3" t="n">
        <f aca="false">IF(COUNTIFS(Tasks_TaskID,$A124,Tasks_Tier,E$93)=0,"",SUMIFS(Tasks_Cost,Tasks_TaskID,$A124,Tasks_Tier,E$93,Tasks_Type,"flagged"))</f>
        <v>0</v>
      </c>
      <c r="F124" s="3" t="n">
        <f aca="false">IF(COUNTIFS(Tasks_TaskID,$A124,Tasks_Tier,F$93)=0,"",SUMIFS(Tasks_Cost,Tasks_TaskID,$A124,Tasks_Tier,F$93,Tasks_Type,"flagged"))</f>
        <v>0</v>
      </c>
      <c r="G124" s="3" t="str">
        <f aca="false">IF(COUNTIFS(Tasks_TaskID,$A124,Tasks_Tier,G$93)=0,"",SUMIFS(Tasks_Cost,Tasks_TaskID,$A124,Tasks_Tier,G$93,Tasks_Type,"flagged"))</f>
        <v/>
      </c>
      <c r="H124" s="3" t="str">
        <f aca="false">IF(COUNTIFS(Tasks_TaskID,$A124,Tasks_Tier,H$93)=0,"",SUMIFS(Tasks_Cost,Tasks_TaskID,$A124,Tasks_Tier,H$93,Tasks_Type,"flagged"))</f>
        <v/>
      </c>
      <c r="I124" s="3" t="str">
        <f aca="false">IF(COUNTIFS(Tasks_TaskID,$A124,Tasks_Tier,I$93)=0,"",SUMIFS(Tasks_Cost,Tasks_TaskID,$A124,Tasks_Tier,I$93,Tasks_Type,"flagged"))</f>
        <v/>
      </c>
      <c r="J124" s="3" t="str">
        <f aca="false">IF(COUNTIFS(Tasks_TaskID,$A124,Tasks_Tier,J$93)=0,"",SUMIFS(Tasks_Cost,Tasks_TaskID,$A124,Tasks_Tier,J$93,Tasks_Type,"flagged"))</f>
        <v/>
      </c>
      <c r="K124" s="3" t="str">
        <f aca="false">IF(COUNTIFS(Tasks_TaskID,$A124,Tasks_Tier,K$93)=0,"",SUMIFS(Tasks_Cost,Tasks_TaskID,$A124,Tasks_Tier,K$93,Tasks_Type,"flagged"))</f>
        <v/>
      </c>
      <c r="L124" s="3" t="str">
        <f aca="false">IF(COUNTIFS(Tasks_TaskID,$A124,Tasks_Tier,L$93)=0,"",SUMIFS(Tasks_Cost,Tasks_TaskID,$A124,Tasks_Tier,L$93,Tasks_Type,"flagged"))</f>
        <v/>
      </c>
      <c r="M124" s="3" t="str">
        <f aca="false">IF(COUNTIFS(Tasks_TaskID,$A124,Tasks_Tier,M$93)=0,"",SUMIFS(Tasks_Cost,Tasks_TaskID,$A124,Tasks_Tier,M$93,Tasks_Type,"flagged"))</f>
        <v/>
      </c>
    </row>
    <row r="125" customFormat="false" ht="15" hidden="false" customHeight="false" outlineLevel="0" collapsed="false">
      <c r="A125" s="0" t="s">
        <v>1569</v>
      </c>
      <c r="B125" s="0" t="s">
        <v>107</v>
      </c>
      <c r="C125" s="0" t="s">
        <v>1570</v>
      </c>
      <c r="D125" s="3" t="n">
        <f aca="false">IF(COUNTIFS(Tasks_TaskID,$A125,Tasks_Tier,D$93)=0,"",SUMIFS(Tasks_Cost,Tasks_TaskID,$A125,Tasks_Tier,D$93,Tasks_Type,"flagged"))</f>
        <v>0</v>
      </c>
      <c r="E125" s="3" t="n">
        <f aca="false">IF(COUNTIFS(Tasks_TaskID,$A125,Tasks_Tier,E$93)=0,"",SUMIFS(Tasks_Cost,Tasks_TaskID,$A125,Tasks_Tier,E$93,Tasks_Type,"flagged"))</f>
        <v>0</v>
      </c>
      <c r="F125" s="3" t="n">
        <f aca="false">IF(COUNTIFS(Tasks_TaskID,$A125,Tasks_Tier,F$93)=0,"",SUMIFS(Tasks_Cost,Tasks_TaskID,$A125,Tasks_Tier,F$93,Tasks_Type,"flagged"))</f>
        <v>0</v>
      </c>
      <c r="G125" s="3" t="str">
        <f aca="false">IF(COUNTIFS(Tasks_TaskID,$A125,Tasks_Tier,G$93)=0,"",SUMIFS(Tasks_Cost,Tasks_TaskID,$A125,Tasks_Tier,G$93,Tasks_Type,"flagged"))</f>
        <v/>
      </c>
      <c r="H125" s="3" t="str">
        <f aca="false">IF(COUNTIFS(Tasks_TaskID,$A125,Tasks_Tier,H$93)=0,"",SUMIFS(Tasks_Cost,Tasks_TaskID,$A125,Tasks_Tier,H$93,Tasks_Type,"flagged"))</f>
        <v/>
      </c>
      <c r="I125" s="3" t="str">
        <f aca="false">IF(COUNTIFS(Tasks_TaskID,$A125,Tasks_Tier,I$93)=0,"",SUMIFS(Tasks_Cost,Tasks_TaskID,$A125,Tasks_Tier,I$93,Tasks_Type,"flagged"))</f>
        <v/>
      </c>
      <c r="J125" s="3" t="str">
        <f aca="false">IF(COUNTIFS(Tasks_TaskID,$A125,Tasks_Tier,J$93)=0,"",SUMIFS(Tasks_Cost,Tasks_TaskID,$A125,Tasks_Tier,J$93,Tasks_Type,"flagged"))</f>
        <v/>
      </c>
      <c r="K125" s="3" t="str">
        <f aca="false">IF(COUNTIFS(Tasks_TaskID,$A125,Tasks_Tier,K$93)=0,"",SUMIFS(Tasks_Cost,Tasks_TaskID,$A125,Tasks_Tier,K$93,Tasks_Type,"flagged"))</f>
        <v/>
      </c>
      <c r="L125" s="3" t="str">
        <f aca="false">IF(COUNTIFS(Tasks_TaskID,$A125,Tasks_Tier,L$93)=0,"",SUMIFS(Tasks_Cost,Tasks_TaskID,$A125,Tasks_Tier,L$93,Tasks_Type,"flagged"))</f>
        <v/>
      </c>
      <c r="M125" s="3" t="str">
        <f aca="false">IF(COUNTIFS(Tasks_TaskID,$A125,Tasks_Tier,M$93)=0,"",SUMIFS(Tasks_Cost,Tasks_TaskID,$A125,Tasks_Tier,M$93,Tasks_Type,"flagged"))</f>
        <v/>
      </c>
    </row>
    <row r="126" customFormat="false" ht="15" hidden="false" customHeight="false" outlineLevel="0" collapsed="false">
      <c r="A126" s="0" t="s">
        <v>1596</v>
      </c>
      <c r="B126" s="0" t="s">
        <v>176</v>
      </c>
      <c r="C126" s="0" t="s">
        <v>1597</v>
      </c>
      <c r="D126" s="3" t="n">
        <f aca="false">IF(COUNTIFS(Tasks_TaskID,$A126,Tasks_Tier,D$93)=0,"",SUMIFS(Tasks_Cost,Tasks_TaskID,$A126,Tasks_Tier,D$93,Tasks_Type,"flagged"))</f>
        <v>0</v>
      </c>
      <c r="E126" s="3" t="n">
        <f aca="false">IF(COUNTIFS(Tasks_TaskID,$A126,Tasks_Tier,E$93)=0,"",SUMIFS(Tasks_Cost,Tasks_TaskID,$A126,Tasks_Tier,E$93,Tasks_Type,"flagged"))</f>
        <v>0</v>
      </c>
      <c r="F126" s="3" t="n">
        <f aca="false">IF(COUNTIFS(Tasks_TaskID,$A126,Tasks_Tier,F$93)=0,"",SUMIFS(Tasks_Cost,Tasks_TaskID,$A126,Tasks_Tier,F$93,Tasks_Type,"flagged"))</f>
        <v>0</v>
      </c>
      <c r="G126" s="3" t="str">
        <f aca="false">IF(COUNTIFS(Tasks_TaskID,$A126,Tasks_Tier,G$93)=0,"",SUMIFS(Tasks_Cost,Tasks_TaskID,$A126,Tasks_Tier,G$93,Tasks_Type,"flagged"))</f>
        <v/>
      </c>
      <c r="H126" s="3" t="str">
        <f aca="false">IF(COUNTIFS(Tasks_TaskID,$A126,Tasks_Tier,H$93)=0,"",SUMIFS(Tasks_Cost,Tasks_TaskID,$A126,Tasks_Tier,H$93,Tasks_Type,"flagged"))</f>
        <v/>
      </c>
      <c r="I126" s="3" t="str">
        <f aca="false">IF(COUNTIFS(Tasks_TaskID,$A126,Tasks_Tier,I$93)=0,"",SUMIFS(Tasks_Cost,Tasks_TaskID,$A126,Tasks_Tier,I$93,Tasks_Type,"flagged"))</f>
        <v/>
      </c>
      <c r="J126" s="3" t="str">
        <f aca="false">IF(COUNTIFS(Tasks_TaskID,$A126,Tasks_Tier,J$93)=0,"",SUMIFS(Tasks_Cost,Tasks_TaskID,$A126,Tasks_Tier,J$93,Tasks_Type,"flagged"))</f>
        <v/>
      </c>
      <c r="K126" s="3" t="str">
        <f aca="false">IF(COUNTIFS(Tasks_TaskID,$A126,Tasks_Tier,K$93)=0,"",SUMIFS(Tasks_Cost,Tasks_TaskID,$A126,Tasks_Tier,K$93,Tasks_Type,"flagged"))</f>
        <v/>
      </c>
      <c r="L126" s="3" t="str">
        <f aca="false">IF(COUNTIFS(Tasks_TaskID,$A126,Tasks_Tier,L$93)=0,"",SUMIFS(Tasks_Cost,Tasks_TaskID,$A126,Tasks_Tier,L$93,Tasks_Type,"flagged"))</f>
        <v/>
      </c>
      <c r="M126" s="3" t="str">
        <f aca="false">IF(COUNTIFS(Tasks_TaskID,$A126,Tasks_Tier,M$93)=0,"",SUMIFS(Tasks_Cost,Tasks_TaskID,$A126,Tasks_Tier,M$93,Tasks_Type,"flagged"))</f>
        <v/>
      </c>
    </row>
    <row r="127" customFormat="false" ht="15" hidden="false" customHeight="false" outlineLevel="0" collapsed="false">
      <c r="A127" s="0" t="s">
        <v>1620</v>
      </c>
      <c r="B127" s="0" t="s">
        <v>176</v>
      </c>
      <c r="C127" s="0" t="s">
        <v>1621</v>
      </c>
      <c r="D127" s="3" t="n">
        <f aca="false">IF(COUNTIFS(Tasks_TaskID,$A127,Tasks_Tier,D$93)=0,"",SUMIFS(Tasks_Cost,Tasks_TaskID,$A127,Tasks_Tier,D$93,Tasks_Type,"flagged"))</f>
        <v>0</v>
      </c>
      <c r="E127" s="3" t="n">
        <f aca="false">IF(COUNTIFS(Tasks_TaskID,$A127,Tasks_Tier,E$93)=0,"",SUMIFS(Tasks_Cost,Tasks_TaskID,$A127,Tasks_Tier,E$93,Tasks_Type,"flagged"))</f>
        <v>0</v>
      </c>
      <c r="F127" s="3" t="n">
        <f aca="false">IF(COUNTIFS(Tasks_TaskID,$A127,Tasks_Tier,F$93)=0,"",SUMIFS(Tasks_Cost,Tasks_TaskID,$A127,Tasks_Tier,F$93,Tasks_Type,"flagged"))</f>
        <v>0</v>
      </c>
      <c r="G127" s="3" t="str">
        <f aca="false">IF(COUNTIFS(Tasks_TaskID,$A127,Tasks_Tier,G$93)=0,"",SUMIFS(Tasks_Cost,Tasks_TaskID,$A127,Tasks_Tier,G$93,Tasks_Type,"flagged"))</f>
        <v/>
      </c>
      <c r="H127" s="3" t="str">
        <f aca="false">IF(COUNTIFS(Tasks_TaskID,$A127,Tasks_Tier,H$93)=0,"",SUMIFS(Tasks_Cost,Tasks_TaskID,$A127,Tasks_Tier,H$93,Tasks_Type,"flagged"))</f>
        <v/>
      </c>
      <c r="I127" s="3" t="str">
        <f aca="false">IF(COUNTIFS(Tasks_TaskID,$A127,Tasks_Tier,I$93)=0,"",SUMIFS(Tasks_Cost,Tasks_TaskID,$A127,Tasks_Tier,I$93,Tasks_Type,"flagged"))</f>
        <v/>
      </c>
      <c r="J127" s="3" t="str">
        <f aca="false">IF(COUNTIFS(Tasks_TaskID,$A127,Tasks_Tier,J$93)=0,"",SUMIFS(Tasks_Cost,Tasks_TaskID,$A127,Tasks_Tier,J$93,Tasks_Type,"flagged"))</f>
        <v/>
      </c>
      <c r="K127" s="3" t="str">
        <f aca="false">IF(COUNTIFS(Tasks_TaskID,$A127,Tasks_Tier,K$93)=0,"",SUMIFS(Tasks_Cost,Tasks_TaskID,$A127,Tasks_Tier,K$93,Tasks_Type,"flagged"))</f>
        <v/>
      </c>
      <c r="L127" s="3" t="str">
        <f aca="false">IF(COUNTIFS(Tasks_TaskID,$A127,Tasks_Tier,L$93)=0,"",SUMIFS(Tasks_Cost,Tasks_TaskID,$A127,Tasks_Tier,L$93,Tasks_Type,"flagged"))</f>
        <v/>
      </c>
      <c r="M127" s="3" t="str">
        <f aca="false">IF(COUNTIFS(Tasks_TaskID,$A127,Tasks_Tier,M$93)=0,"",SUMIFS(Tasks_Cost,Tasks_TaskID,$A127,Tasks_Tier,M$93,Tasks_Type,"flagged"))</f>
        <v/>
      </c>
    </row>
    <row r="128" customFormat="false" ht="15" hidden="false" customHeight="false" outlineLevel="0" collapsed="false">
      <c r="A128" s="0" t="s">
        <v>1657</v>
      </c>
      <c r="B128" s="0" t="s">
        <v>939</v>
      </c>
      <c r="C128" s="0" t="s">
        <v>1658</v>
      </c>
      <c r="D128" s="3" t="str">
        <f aca="false">IF(COUNTIFS(Tasks_TaskID,$A128,Tasks_Tier,D$93)=0,"",SUMIFS(Tasks_Cost,Tasks_TaskID,$A128,Tasks_Tier,D$93,Tasks_Type,"flagged"))</f>
        <v/>
      </c>
      <c r="E128" s="3" t="str">
        <f aca="false">IF(COUNTIFS(Tasks_TaskID,$A128,Tasks_Tier,E$93)=0,"",SUMIFS(Tasks_Cost,Tasks_TaskID,$A128,Tasks_Tier,E$93,Tasks_Type,"flagged"))</f>
        <v/>
      </c>
      <c r="F128" s="3" t="str">
        <f aca="false">IF(COUNTIFS(Tasks_TaskID,$A128,Tasks_Tier,F$93)=0,"",SUMIFS(Tasks_Cost,Tasks_TaskID,$A128,Tasks_Tier,F$93,Tasks_Type,"flagged"))</f>
        <v/>
      </c>
      <c r="G128" s="3" t="str">
        <f aca="false">IF(COUNTIFS(Tasks_TaskID,$A128,Tasks_Tier,G$93)=0,"",SUMIFS(Tasks_Cost,Tasks_TaskID,$A128,Tasks_Tier,G$93,Tasks_Type,"flagged"))</f>
        <v/>
      </c>
      <c r="H128" s="3" t="str">
        <f aca="false">IF(COUNTIFS(Tasks_TaskID,$A128,Tasks_Tier,H$93)=0,"",SUMIFS(Tasks_Cost,Tasks_TaskID,$A128,Tasks_Tier,H$93,Tasks_Type,"flagged"))</f>
        <v/>
      </c>
      <c r="I128" s="3" t="str">
        <f aca="false">IF(COUNTIFS(Tasks_TaskID,$A128,Tasks_Tier,I$93)=0,"",SUMIFS(Tasks_Cost,Tasks_TaskID,$A128,Tasks_Tier,I$93,Tasks_Type,"flagged"))</f>
        <v/>
      </c>
      <c r="J128" s="3" t="str">
        <f aca="false">IF(COUNTIFS(Tasks_TaskID,$A128,Tasks_Tier,J$93)=0,"",SUMIFS(Tasks_Cost,Tasks_TaskID,$A128,Tasks_Tier,J$93,Tasks_Type,"flagged"))</f>
        <v/>
      </c>
      <c r="K128" s="3" t="n">
        <f aca="false">IF(COUNTIFS(Tasks_TaskID,$A128,Tasks_Tier,K$93)=0,"",SUMIFS(Tasks_Cost,Tasks_TaskID,$A128,Tasks_Tier,K$93,Tasks_Type,"flagged"))</f>
        <v>0</v>
      </c>
      <c r="L128" s="3" t="n">
        <f aca="false">IF(COUNTIFS(Tasks_TaskID,$A128,Tasks_Tier,L$93)=0,"",SUMIFS(Tasks_Cost,Tasks_TaskID,$A128,Tasks_Tier,L$93,Tasks_Type,"flagged"))</f>
        <v>0</v>
      </c>
      <c r="M128" s="3" t="n">
        <f aca="false">IF(COUNTIFS(Tasks_TaskID,$A128,Tasks_Tier,M$93)=0,"",SUMIFS(Tasks_Cost,Tasks_TaskID,$A128,Tasks_Tier,M$93,Tasks_Type,"flagged"))</f>
        <v>0</v>
      </c>
    </row>
    <row r="129" customFormat="false" ht="15" hidden="false" customHeight="false" outlineLevel="0" collapsed="false">
      <c r="A129" s="0" t="s">
        <v>1703</v>
      </c>
      <c r="B129" s="0" t="s">
        <v>939</v>
      </c>
      <c r="C129" s="0" t="s">
        <v>1704</v>
      </c>
      <c r="D129" s="3" t="str">
        <f aca="false">IF(COUNTIFS(Tasks_TaskID,$A129,Tasks_Tier,D$93)=0,"",SUMIFS(Tasks_Cost,Tasks_TaskID,$A129,Tasks_Tier,D$93,Tasks_Type,"flagged"))</f>
        <v/>
      </c>
      <c r="E129" s="3" t="str">
        <f aca="false">IF(COUNTIFS(Tasks_TaskID,$A129,Tasks_Tier,E$93)=0,"",SUMIFS(Tasks_Cost,Tasks_TaskID,$A129,Tasks_Tier,E$93,Tasks_Type,"flagged"))</f>
        <v/>
      </c>
      <c r="F129" s="3" t="str">
        <f aca="false">IF(COUNTIFS(Tasks_TaskID,$A129,Tasks_Tier,F$93)=0,"",SUMIFS(Tasks_Cost,Tasks_TaskID,$A129,Tasks_Tier,F$93,Tasks_Type,"flagged"))</f>
        <v/>
      </c>
      <c r="G129" s="3" t="str">
        <f aca="false">IF(COUNTIFS(Tasks_TaskID,$A129,Tasks_Tier,G$93)=0,"",SUMIFS(Tasks_Cost,Tasks_TaskID,$A129,Tasks_Tier,G$93,Tasks_Type,"flagged"))</f>
        <v/>
      </c>
      <c r="H129" s="3" t="str">
        <f aca="false">IF(COUNTIFS(Tasks_TaskID,$A129,Tasks_Tier,H$93)=0,"",SUMIFS(Tasks_Cost,Tasks_TaskID,$A129,Tasks_Tier,H$93,Tasks_Type,"flagged"))</f>
        <v/>
      </c>
      <c r="I129" s="3" t="str">
        <f aca="false">IF(COUNTIFS(Tasks_TaskID,$A129,Tasks_Tier,I$93)=0,"",SUMIFS(Tasks_Cost,Tasks_TaskID,$A129,Tasks_Tier,I$93,Tasks_Type,"flagged"))</f>
        <v/>
      </c>
      <c r="J129" s="3" t="str">
        <f aca="false">IF(COUNTIFS(Tasks_TaskID,$A129,Tasks_Tier,J$93)=0,"",SUMIFS(Tasks_Cost,Tasks_TaskID,$A129,Tasks_Tier,J$93,Tasks_Type,"flagged"))</f>
        <v/>
      </c>
      <c r="K129" s="3" t="n">
        <f aca="false">IF(COUNTIFS(Tasks_TaskID,$A129,Tasks_Tier,K$93)=0,"",SUMIFS(Tasks_Cost,Tasks_TaskID,$A129,Tasks_Tier,K$93,Tasks_Type,"flagged"))</f>
        <v>0</v>
      </c>
      <c r="L129" s="3" t="n">
        <f aca="false">IF(COUNTIFS(Tasks_TaskID,$A129,Tasks_Tier,L$93)=0,"",SUMIFS(Tasks_Cost,Tasks_TaskID,$A129,Tasks_Tier,L$93,Tasks_Type,"flagged"))</f>
        <v>0</v>
      </c>
      <c r="M129" s="3" t="n">
        <f aca="false">IF(COUNTIFS(Tasks_TaskID,$A129,Tasks_Tier,M$93)=0,"",SUMIFS(Tasks_Cost,Tasks_TaskID,$A129,Tasks_Tier,M$93,Tasks_Type,"flagged"))</f>
        <v>0</v>
      </c>
    </row>
    <row r="130" customFormat="false" ht="15" hidden="false" customHeight="false" outlineLevel="0" collapsed="false">
      <c r="A130" s="0" t="s">
        <v>1745</v>
      </c>
      <c r="B130" s="0" t="s">
        <v>939</v>
      </c>
      <c r="C130" s="0" t="s">
        <v>1746</v>
      </c>
      <c r="D130" s="3" t="str">
        <f aca="false">IF(COUNTIFS(Tasks_TaskID,$A130,Tasks_Tier,D$93)=0,"",SUMIFS(Tasks_Cost,Tasks_TaskID,$A130,Tasks_Tier,D$93,Tasks_Type,"flagged"))</f>
        <v/>
      </c>
      <c r="E130" s="3" t="str">
        <f aca="false">IF(COUNTIFS(Tasks_TaskID,$A130,Tasks_Tier,E$93)=0,"",SUMIFS(Tasks_Cost,Tasks_TaskID,$A130,Tasks_Tier,E$93,Tasks_Type,"flagged"))</f>
        <v/>
      </c>
      <c r="F130" s="3" t="str">
        <f aca="false">IF(COUNTIFS(Tasks_TaskID,$A130,Tasks_Tier,F$93)=0,"",SUMIFS(Tasks_Cost,Tasks_TaskID,$A130,Tasks_Tier,F$93,Tasks_Type,"flagged"))</f>
        <v/>
      </c>
      <c r="G130" s="3" t="str">
        <f aca="false">IF(COUNTIFS(Tasks_TaskID,$A130,Tasks_Tier,G$93)=0,"",SUMIFS(Tasks_Cost,Tasks_TaskID,$A130,Tasks_Tier,G$93,Tasks_Type,"flagged"))</f>
        <v/>
      </c>
      <c r="H130" s="3" t="str">
        <f aca="false">IF(COUNTIFS(Tasks_TaskID,$A130,Tasks_Tier,H$93)=0,"",SUMIFS(Tasks_Cost,Tasks_TaskID,$A130,Tasks_Tier,H$93,Tasks_Type,"flagged"))</f>
        <v/>
      </c>
      <c r="I130" s="3" t="str">
        <f aca="false">IF(COUNTIFS(Tasks_TaskID,$A130,Tasks_Tier,I$93)=0,"",SUMIFS(Tasks_Cost,Tasks_TaskID,$A130,Tasks_Tier,I$93,Tasks_Type,"flagged"))</f>
        <v/>
      </c>
      <c r="J130" s="3" t="str">
        <f aca="false">IF(COUNTIFS(Tasks_TaskID,$A130,Tasks_Tier,J$93)=0,"",SUMIFS(Tasks_Cost,Tasks_TaskID,$A130,Tasks_Tier,J$93,Tasks_Type,"flagged"))</f>
        <v/>
      </c>
      <c r="K130" s="3" t="n">
        <f aca="false">IF(COUNTIFS(Tasks_TaskID,$A130,Tasks_Tier,K$93)=0,"",SUMIFS(Tasks_Cost,Tasks_TaskID,$A130,Tasks_Tier,K$93,Tasks_Type,"flagged"))</f>
        <v>0</v>
      </c>
      <c r="L130" s="3" t="n">
        <f aca="false">IF(COUNTIFS(Tasks_TaskID,$A130,Tasks_Tier,L$93)=0,"",SUMIFS(Tasks_Cost,Tasks_TaskID,$A130,Tasks_Tier,L$93,Tasks_Type,"flagged"))</f>
        <v>0</v>
      </c>
      <c r="M130" s="3" t="n">
        <f aca="false">IF(COUNTIFS(Tasks_TaskID,$A130,Tasks_Tier,M$93)=0,"",SUMIFS(Tasks_Cost,Tasks_TaskID,$A130,Tasks_Tier,M$93,Tasks_Type,"flagged"))</f>
        <v>0</v>
      </c>
    </row>
    <row r="131" customFormat="false" ht="15" hidden="false" customHeight="false" outlineLevel="0" collapsed="false">
      <c r="A131" s="0" t="s">
        <v>1782</v>
      </c>
      <c r="B131" s="0" t="s">
        <v>939</v>
      </c>
      <c r="C131" s="0" t="s">
        <v>1783</v>
      </c>
      <c r="D131" s="3" t="str">
        <f aca="false">IF(COUNTIFS(Tasks_TaskID,$A131,Tasks_Tier,D$93)=0,"",SUMIFS(Tasks_Cost,Tasks_TaskID,$A131,Tasks_Tier,D$93,Tasks_Type,"flagged"))</f>
        <v/>
      </c>
      <c r="E131" s="3" t="str">
        <f aca="false">IF(COUNTIFS(Tasks_TaskID,$A131,Tasks_Tier,E$93)=0,"",SUMIFS(Tasks_Cost,Tasks_TaskID,$A131,Tasks_Tier,E$93,Tasks_Type,"flagged"))</f>
        <v/>
      </c>
      <c r="F131" s="3" t="str">
        <f aca="false">IF(COUNTIFS(Tasks_TaskID,$A131,Tasks_Tier,F$93)=0,"",SUMIFS(Tasks_Cost,Tasks_TaskID,$A131,Tasks_Tier,F$93,Tasks_Type,"flagged"))</f>
        <v/>
      </c>
      <c r="G131" s="3" t="str">
        <f aca="false">IF(COUNTIFS(Tasks_TaskID,$A131,Tasks_Tier,G$93)=0,"",SUMIFS(Tasks_Cost,Tasks_TaskID,$A131,Tasks_Tier,G$93,Tasks_Type,"flagged"))</f>
        <v/>
      </c>
      <c r="H131" s="3" t="str">
        <f aca="false">IF(COUNTIFS(Tasks_TaskID,$A131,Tasks_Tier,H$93)=0,"",SUMIFS(Tasks_Cost,Tasks_TaskID,$A131,Tasks_Tier,H$93,Tasks_Type,"flagged"))</f>
        <v/>
      </c>
      <c r="I131" s="3" t="str">
        <f aca="false">IF(COUNTIFS(Tasks_TaskID,$A131,Tasks_Tier,I$93)=0,"",SUMIFS(Tasks_Cost,Tasks_TaskID,$A131,Tasks_Tier,I$93,Tasks_Type,"flagged"))</f>
        <v/>
      </c>
      <c r="J131" s="3" t="str">
        <f aca="false">IF(COUNTIFS(Tasks_TaskID,$A131,Tasks_Tier,J$93)=0,"",SUMIFS(Tasks_Cost,Tasks_TaskID,$A131,Tasks_Tier,J$93,Tasks_Type,"flagged"))</f>
        <v/>
      </c>
      <c r="K131" s="3" t="n">
        <f aca="false">IF(COUNTIFS(Tasks_TaskID,$A131,Tasks_Tier,K$93)=0,"",SUMIFS(Tasks_Cost,Tasks_TaskID,$A131,Tasks_Tier,K$93,Tasks_Type,"flagged"))</f>
        <v>0</v>
      </c>
      <c r="L131" s="3" t="n">
        <f aca="false">IF(COUNTIFS(Tasks_TaskID,$A131,Tasks_Tier,L$93)=0,"",SUMIFS(Tasks_Cost,Tasks_TaskID,$A131,Tasks_Tier,L$93,Tasks_Type,"flagged"))</f>
        <v>0</v>
      </c>
      <c r="M131" s="3" t="n">
        <f aca="false">IF(COUNTIFS(Tasks_TaskID,$A131,Tasks_Tier,M$93)=0,"",SUMIFS(Tasks_Cost,Tasks_TaskID,$A131,Tasks_Tier,M$93,Tasks_Type,"flagged"))</f>
        <v>0</v>
      </c>
    </row>
    <row r="132" customFormat="false" ht="15" hidden="false" customHeight="false" outlineLevel="0" collapsed="false">
      <c r="A132" s="0" t="s">
        <v>1810</v>
      </c>
      <c r="B132" s="0" t="s">
        <v>939</v>
      </c>
      <c r="C132" s="0" t="s">
        <v>1811</v>
      </c>
      <c r="D132" s="3" t="n">
        <f aca="false">IF(COUNTIFS(Tasks_TaskID,$A132,Tasks_Tier,D$93)=0,"",SUMIFS(Tasks_Cost,Tasks_TaskID,$A132,Tasks_Tier,D$93,Tasks_Type,"flagged"))</f>
        <v>0</v>
      </c>
      <c r="E132" s="3" t="n">
        <f aca="false">IF(COUNTIFS(Tasks_TaskID,$A132,Tasks_Tier,E$93)=0,"",SUMIFS(Tasks_Cost,Tasks_TaskID,$A132,Tasks_Tier,E$93,Tasks_Type,"flagged"))</f>
        <v>0</v>
      </c>
      <c r="F132" s="3" t="n">
        <f aca="false">IF(COUNTIFS(Tasks_TaskID,$A132,Tasks_Tier,F$93)=0,"",SUMIFS(Tasks_Cost,Tasks_TaskID,$A132,Tasks_Tier,F$93,Tasks_Type,"flagged"))</f>
        <v>0</v>
      </c>
      <c r="G132" s="3" t="str">
        <f aca="false">IF(COUNTIFS(Tasks_TaskID,$A132,Tasks_Tier,G$93)=0,"",SUMIFS(Tasks_Cost,Tasks_TaskID,$A132,Tasks_Tier,G$93,Tasks_Type,"flagged"))</f>
        <v/>
      </c>
      <c r="H132" s="3" t="str">
        <f aca="false">IF(COUNTIFS(Tasks_TaskID,$A132,Tasks_Tier,H$93)=0,"",SUMIFS(Tasks_Cost,Tasks_TaskID,$A132,Tasks_Tier,H$93,Tasks_Type,"flagged"))</f>
        <v/>
      </c>
      <c r="I132" s="3" t="str">
        <f aca="false">IF(COUNTIFS(Tasks_TaskID,$A132,Tasks_Tier,I$93)=0,"",SUMIFS(Tasks_Cost,Tasks_TaskID,$A132,Tasks_Tier,I$93,Tasks_Type,"flagged"))</f>
        <v/>
      </c>
      <c r="J132" s="3" t="str">
        <f aca="false">IF(COUNTIFS(Tasks_TaskID,$A132,Tasks_Tier,J$93)=0,"",SUMIFS(Tasks_Cost,Tasks_TaskID,$A132,Tasks_Tier,J$93,Tasks_Type,"flagged"))</f>
        <v/>
      </c>
      <c r="K132" s="3" t="str">
        <f aca="false">IF(COUNTIFS(Tasks_TaskID,$A132,Tasks_Tier,K$93)=0,"",SUMIFS(Tasks_Cost,Tasks_TaskID,$A132,Tasks_Tier,K$93,Tasks_Type,"flagged"))</f>
        <v/>
      </c>
      <c r="L132" s="3" t="str">
        <f aca="false">IF(COUNTIFS(Tasks_TaskID,$A132,Tasks_Tier,L$93)=0,"",SUMIFS(Tasks_Cost,Tasks_TaskID,$A132,Tasks_Tier,L$93,Tasks_Type,"flagged"))</f>
        <v/>
      </c>
      <c r="M132" s="3" t="str">
        <f aca="false">IF(COUNTIFS(Tasks_TaskID,$A132,Tasks_Tier,M$93)=0,"",SUMIFS(Tasks_Cost,Tasks_TaskID,$A132,Tasks_Tier,M$93,Tasks_Type,"flagged"))</f>
        <v/>
      </c>
    </row>
    <row r="133" customFormat="false" ht="15" hidden="false" customHeight="false" outlineLevel="0" collapsed="false">
      <c r="A133" s="0" t="s">
        <v>1819</v>
      </c>
      <c r="B133" s="0" t="s">
        <v>939</v>
      </c>
      <c r="C133" s="0" t="s">
        <v>1820</v>
      </c>
      <c r="D133" s="3" t="n">
        <f aca="false">IF(COUNTIFS(Tasks_TaskID,$A133,Tasks_Tier,D$93)=0,"",SUMIFS(Tasks_Cost,Tasks_TaskID,$A133,Tasks_Tier,D$93,Tasks_Type,"flagged"))</f>
        <v>0</v>
      </c>
      <c r="E133" s="3" t="n">
        <f aca="false">IF(COUNTIFS(Tasks_TaskID,$A133,Tasks_Tier,E$93)=0,"",SUMIFS(Tasks_Cost,Tasks_TaskID,$A133,Tasks_Tier,E$93,Tasks_Type,"flagged"))</f>
        <v>0</v>
      </c>
      <c r="F133" s="3" t="n">
        <f aca="false">IF(COUNTIFS(Tasks_TaskID,$A133,Tasks_Tier,F$93)=0,"",SUMIFS(Tasks_Cost,Tasks_TaskID,$A133,Tasks_Tier,F$93,Tasks_Type,"flagged"))</f>
        <v>0</v>
      </c>
      <c r="G133" s="3" t="str">
        <f aca="false">IF(COUNTIFS(Tasks_TaskID,$A133,Tasks_Tier,G$93)=0,"",SUMIFS(Tasks_Cost,Tasks_TaskID,$A133,Tasks_Tier,G$93,Tasks_Type,"flagged"))</f>
        <v/>
      </c>
      <c r="H133" s="3" t="str">
        <f aca="false">IF(COUNTIFS(Tasks_TaskID,$A133,Tasks_Tier,H$93)=0,"",SUMIFS(Tasks_Cost,Tasks_TaskID,$A133,Tasks_Tier,H$93,Tasks_Type,"flagged"))</f>
        <v/>
      </c>
      <c r="I133" s="3" t="str">
        <f aca="false">IF(COUNTIFS(Tasks_TaskID,$A133,Tasks_Tier,I$93)=0,"",SUMIFS(Tasks_Cost,Tasks_TaskID,$A133,Tasks_Tier,I$93,Tasks_Type,"flagged"))</f>
        <v/>
      </c>
      <c r="J133" s="3" t="str">
        <f aca="false">IF(COUNTIFS(Tasks_TaskID,$A133,Tasks_Tier,J$93)=0,"",SUMIFS(Tasks_Cost,Tasks_TaskID,$A133,Tasks_Tier,J$93,Tasks_Type,"flagged"))</f>
        <v/>
      </c>
      <c r="K133" s="3" t="str">
        <f aca="false">IF(COUNTIFS(Tasks_TaskID,$A133,Tasks_Tier,K$93)=0,"",SUMIFS(Tasks_Cost,Tasks_TaskID,$A133,Tasks_Tier,K$93,Tasks_Type,"flagged"))</f>
        <v/>
      </c>
      <c r="L133" s="3" t="str">
        <f aca="false">IF(COUNTIFS(Tasks_TaskID,$A133,Tasks_Tier,L$93)=0,"",SUMIFS(Tasks_Cost,Tasks_TaskID,$A133,Tasks_Tier,L$93,Tasks_Type,"flagged"))</f>
        <v/>
      </c>
      <c r="M133" s="3" t="str">
        <f aca="false">IF(COUNTIFS(Tasks_TaskID,$A133,Tasks_Tier,M$93)=0,"",SUMIFS(Tasks_Cost,Tasks_TaskID,$A133,Tasks_Tier,M$93,Tasks_Type,"flagged"))</f>
        <v/>
      </c>
    </row>
    <row r="134" customFormat="false" ht="15" hidden="false" customHeight="false" outlineLevel="0" collapsed="false">
      <c r="A134" s="0" t="s">
        <v>1827</v>
      </c>
      <c r="B134" s="0" t="s">
        <v>939</v>
      </c>
      <c r="C134" s="0" t="s">
        <v>1828</v>
      </c>
      <c r="D134" s="3" t="n">
        <f aca="false">IF(COUNTIFS(Tasks_TaskID,$A134,Tasks_Tier,D$93)=0,"",SUMIFS(Tasks_Cost,Tasks_TaskID,$A134,Tasks_Tier,D$93,Tasks_Type,"flagged"))</f>
        <v>0</v>
      </c>
      <c r="E134" s="3" t="n">
        <f aca="false">IF(COUNTIFS(Tasks_TaskID,$A134,Tasks_Tier,E$93)=0,"",SUMIFS(Tasks_Cost,Tasks_TaskID,$A134,Tasks_Tier,E$93,Tasks_Type,"flagged"))</f>
        <v>0</v>
      </c>
      <c r="F134" s="3" t="n">
        <f aca="false">IF(COUNTIFS(Tasks_TaskID,$A134,Tasks_Tier,F$93)=0,"",SUMIFS(Tasks_Cost,Tasks_TaskID,$A134,Tasks_Tier,F$93,Tasks_Type,"flagged"))</f>
        <v>0</v>
      </c>
      <c r="G134" s="3" t="str">
        <f aca="false">IF(COUNTIFS(Tasks_TaskID,$A134,Tasks_Tier,G$93)=0,"",SUMIFS(Tasks_Cost,Tasks_TaskID,$A134,Tasks_Tier,G$93,Tasks_Type,"flagged"))</f>
        <v/>
      </c>
      <c r="H134" s="3" t="str">
        <f aca="false">IF(COUNTIFS(Tasks_TaskID,$A134,Tasks_Tier,H$93)=0,"",SUMIFS(Tasks_Cost,Tasks_TaskID,$A134,Tasks_Tier,H$93,Tasks_Type,"flagged"))</f>
        <v/>
      </c>
      <c r="I134" s="3" t="str">
        <f aca="false">IF(COUNTIFS(Tasks_TaskID,$A134,Tasks_Tier,I$93)=0,"",SUMIFS(Tasks_Cost,Tasks_TaskID,$A134,Tasks_Tier,I$93,Tasks_Type,"flagged"))</f>
        <v/>
      </c>
      <c r="J134" s="3" t="str">
        <f aca="false">IF(COUNTIFS(Tasks_TaskID,$A134,Tasks_Tier,J$93)=0,"",SUMIFS(Tasks_Cost,Tasks_TaskID,$A134,Tasks_Tier,J$93,Tasks_Type,"flagged"))</f>
        <v/>
      </c>
      <c r="K134" s="3" t="str">
        <f aca="false">IF(COUNTIFS(Tasks_TaskID,$A134,Tasks_Tier,K$93)=0,"",SUMIFS(Tasks_Cost,Tasks_TaskID,$A134,Tasks_Tier,K$93,Tasks_Type,"flagged"))</f>
        <v/>
      </c>
      <c r="L134" s="3" t="str">
        <f aca="false">IF(COUNTIFS(Tasks_TaskID,$A134,Tasks_Tier,L$93)=0,"",SUMIFS(Tasks_Cost,Tasks_TaskID,$A134,Tasks_Tier,L$93,Tasks_Type,"flagged"))</f>
        <v/>
      </c>
      <c r="M134" s="3" t="str">
        <f aca="false">IF(COUNTIFS(Tasks_TaskID,$A134,Tasks_Tier,M$93)=0,"",SUMIFS(Tasks_Cost,Tasks_TaskID,$A134,Tasks_Tier,M$93,Tasks_Type,"flagged"))</f>
        <v/>
      </c>
    </row>
    <row r="136" customFormat="false" ht="15" hidden="false" customHeight="false" outlineLevel="0" collapsed="false">
      <c r="A136" s="11" t="s">
        <v>1878</v>
      </c>
    </row>
    <row r="137" customFormat="false" ht="15" hidden="false" customHeight="false" outlineLevel="0" collapsed="false">
      <c r="A137" s="1" t="s">
        <v>1026</v>
      </c>
      <c r="B137" s="1" t="s">
        <v>1</v>
      </c>
      <c r="C137" s="1" t="s">
        <v>1027</v>
      </c>
      <c r="D137" s="1" t="s">
        <v>1042</v>
      </c>
      <c r="E137" s="1" t="s">
        <v>1049</v>
      </c>
      <c r="F137" s="1" t="s">
        <v>1051</v>
      </c>
      <c r="G137" s="1" t="s">
        <v>1055</v>
      </c>
      <c r="H137" s="1" t="s">
        <v>1070</v>
      </c>
      <c r="I137" s="1" t="s">
        <v>1074</v>
      </c>
      <c r="J137" s="1" t="s">
        <v>1078</v>
      </c>
      <c r="K137" s="1" t="s">
        <v>1659</v>
      </c>
      <c r="L137" s="1" t="s">
        <v>1679</v>
      </c>
      <c r="M137" s="1" t="s">
        <v>1691</v>
      </c>
    </row>
    <row r="138" customFormat="false" ht="15" hidden="false" customHeight="false" outlineLevel="0" collapsed="false">
      <c r="A138" s="0" t="s">
        <v>1040</v>
      </c>
      <c r="B138" s="0" t="s">
        <v>20</v>
      </c>
      <c r="C138" s="0" t="s">
        <v>1041</v>
      </c>
      <c r="D138" s="3" t="n">
        <f aca="false">IF(COUNTIFS(Tasks_TaskID,$A138,Tasks_Tier,D$137)=0,"",SUMIFS(Tasks_Cost,Tasks_TaskID,$A138,Tasks_Tier,D$137,Tasks_Type,"reference"))</f>
        <v>0</v>
      </c>
      <c r="E138" s="3" t="n">
        <f aca="false">IF(COUNTIFS(Tasks_TaskID,$A138,Tasks_Tier,E$137)=0,"",SUMIFS(Tasks_Cost,Tasks_TaskID,$A138,Tasks_Tier,E$137,Tasks_Type,"reference"))</f>
        <v>0</v>
      </c>
      <c r="F138" s="3" t="n">
        <f aca="false">IF(COUNTIFS(Tasks_TaskID,$A138,Tasks_Tier,F$137)=0,"",SUMIFS(Tasks_Cost,Tasks_TaskID,$A138,Tasks_Tier,F$137,Tasks_Type,"reference"))</f>
        <v>0</v>
      </c>
      <c r="G138" s="3" t="str">
        <f aca="false">IF(COUNTIFS(Tasks_TaskID,$A138,Tasks_Tier,G$137)=0,"",SUMIFS(Tasks_Cost,Tasks_TaskID,$A138,Tasks_Tier,G$137,Tasks_Type,"reference"))</f>
        <v/>
      </c>
      <c r="H138" s="3" t="str">
        <f aca="false">IF(COUNTIFS(Tasks_TaskID,$A138,Tasks_Tier,H$137)=0,"",SUMIFS(Tasks_Cost,Tasks_TaskID,$A138,Tasks_Tier,H$137,Tasks_Type,"reference"))</f>
        <v/>
      </c>
      <c r="I138" s="3" t="str">
        <f aca="false">IF(COUNTIFS(Tasks_TaskID,$A138,Tasks_Tier,I$137)=0,"",SUMIFS(Tasks_Cost,Tasks_TaskID,$A138,Tasks_Tier,I$137,Tasks_Type,"reference"))</f>
        <v/>
      </c>
      <c r="J138" s="3" t="str">
        <f aca="false">IF(COUNTIFS(Tasks_TaskID,$A138,Tasks_Tier,J$137)=0,"",SUMIFS(Tasks_Cost,Tasks_TaskID,$A138,Tasks_Tier,J$137,Tasks_Type,"reference"))</f>
        <v/>
      </c>
      <c r="K138" s="3" t="str">
        <f aca="false">IF(COUNTIFS(Tasks_TaskID,$A138,Tasks_Tier,K$137)=0,"",SUMIFS(Tasks_Cost,Tasks_TaskID,$A138,Tasks_Tier,K$137,Tasks_Type,"reference"))</f>
        <v/>
      </c>
      <c r="L138" s="3" t="str">
        <f aca="false">IF(COUNTIFS(Tasks_TaskID,$A138,Tasks_Tier,L$137)=0,"",SUMIFS(Tasks_Cost,Tasks_TaskID,$A138,Tasks_Tier,L$137,Tasks_Type,"reference"))</f>
        <v/>
      </c>
      <c r="M138" s="3" t="str">
        <f aca="false">IF(COUNTIFS(Tasks_TaskID,$A138,Tasks_Tier,M$137)=0,"",SUMIFS(Tasks_Cost,Tasks_TaskID,$A138,Tasks_Tier,M$137,Tasks_Type,"reference"))</f>
        <v/>
      </c>
    </row>
    <row r="139" customFormat="false" ht="15" hidden="false" customHeight="false" outlineLevel="0" collapsed="false">
      <c r="A139" s="0" t="s">
        <v>1053</v>
      </c>
      <c r="B139" s="0" t="s">
        <v>52</v>
      </c>
      <c r="C139" s="0" t="s">
        <v>1054</v>
      </c>
      <c r="D139" s="3" t="str">
        <f aca="false">IF(COUNTIFS(Tasks_TaskID,$A139,Tasks_Tier,D$137)=0,"",SUMIFS(Tasks_Cost,Tasks_TaskID,$A139,Tasks_Tier,D$137,Tasks_Type,"reference"))</f>
        <v/>
      </c>
      <c r="E139" s="3" t="str">
        <f aca="false">IF(COUNTIFS(Tasks_TaskID,$A139,Tasks_Tier,E$137)=0,"",SUMIFS(Tasks_Cost,Tasks_TaskID,$A139,Tasks_Tier,E$137,Tasks_Type,"reference"))</f>
        <v/>
      </c>
      <c r="F139" s="3" t="str">
        <f aca="false">IF(COUNTIFS(Tasks_TaskID,$A139,Tasks_Tier,F$137)=0,"",SUMIFS(Tasks_Cost,Tasks_TaskID,$A139,Tasks_Tier,F$137,Tasks_Type,"reference"))</f>
        <v/>
      </c>
      <c r="G139" s="3" t="n">
        <f aca="false">IF(COUNTIFS(Tasks_TaskID,$A139,Tasks_Tier,G$137)=0,"",SUMIFS(Tasks_Cost,Tasks_TaskID,$A139,Tasks_Tier,G$137,Tasks_Type,"reference"))</f>
        <v>0</v>
      </c>
      <c r="H139" s="3" t="n">
        <f aca="false">IF(COUNTIFS(Tasks_TaskID,$A139,Tasks_Tier,H$137)=0,"",SUMIFS(Tasks_Cost,Tasks_TaskID,$A139,Tasks_Tier,H$137,Tasks_Type,"reference"))</f>
        <v>0</v>
      </c>
      <c r="I139" s="3" t="n">
        <f aca="false">IF(COUNTIFS(Tasks_TaskID,$A139,Tasks_Tier,I$137)=0,"",SUMIFS(Tasks_Cost,Tasks_TaskID,$A139,Tasks_Tier,I$137,Tasks_Type,"reference"))</f>
        <v>0</v>
      </c>
      <c r="J139" s="3" t="n">
        <f aca="false">IF(COUNTIFS(Tasks_TaskID,$A139,Tasks_Tier,J$137)=0,"",SUMIFS(Tasks_Cost,Tasks_TaskID,$A139,Tasks_Tier,J$137,Tasks_Type,"reference"))</f>
        <v>0</v>
      </c>
      <c r="K139" s="3" t="str">
        <f aca="false">IF(COUNTIFS(Tasks_TaskID,$A139,Tasks_Tier,K$137)=0,"",SUMIFS(Tasks_Cost,Tasks_TaskID,$A139,Tasks_Tier,K$137,Tasks_Type,"reference"))</f>
        <v/>
      </c>
      <c r="L139" s="3" t="str">
        <f aca="false">IF(COUNTIFS(Tasks_TaskID,$A139,Tasks_Tier,L$137)=0,"",SUMIFS(Tasks_Cost,Tasks_TaskID,$A139,Tasks_Tier,L$137,Tasks_Type,"reference"))</f>
        <v/>
      </c>
      <c r="M139" s="3" t="str">
        <f aca="false">IF(COUNTIFS(Tasks_TaskID,$A139,Tasks_Tier,M$137)=0,"",SUMIFS(Tasks_Cost,Tasks_TaskID,$A139,Tasks_Tier,M$137,Tasks_Type,"reference"))</f>
        <v/>
      </c>
    </row>
    <row r="140" customFormat="false" ht="15" hidden="false" customHeight="false" outlineLevel="0" collapsed="false">
      <c r="A140" s="0" t="s">
        <v>1064</v>
      </c>
      <c r="B140" s="0" t="s">
        <v>52</v>
      </c>
      <c r="C140" s="0" t="s">
        <v>1065</v>
      </c>
      <c r="D140" s="3" t="str">
        <f aca="false">IF(COUNTIFS(Tasks_TaskID,$A140,Tasks_Tier,D$137)=0,"",SUMIFS(Tasks_Cost,Tasks_TaskID,$A140,Tasks_Tier,D$137,Tasks_Type,"reference"))</f>
        <v/>
      </c>
      <c r="E140" s="3" t="str">
        <f aca="false">IF(COUNTIFS(Tasks_TaskID,$A140,Tasks_Tier,E$137)=0,"",SUMIFS(Tasks_Cost,Tasks_TaskID,$A140,Tasks_Tier,E$137,Tasks_Type,"reference"))</f>
        <v/>
      </c>
      <c r="F140" s="3" t="str">
        <f aca="false">IF(COUNTIFS(Tasks_TaskID,$A140,Tasks_Tier,F$137)=0,"",SUMIFS(Tasks_Cost,Tasks_TaskID,$A140,Tasks_Tier,F$137,Tasks_Type,"reference"))</f>
        <v/>
      </c>
      <c r="G140" s="3" t="n">
        <f aca="false">IF(COUNTIFS(Tasks_TaskID,$A140,Tasks_Tier,G$137)=0,"",SUMIFS(Tasks_Cost,Tasks_TaskID,$A140,Tasks_Tier,G$137,Tasks_Type,"reference"))</f>
        <v>0</v>
      </c>
      <c r="H140" s="3" t="n">
        <f aca="false">IF(COUNTIFS(Tasks_TaskID,$A140,Tasks_Tier,H$137)=0,"",SUMIFS(Tasks_Cost,Tasks_TaskID,$A140,Tasks_Tier,H$137,Tasks_Type,"reference"))</f>
        <v>0</v>
      </c>
      <c r="I140" s="3" t="n">
        <f aca="false">IF(COUNTIFS(Tasks_TaskID,$A140,Tasks_Tier,I$137)=0,"",SUMIFS(Tasks_Cost,Tasks_TaskID,$A140,Tasks_Tier,I$137,Tasks_Type,"reference"))</f>
        <v>0</v>
      </c>
      <c r="J140" s="3" t="n">
        <f aca="false">IF(COUNTIFS(Tasks_TaskID,$A140,Tasks_Tier,J$137)=0,"",SUMIFS(Tasks_Cost,Tasks_TaskID,$A140,Tasks_Tier,J$137,Tasks_Type,"reference"))</f>
        <v>0</v>
      </c>
      <c r="K140" s="3" t="str">
        <f aca="false">IF(COUNTIFS(Tasks_TaskID,$A140,Tasks_Tier,K$137)=0,"",SUMIFS(Tasks_Cost,Tasks_TaskID,$A140,Tasks_Tier,K$137,Tasks_Type,"reference"))</f>
        <v/>
      </c>
      <c r="L140" s="3" t="str">
        <f aca="false">IF(COUNTIFS(Tasks_TaskID,$A140,Tasks_Tier,L$137)=0,"",SUMIFS(Tasks_Cost,Tasks_TaskID,$A140,Tasks_Tier,L$137,Tasks_Type,"reference"))</f>
        <v/>
      </c>
      <c r="M140" s="3" t="str">
        <f aca="false">IF(COUNTIFS(Tasks_TaskID,$A140,Tasks_Tier,M$137)=0,"",SUMIFS(Tasks_Cost,Tasks_TaskID,$A140,Tasks_Tier,M$137,Tasks_Type,"reference"))</f>
        <v/>
      </c>
    </row>
    <row r="141" customFormat="false" ht="15" hidden="false" customHeight="false" outlineLevel="0" collapsed="false">
      <c r="A141" s="0" t="s">
        <v>1082</v>
      </c>
      <c r="B141" s="0" t="s">
        <v>107</v>
      </c>
      <c r="C141" s="0" t="s">
        <v>1083</v>
      </c>
      <c r="D141" s="3" t="n">
        <f aca="false">IF(COUNTIFS(Tasks_TaskID,$A141,Tasks_Tier,D$137)=0,"",SUMIFS(Tasks_Cost,Tasks_TaskID,$A141,Tasks_Tier,D$137,Tasks_Type,"reference"))</f>
        <v>0</v>
      </c>
      <c r="E141" s="3" t="n">
        <f aca="false">IF(COUNTIFS(Tasks_TaskID,$A141,Tasks_Tier,E$137)=0,"",SUMIFS(Tasks_Cost,Tasks_TaskID,$A141,Tasks_Tier,E$137,Tasks_Type,"reference"))</f>
        <v>0</v>
      </c>
      <c r="F141" s="3" t="n">
        <f aca="false">IF(COUNTIFS(Tasks_TaskID,$A141,Tasks_Tier,F$137)=0,"",SUMIFS(Tasks_Cost,Tasks_TaskID,$A141,Tasks_Tier,F$137,Tasks_Type,"reference"))</f>
        <v>0</v>
      </c>
      <c r="G141" s="3" t="str">
        <f aca="false">IF(COUNTIFS(Tasks_TaskID,$A141,Tasks_Tier,G$137)=0,"",SUMIFS(Tasks_Cost,Tasks_TaskID,$A141,Tasks_Tier,G$137,Tasks_Type,"reference"))</f>
        <v/>
      </c>
      <c r="H141" s="3" t="str">
        <f aca="false">IF(COUNTIFS(Tasks_TaskID,$A141,Tasks_Tier,H$137)=0,"",SUMIFS(Tasks_Cost,Tasks_TaskID,$A141,Tasks_Tier,H$137,Tasks_Type,"reference"))</f>
        <v/>
      </c>
      <c r="I141" s="3" t="str">
        <f aca="false">IF(COUNTIFS(Tasks_TaskID,$A141,Tasks_Tier,I$137)=0,"",SUMIFS(Tasks_Cost,Tasks_TaskID,$A141,Tasks_Tier,I$137,Tasks_Type,"reference"))</f>
        <v/>
      </c>
      <c r="J141" s="3" t="str">
        <f aca="false">IF(COUNTIFS(Tasks_TaskID,$A141,Tasks_Tier,J$137)=0,"",SUMIFS(Tasks_Cost,Tasks_TaskID,$A141,Tasks_Tier,J$137,Tasks_Type,"reference"))</f>
        <v/>
      </c>
      <c r="K141" s="3" t="str">
        <f aca="false">IF(COUNTIFS(Tasks_TaskID,$A141,Tasks_Tier,K$137)=0,"",SUMIFS(Tasks_Cost,Tasks_TaskID,$A141,Tasks_Tier,K$137,Tasks_Type,"reference"))</f>
        <v/>
      </c>
      <c r="L141" s="3" t="str">
        <f aca="false">IF(COUNTIFS(Tasks_TaskID,$A141,Tasks_Tier,L$137)=0,"",SUMIFS(Tasks_Cost,Tasks_TaskID,$A141,Tasks_Tier,L$137,Tasks_Type,"reference"))</f>
        <v/>
      </c>
      <c r="M141" s="3" t="str">
        <f aca="false">IF(COUNTIFS(Tasks_TaskID,$A141,Tasks_Tier,M$137)=0,"",SUMIFS(Tasks_Cost,Tasks_TaskID,$A141,Tasks_Tier,M$137,Tasks_Type,"reference"))</f>
        <v/>
      </c>
    </row>
    <row r="142" customFormat="false" ht="15" hidden="false" customHeight="false" outlineLevel="0" collapsed="false">
      <c r="A142" s="0" t="s">
        <v>1088</v>
      </c>
      <c r="B142" s="0" t="s">
        <v>107</v>
      </c>
      <c r="C142" s="0" t="s">
        <v>1089</v>
      </c>
      <c r="D142" s="3" t="n">
        <f aca="false">IF(COUNTIFS(Tasks_TaskID,$A142,Tasks_Tier,D$137)=0,"",SUMIFS(Tasks_Cost,Tasks_TaskID,$A142,Tasks_Tier,D$137,Tasks_Type,"reference"))</f>
        <v>0</v>
      </c>
      <c r="E142" s="3" t="n">
        <f aca="false">IF(COUNTIFS(Tasks_TaskID,$A142,Tasks_Tier,E$137)=0,"",SUMIFS(Tasks_Cost,Tasks_TaskID,$A142,Tasks_Tier,E$137,Tasks_Type,"reference"))</f>
        <v>0</v>
      </c>
      <c r="F142" s="3" t="n">
        <f aca="false">IF(COUNTIFS(Tasks_TaskID,$A142,Tasks_Tier,F$137)=0,"",SUMIFS(Tasks_Cost,Tasks_TaskID,$A142,Tasks_Tier,F$137,Tasks_Type,"reference"))</f>
        <v>0</v>
      </c>
      <c r="G142" s="3" t="str">
        <f aca="false">IF(COUNTIFS(Tasks_TaskID,$A142,Tasks_Tier,G$137)=0,"",SUMIFS(Tasks_Cost,Tasks_TaskID,$A142,Tasks_Tier,G$137,Tasks_Type,"reference"))</f>
        <v/>
      </c>
      <c r="H142" s="3" t="str">
        <f aca="false">IF(COUNTIFS(Tasks_TaskID,$A142,Tasks_Tier,H$137)=0,"",SUMIFS(Tasks_Cost,Tasks_TaskID,$A142,Tasks_Tier,H$137,Tasks_Type,"reference"))</f>
        <v/>
      </c>
      <c r="I142" s="3" t="str">
        <f aca="false">IF(COUNTIFS(Tasks_TaskID,$A142,Tasks_Tier,I$137)=0,"",SUMIFS(Tasks_Cost,Tasks_TaskID,$A142,Tasks_Tier,I$137,Tasks_Type,"reference"))</f>
        <v/>
      </c>
      <c r="J142" s="3" t="str">
        <f aca="false">IF(COUNTIFS(Tasks_TaskID,$A142,Tasks_Tier,J$137)=0,"",SUMIFS(Tasks_Cost,Tasks_TaskID,$A142,Tasks_Tier,J$137,Tasks_Type,"reference"))</f>
        <v/>
      </c>
      <c r="K142" s="3" t="str">
        <f aca="false">IF(COUNTIFS(Tasks_TaskID,$A142,Tasks_Tier,K$137)=0,"",SUMIFS(Tasks_Cost,Tasks_TaskID,$A142,Tasks_Tier,K$137,Tasks_Type,"reference"))</f>
        <v/>
      </c>
      <c r="L142" s="3" t="str">
        <f aca="false">IF(COUNTIFS(Tasks_TaskID,$A142,Tasks_Tier,L$137)=0,"",SUMIFS(Tasks_Cost,Tasks_TaskID,$A142,Tasks_Tier,L$137,Tasks_Type,"reference"))</f>
        <v/>
      </c>
      <c r="M142" s="3" t="str">
        <f aca="false">IF(COUNTIFS(Tasks_TaskID,$A142,Tasks_Tier,M$137)=0,"",SUMIFS(Tasks_Cost,Tasks_TaskID,$A142,Tasks_Tier,M$137,Tasks_Type,"reference"))</f>
        <v/>
      </c>
    </row>
    <row r="143" customFormat="false" ht="15" hidden="false" customHeight="false" outlineLevel="0" collapsed="false">
      <c r="A143" s="0" t="s">
        <v>1097</v>
      </c>
      <c r="B143" s="0" t="s">
        <v>107</v>
      </c>
      <c r="C143" s="0" t="s">
        <v>1098</v>
      </c>
      <c r="D143" s="3" t="n">
        <f aca="false">IF(COUNTIFS(Tasks_TaskID,$A143,Tasks_Tier,D$137)=0,"",SUMIFS(Tasks_Cost,Tasks_TaskID,$A143,Tasks_Tier,D$137,Tasks_Type,"reference"))</f>
        <v>0</v>
      </c>
      <c r="E143" s="3" t="n">
        <f aca="false">IF(COUNTIFS(Tasks_TaskID,$A143,Tasks_Tier,E$137)=0,"",SUMIFS(Tasks_Cost,Tasks_TaskID,$A143,Tasks_Tier,E$137,Tasks_Type,"reference"))</f>
        <v>0</v>
      </c>
      <c r="F143" s="3" t="n">
        <f aca="false">IF(COUNTIFS(Tasks_TaskID,$A143,Tasks_Tier,F$137)=0,"",SUMIFS(Tasks_Cost,Tasks_TaskID,$A143,Tasks_Tier,F$137,Tasks_Type,"reference"))</f>
        <v>0</v>
      </c>
      <c r="G143" s="3" t="str">
        <f aca="false">IF(COUNTIFS(Tasks_TaskID,$A143,Tasks_Tier,G$137)=0,"",SUMIFS(Tasks_Cost,Tasks_TaskID,$A143,Tasks_Tier,G$137,Tasks_Type,"reference"))</f>
        <v/>
      </c>
      <c r="H143" s="3" t="str">
        <f aca="false">IF(COUNTIFS(Tasks_TaskID,$A143,Tasks_Tier,H$137)=0,"",SUMIFS(Tasks_Cost,Tasks_TaskID,$A143,Tasks_Tier,H$137,Tasks_Type,"reference"))</f>
        <v/>
      </c>
      <c r="I143" s="3" t="str">
        <f aca="false">IF(COUNTIFS(Tasks_TaskID,$A143,Tasks_Tier,I$137)=0,"",SUMIFS(Tasks_Cost,Tasks_TaskID,$A143,Tasks_Tier,I$137,Tasks_Type,"reference"))</f>
        <v/>
      </c>
      <c r="J143" s="3" t="str">
        <f aca="false">IF(COUNTIFS(Tasks_TaskID,$A143,Tasks_Tier,J$137)=0,"",SUMIFS(Tasks_Cost,Tasks_TaskID,$A143,Tasks_Tier,J$137,Tasks_Type,"reference"))</f>
        <v/>
      </c>
      <c r="K143" s="3" t="str">
        <f aca="false">IF(COUNTIFS(Tasks_TaskID,$A143,Tasks_Tier,K$137)=0,"",SUMIFS(Tasks_Cost,Tasks_TaskID,$A143,Tasks_Tier,K$137,Tasks_Type,"reference"))</f>
        <v/>
      </c>
      <c r="L143" s="3" t="str">
        <f aca="false">IF(COUNTIFS(Tasks_TaskID,$A143,Tasks_Tier,L$137)=0,"",SUMIFS(Tasks_Cost,Tasks_TaskID,$A143,Tasks_Tier,L$137,Tasks_Type,"reference"))</f>
        <v/>
      </c>
      <c r="M143" s="3" t="str">
        <f aca="false">IF(COUNTIFS(Tasks_TaskID,$A143,Tasks_Tier,M$137)=0,"",SUMIFS(Tasks_Cost,Tasks_TaskID,$A143,Tasks_Tier,M$137,Tasks_Type,"reference"))</f>
        <v/>
      </c>
    </row>
    <row r="144" customFormat="false" ht="15" hidden="false" customHeight="false" outlineLevel="0" collapsed="false">
      <c r="A144" s="0" t="s">
        <v>1117</v>
      </c>
      <c r="B144" s="0" t="s">
        <v>107</v>
      </c>
      <c r="C144" s="0" t="s">
        <v>1118</v>
      </c>
      <c r="D144" s="3" t="n">
        <f aca="false">IF(COUNTIFS(Tasks_TaskID,$A144,Tasks_Tier,D$137)=0,"",SUMIFS(Tasks_Cost,Tasks_TaskID,$A144,Tasks_Tier,D$137,Tasks_Type,"reference"))</f>
        <v>0</v>
      </c>
      <c r="E144" s="3" t="n">
        <f aca="false">IF(COUNTIFS(Tasks_TaskID,$A144,Tasks_Tier,E$137)=0,"",SUMIFS(Tasks_Cost,Tasks_TaskID,$A144,Tasks_Tier,E$137,Tasks_Type,"reference"))</f>
        <v>0</v>
      </c>
      <c r="F144" s="3" t="n">
        <f aca="false">IF(COUNTIFS(Tasks_TaskID,$A144,Tasks_Tier,F$137)=0,"",SUMIFS(Tasks_Cost,Tasks_TaskID,$A144,Tasks_Tier,F$137,Tasks_Type,"reference"))</f>
        <v>0</v>
      </c>
      <c r="G144" s="3" t="str">
        <f aca="false">IF(COUNTIFS(Tasks_TaskID,$A144,Tasks_Tier,G$137)=0,"",SUMIFS(Tasks_Cost,Tasks_TaskID,$A144,Tasks_Tier,G$137,Tasks_Type,"reference"))</f>
        <v/>
      </c>
      <c r="H144" s="3" t="str">
        <f aca="false">IF(COUNTIFS(Tasks_TaskID,$A144,Tasks_Tier,H$137)=0,"",SUMIFS(Tasks_Cost,Tasks_TaskID,$A144,Tasks_Tier,H$137,Tasks_Type,"reference"))</f>
        <v/>
      </c>
      <c r="I144" s="3" t="str">
        <f aca="false">IF(COUNTIFS(Tasks_TaskID,$A144,Tasks_Tier,I$137)=0,"",SUMIFS(Tasks_Cost,Tasks_TaskID,$A144,Tasks_Tier,I$137,Tasks_Type,"reference"))</f>
        <v/>
      </c>
      <c r="J144" s="3" t="str">
        <f aca="false">IF(COUNTIFS(Tasks_TaskID,$A144,Tasks_Tier,J$137)=0,"",SUMIFS(Tasks_Cost,Tasks_TaskID,$A144,Tasks_Tier,J$137,Tasks_Type,"reference"))</f>
        <v/>
      </c>
      <c r="K144" s="3" t="str">
        <f aca="false">IF(COUNTIFS(Tasks_TaskID,$A144,Tasks_Tier,K$137)=0,"",SUMIFS(Tasks_Cost,Tasks_TaskID,$A144,Tasks_Tier,K$137,Tasks_Type,"reference"))</f>
        <v/>
      </c>
      <c r="L144" s="3" t="str">
        <f aca="false">IF(COUNTIFS(Tasks_TaskID,$A144,Tasks_Tier,L$137)=0,"",SUMIFS(Tasks_Cost,Tasks_TaskID,$A144,Tasks_Tier,L$137,Tasks_Type,"reference"))</f>
        <v/>
      </c>
      <c r="M144" s="3" t="str">
        <f aca="false">IF(COUNTIFS(Tasks_TaskID,$A144,Tasks_Tier,M$137)=0,"",SUMIFS(Tasks_Cost,Tasks_TaskID,$A144,Tasks_Tier,M$137,Tasks_Type,"reference"))</f>
        <v/>
      </c>
    </row>
    <row r="145" customFormat="false" ht="15" hidden="false" customHeight="false" outlineLevel="0" collapsed="false">
      <c r="A145" s="0" t="s">
        <v>1126</v>
      </c>
      <c r="B145" s="0" t="s">
        <v>176</v>
      </c>
      <c r="C145" s="0" t="s">
        <v>1127</v>
      </c>
      <c r="D145" s="3" t="n">
        <f aca="false">IF(COUNTIFS(Tasks_TaskID,$A145,Tasks_Tier,D$137)=0,"",SUMIFS(Tasks_Cost,Tasks_TaskID,$A145,Tasks_Tier,D$137,Tasks_Type,"reference"))</f>
        <v>0</v>
      </c>
      <c r="E145" s="3" t="n">
        <f aca="false">IF(COUNTIFS(Tasks_TaskID,$A145,Tasks_Tier,E$137)=0,"",SUMIFS(Tasks_Cost,Tasks_TaskID,$A145,Tasks_Tier,E$137,Tasks_Type,"reference"))</f>
        <v>0</v>
      </c>
      <c r="F145" s="3" t="n">
        <f aca="false">IF(COUNTIFS(Tasks_TaskID,$A145,Tasks_Tier,F$137)=0,"",SUMIFS(Tasks_Cost,Tasks_TaskID,$A145,Tasks_Tier,F$137,Tasks_Type,"reference"))</f>
        <v>0</v>
      </c>
      <c r="G145" s="3" t="str">
        <f aca="false">IF(COUNTIFS(Tasks_TaskID,$A145,Tasks_Tier,G$137)=0,"",SUMIFS(Tasks_Cost,Tasks_TaskID,$A145,Tasks_Tier,G$137,Tasks_Type,"reference"))</f>
        <v/>
      </c>
      <c r="H145" s="3" t="str">
        <f aca="false">IF(COUNTIFS(Tasks_TaskID,$A145,Tasks_Tier,H$137)=0,"",SUMIFS(Tasks_Cost,Tasks_TaskID,$A145,Tasks_Tier,H$137,Tasks_Type,"reference"))</f>
        <v/>
      </c>
      <c r="I145" s="3" t="str">
        <f aca="false">IF(COUNTIFS(Tasks_TaskID,$A145,Tasks_Tier,I$137)=0,"",SUMIFS(Tasks_Cost,Tasks_TaskID,$A145,Tasks_Tier,I$137,Tasks_Type,"reference"))</f>
        <v/>
      </c>
      <c r="J145" s="3" t="str">
        <f aca="false">IF(COUNTIFS(Tasks_TaskID,$A145,Tasks_Tier,J$137)=0,"",SUMIFS(Tasks_Cost,Tasks_TaskID,$A145,Tasks_Tier,J$137,Tasks_Type,"reference"))</f>
        <v/>
      </c>
      <c r="K145" s="3" t="str">
        <f aca="false">IF(COUNTIFS(Tasks_TaskID,$A145,Tasks_Tier,K$137)=0,"",SUMIFS(Tasks_Cost,Tasks_TaskID,$A145,Tasks_Tier,K$137,Tasks_Type,"reference"))</f>
        <v/>
      </c>
      <c r="L145" s="3" t="str">
        <f aca="false">IF(COUNTIFS(Tasks_TaskID,$A145,Tasks_Tier,L$137)=0,"",SUMIFS(Tasks_Cost,Tasks_TaskID,$A145,Tasks_Tier,L$137,Tasks_Type,"reference"))</f>
        <v/>
      </c>
      <c r="M145" s="3" t="str">
        <f aca="false">IF(COUNTIFS(Tasks_TaskID,$A145,Tasks_Tier,M$137)=0,"",SUMIFS(Tasks_Cost,Tasks_TaskID,$A145,Tasks_Tier,M$137,Tasks_Type,"reference"))</f>
        <v/>
      </c>
    </row>
    <row r="146" customFormat="false" ht="15" hidden="false" customHeight="false" outlineLevel="0" collapsed="false">
      <c r="A146" s="0" t="s">
        <v>1136</v>
      </c>
      <c r="B146" s="0" t="s">
        <v>176</v>
      </c>
      <c r="C146" s="0" t="s">
        <v>1137</v>
      </c>
      <c r="D146" s="3" t="n">
        <f aca="false">IF(COUNTIFS(Tasks_TaskID,$A146,Tasks_Tier,D$137)=0,"",SUMIFS(Tasks_Cost,Tasks_TaskID,$A146,Tasks_Tier,D$137,Tasks_Type,"reference"))</f>
        <v>0</v>
      </c>
      <c r="E146" s="3" t="n">
        <f aca="false">IF(COUNTIFS(Tasks_TaskID,$A146,Tasks_Tier,E$137)=0,"",SUMIFS(Tasks_Cost,Tasks_TaskID,$A146,Tasks_Tier,E$137,Tasks_Type,"reference"))</f>
        <v>0</v>
      </c>
      <c r="F146" s="3" t="n">
        <f aca="false">IF(COUNTIFS(Tasks_TaskID,$A146,Tasks_Tier,F$137)=0,"",SUMIFS(Tasks_Cost,Tasks_TaskID,$A146,Tasks_Tier,F$137,Tasks_Type,"reference"))</f>
        <v>0</v>
      </c>
      <c r="G146" s="3" t="str">
        <f aca="false">IF(COUNTIFS(Tasks_TaskID,$A146,Tasks_Tier,G$137)=0,"",SUMIFS(Tasks_Cost,Tasks_TaskID,$A146,Tasks_Tier,G$137,Tasks_Type,"reference"))</f>
        <v/>
      </c>
      <c r="H146" s="3" t="str">
        <f aca="false">IF(COUNTIFS(Tasks_TaskID,$A146,Tasks_Tier,H$137)=0,"",SUMIFS(Tasks_Cost,Tasks_TaskID,$A146,Tasks_Tier,H$137,Tasks_Type,"reference"))</f>
        <v/>
      </c>
      <c r="I146" s="3" t="str">
        <f aca="false">IF(COUNTIFS(Tasks_TaskID,$A146,Tasks_Tier,I$137)=0,"",SUMIFS(Tasks_Cost,Tasks_TaskID,$A146,Tasks_Tier,I$137,Tasks_Type,"reference"))</f>
        <v/>
      </c>
      <c r="J146" s="3" t="str">
        <f aca="false">IF(COUNTIFS(Tasks_TaskID,$A146,Tasks_Tier,J$137)=0,"",SUMIFS(Tasks_Cost,Tasks_TaskID,$A146,Tasks_Tier,J$137,Tasks_Type,"reference"))</f>
        <v/>
      </c>
      <c r="K146" s="3" t="str">
        <f aca="false">IF(COUNTIFS(Tasks_TaskID,$A146,Tasks_Tier,K$137)=0,"",SUMIFS(Tasks_Cost,Tasks_TaskID,$A146,Tasks_Tier,K$137,Tasks_Type,"reference"))</f>
        <v/>
      </c>
      <c r="L146" s="3" t="str">
        <f aca="false">IF(COUNTIFS(Tasks_TaskID,$A146,Tasks_Tier,L$137)=0,"",SUMIFS(Tasks_Cost,Tasks_TaskID,$A146,Tasks_Tier,L$137,Tasks_Type,"reference"))</f>
        <v/>
      </c>
      <c r="M146" s="3" t="str">
        <f aca="false">IF(COUNTIFS(Tasks_TaskID,$A146,Tasks_Tier,M$137)=0,"",SUMIFS(Tasks_Cost,Tasks_TaskID,$A146,Tasks_Tier,M$137,Tasks_Type,"reference"))</f>
        <v/>
      </c>
    </row>
    <row r="147" customFormat="false" ht="15" hidden="false" customHeight="false" outlineLevel="0" collapsed="false">
      <c r="A147" s="0" t="s">
        <v>1151</v>
      </c>
      <c r="B147" s="0" t="s">
        <v>176</v>
      </c>
      <c r="C147" s="0" t="s">
        <v>1152</v>
      </c>
      <c r="D147" s="3" t="str">
        <f aca="false">IF(COUNTIFS(Tasks_TaskID,$A147,Tasks_Tier,D$137)=0,"",SUMIFS(Tasks_Cost,Tasks_TaskID,$A147,Tasks_Tier,D$137,Tasks_Type,"reference"))</f>
        <v/>
      </c>
      <c r="E147" s="3" t="str">
        <f aca="false">IF(COUNTIFS(Tasks_TaskID,$A147,Tasks_Tier,E$137)=0,"",SUMIFS(Tasks_Cost,Tasks_TaskID,$A147,Tasks_Tier,E$137,Tasks_Type,"reference"))</f>
        <v/>
      </c>
      <c r="F147" s="3" t="str">
        <f aca="false">IF(COUNTIFS(Tasks_TaskID,$A147,Tasks_Tier,F$137)=0,"",SUMIFS(Tasks_Cost,Tasks_TaskID,$A147,Tasks_Tier,F$137,Tasks_Type,"reference"))</f>
        <v/>
      </c>
      <c r="G147" s="3" t="n">
        <f aca="false">IF(COUNTIFS(Tasks_TaskID,$A147,Tasks_Tier,G$137)=0,"",SUMIFS(Tasks_Cost,Tasks_TaskID,$A147,Tasks_Tier,G$137,Tasks_Type,"reference"))</f>
        <v>0</v>
      </c>
      <c r="H147" s="3" t="n">
        <f aca="false">IF(COUNTIFS(Tasks_TaskID,$A147,Tasks_Tier,H$137)=0,"",SUMIFS(Tasks_Cost,Tasks_TaskID,$A147,Tasks_Tier,H$137,Tasks_Type,"reference"))</f>
        <v>0</v>
      </c>
      <c r="I147" s="3" t="n">
        <f aca="false">IF(COUNTIFS(Tasks_TaskID,$A147,Tasks_Tier,I$137)=0,"",SUMIFS(Tasks_Cost,Tasks_TaskID,$A147,Tasks_Tier,I$137,Tasks_Type,"reference"))</f>
        <v>0</v>
      </c>
      <c r="J147" s="3" t="n">
        <f aca="false">IF(COUNTIFS(Tasks_TaskID,$A147,Tasks_Tier,J$137)=0,"",SUMIFS(Tasks_Cost,Tasks_TaskID,$A147,Tasks_Tier,J$137,Tasks_Type,"reference"))</f>
        <v>0</v>
      </c>
      <c r="K147" s="3" t="str">
        <f aca="false">IF(COUNTIFS(Tasks_TaskID,$A147,Tasks_Tier,K$137)=0,"",SUMIFS(Tasks_Cost,Tasks_TaskID,$A147,Tasks_Tier,K$137,Tasks_Type,"reference"))</f>
        <v/>
      </c>
      <c r="L147" s="3" t="str">
        <f aca="false">IF(COUNTIFS(Tasks_TaskID,$A147,Tasks_Tier,L$137)=0,"",SUMIFS(Tasks_Cost,Tasks_TaskID,$A147,Tasks_Tier,L$137,Tasks_Type,"reference"))</f>
        <v/>
      </c>
      <c r="M147" s="3" t="str">
        <f aca="false">IF(COUNTIFS(Tasks_TaskID,$A147,Tasks_Tier,M$137)=0,"",SUMIFS(Tasks_Cost,Tasks_TaskID,$A147,Tasks_Tier,M$137,Tasks_Type,"reference"))</f>
        <v/>
      </c>
    </row>
    <row r="148" customFormat="false" ht="15" hidden="false" customHeight="false" outlineLevel="0" collapsed="false">
      <c r="A148" s="0" t="s">
        <v>1161</v>
      </c>
      <c r="B148" s="0" t="s">
        <v>229</v>
      </c>
      <c r="C148" s="0" t="s">
        <v>1162</v>
      </c>
      <c r="D148" s="3" t="n">
        <f aca="false">IF(COUNTIFS(Tasks_TaskID,$A148,Tasks_Tier,D$137)=0,"",SUMIFS(Tasks_Cost,Tasks_TaskID,$A148,Tasks_Tier,D$137,Tasks_Type,"reference"))</f>
        <v>366</v>
      </c>
      <c r="E148" s="3" t="n">
        <f aca="false">IF(COUNTIFS(Tasks_TaskID,$A148,Tasks_Tier,E$137)=0,"",SUMIFS(Tasks_Cost,Tasks_TaskID,$A148,Tasks_Tier,E$137,Tasks_Type,"reference"))</f>
        <v>417</v>
      </c>
      <c r="F148" s="3" t="n">
        <f aca="false">IF(COUNTIFS(Tasks_TaskID,$A148,Tasks_Tier,F$137)=0,"",SUMIFS(Tasks_Cost,Tasks_TaskID,$A148,Tasks_Tier,F$137,Tasks_Type,"reference"))</f>
        <v>484</v>
      </c>
      <c r="G148" s="3" t="str">
        <f aca="false">IF(COUNTIFS(Tasks_TaskID,$A148,Tasks_Tier,G$137)=0,"",SUMIFS(Tasks_Cost,Tasks_TaskID,$A148,Tasks_Tier,G$137,Tasks_Type,"reference"))</f>
        <v/>
      </c>
      <c r="H148" s="3" t="str">
        <f aca="false">IF(COUNTIFS(Tasks_TaskID,$A148,Tasks_Tier,H$137)=0,"",SUMIFS(Tasks_Cost,Tasks_TaskID,$A148,Tasks_Tier,H$137,Tasks_Type,"reference"))</f>
        <v/>
      </c>
      <c r="I148" s="3" t="str">
        <f aca="false">IF(COUNTIFS(Tasks_TaskID,$A148,Tasks_Tier,I$137)=0,"",SUMIFS(Tasks_Cost,Tasks_TaskID,$A148,Tasks_Tier,I$137,Tasks_Type,"reference"))</f>
        <v/>
      </c>
      <c r="J148" s="3" t="str">
        <f aca="false">IF(COUNTIFS(Tasks_TaskID,$A148,Tasks_Tier,J$137)=0,"",SUMIFS(Tasks_Cost,Tasks_TaskID,$A148,Tasks_Tier,J$137,Tasks_Type,"reference"))</f>
        <v/>
      </c>
      <c r="K148" s="3" t="str">
        <f aca="false">IF(COUNTIFS(Tasks_TaskID,$A148,Tasks_Tier,K$137)=0,"",SUMIFS(Tasks_Cost,Tasks_TaskID,$A148,Tasks_Tier,K$137,Tasks_Type,"reference"))</f>
        <v/>
      </c>
      <c r="L148" s="3" t="str">
        <f aca="false">IF(COUNTIFS(Tasks_TaskID,$A148,Tasks_Tier,L$137)=0,"",SUMIFS(Tasks_Cost,Tasks_TaskID,$A148,Tasks_Tier,L$137,Tasks_Type,"reference"))</f>
        <v/>
      </c>
      <c r="M148" s="3" t="str">
        <f aca="false">IF(COUNTIFS(Tasks_TaskID,$A148,Tasks_Tier,M$137)=0,"",SUMIFS(Tasks_Cost,Tasks_TaskID,$A148,Tasks_Tier,M$137,Tasks_Type,"reference"))</f>
        <v/>
      </c>
    </row>
    <row r="149" customFormat="false" ht="15" hidden="false" customHeight="false" outlineLevel="0" collapsed="false">
      <c r="A149" s="0" t="s">
        <v>1171</v>
      </c>
      <c r="B149" s="0" t="s">
        <v>229</v>
      </c>
      <c r="C149" s="0" t="s">
        <v>1172</v>
      </c>
      <c r="D149" s="3" t="n">
        <f aca="false">IF(COUNTIFS(Tasks_TaskID,$A149,Tasks_Tier,D$137)=0,"",SUMIFS(Tasks_Cost,Tasks_TaskID,$A149,Tasks_Tier,D$137,Tasks_Type,"reference"))</f>
        <v>205</v>
      </c>
      <c r="E149" s="3" t="n">
        <f aca="false">IF(COUNTIFS(Tasks_TaskID,$A149,Tasks_Tier,E$137)=0,"",SUMIFS(Tasks_Cost,Tasks_TaskID,$A149,Tasks_Tier,E$137,Tasks_Type,"reference"))</f>
        <v>272</v>
      </c>
      <c r="F149" s="3" t="n">
        <f aca="false">IF(COUNTIFS(Tasks_TaskID,$A149,Tasks_Tier,F$137)=0,"",SUMIFS(Tasks_Cost,Tasks_TaskID,$A149,Tasks_Tier,F$137,Tasks_Type,"reference"))</f>
        <v>327</v>
      </c>
      <c r="G149" s="3" t="str">
        <f aca="false">IF(COUNTIFS(Tasks_TaskID,$A149,Tasks_Tier,G$137)=0,"",SUMIFS(Tasks_Cost,Tasks_TaskID,$A149,Tasks_Tier,G$137,Tasks_Type,"reference"))</f>
        <v/>
      </c>
      <c r="H149" s="3" t="str">
        <f aca="false">IF(COUNTIFS(Tasks_TaskID,$A149,Tasks_Tier,H$137)=0,"",SUMIFS(Tasks_Cost,Tasks_TaskID,$A149,Tasks_Tier,H$137,Tasks_Type,"reference"))</f>
        <v/>
      </c>
      <c r="I149" s="3" t="str">
        <f aca="false">IF(COUNTIFS(Tasks_TaskID,$A149,Tasks_Tier,I$137)=0,"",SUMIFS(Tasks_Cost,Tasks_TaskID,$A149,Tasks_Tier,I$137,Tasks_Type,"reference"))</f>
        <v/>
      </c>
      <c r="J149" s="3" t="str">
        <f aca="false">IF(COUNTIFS(Tasks_TaskID,$A149,Tasks_Tier,J$137)=0,"",SUMIFS(Tasks_Cost,Tasks_TaskID,$A149,Tasks_Tier,J$137,Tasks_Type,"reference"))</f>
        <v/>
      </c>
      <c r="K149" s="3" t="str">
        <f aca="false">IF(COUNTIFS(Tasks_TaskID,$A149,Tasks_Tier,K$137)=0,"",SUMIFS(Tasks_Cost,Tasks_TaskID,$A149,Tasks_Tier,K$137,Tasks_Type,"reference"))</f>
        <v/>
      </c>
      <c r="L149" s="3" t="str">
        <f aca="false">IF(COUNTIFS(Tasks_TaskID,$A149,Tasks_Tier,L$137)=0,"",SUMIFS(Tasks_Cost,Tasks_TaskID,$A149,Tasks_Tier,L$137,Tasks_Type,"reference"))</f>
        <v/>
      </c>
      <c r="M149" s="3" t="str">
        <f aca="false">IF(COUNTIFS(Tasks_TaskID,$A149,Tasks_Tier,M$137)=0,"",SUMIFS(Tasks_Cost,Tasks_TaskID,$A149,Tasks_Tier,M$137,Tasks_Type,"reference"))</f>
        <v/>
      </c>
    </row>
    <row r="150" customFormat="false" ht="15" hidden="false" customHeight="false" outlineLevel="0" collapsed="false">
      <c r="A150" s="0" t="s">
        <v>1178</v>
      </c>
      <c r="B150" s="0" t="s">
        <v>229</v>
      </c>
      <c r="C150" s="0" t="s">
        <v>1179</v>
      </c>
      <c r="D150" s="3" t="n">
        <f aca="false">IF(COUNTIFS(Tasks_TaskID,$A150,Tasks_Tier,D$137)=0,"",SUMIFS(Tasks_Cost,Tasks_TaskID,$A150,Tasks_Tier,D$137,Tasks_Type,"reference"))</f>
        <v>598</v>
      </c>
      <c r="E150" s="3" t="n">
        <f aca="false">IF(COUNTIFS(Tasks_TaskID,$A150,Tasks_Tier,E$137)=0,"",SUMIFS(Tasks_Cost,Tasks_TaskID,$A150,Tasks_Tier,E$137,Tasks_Type,"reference"))</f>
        <v>664</v>
      </c>
      <c r="F150" s="3" t="n">
        <f aca="false">IF(COUNTIFS(Tasks_TaskID,$A150,Tasks_Tier,F$137)=0,"",SUMIFS(Tasks_Cost,Tasks_TaskID,$A150,Tasks_Tier,F$137,Tasks_Type,"reference"))</f>
        <v>1016</v>
      </c>
      <c r="G150" s="3" t="str">
        <f aca="false">IF(COUNTIFS(Tasks_TaskID,$A150,Tasks_Tier,G$137)=0,"",SUMIFS(Tasks_Cost,Tasks_TaskID,$A150,Tasks_Tier,G$137,Tasks_Type,"reference"))</f>
        <v/>
      </c>
      <c r="H150" s="3" t="str">
        <f aca="false">IF(COUNTIFS(Tasks_TaskID,$A150,Tasks_Tier,H$137)=0,"",SUMIFS(Tasks_Cost,Tasks_TaskID,$A150,Tasks_Tier,H$137,Tasks_Type,"reference"))</f>
        <v/>
      </c>
      <c r="I150" s="3" t="str">
        <f aca="false">IF(COUNTIFS(Tasks_TaskID,$A150,Tasks_Tier,I$137)=0,"",SUMIFS(Tasks_Cost,Tasks_TaskID,$A150,Tasks_Tier,I$137,Tasks_Type,"reference"))</f>
        <v/>
      </c>
      <c r="J150" s="3" t="str">
        <f aca="false">IF(COUNTIFS(Tasks_TaskID,$A150,Tasks_Tier,J$137)=0,"",SUMIFS(Tasks_Cost,Tasks_TaskID,$A150,Tasks_Tier,J$137,Tasks_Type,"reference"))</f>
        <v/>
      </c>
      <c r="K150" s="3" t="str">
        <f aca="false">IF(COUNTIFS(Tasks_TaskID,$A150,Tasks_Tier,K$137)=0,"",SUMIFS(Tasks_Cost,Tasks_TaskID,$A150,Tasks_Tier,K$137,Tasks_Type,"reference"))</f>
        <v/>
      </c>
      <c r="L150" s="3" t="str">
        <f aca="false">IF(COUNTIFS(Tasks_TaskID,$A150,Tasks_Tier,L$137)=0,"",SUMIFS(Tasks_Cost,Tasks_TaskID,$A150,Tasks_Tier,L$137,Tasks_Type,"reference"))</f>
        <v/>
      </c>
      <c r="M150" s="3" t="str">
        <f aca="false">IF(COUNTIFS(Tasks_TaskID,$A150,Tasks_Tier,M$137)=0,"",SUMIFS(Tasks_Cost,Tasks_TaskID,$A150,Tasks_Tier,M$137,Tasks_Type,"reference"))</f>
        <v/>
      </c>
    </row>
    <row r="151" customFormat="false" ht="15" hidden="false" customHeight="false" outlineLevel="0" collapsed="false">
      <c r="A151" s="0" t="s">
        <v>1185</v>
      </c>
      <c r="B151" s="0" t="s">
        <v>273</v>
      </c>
      <c r="C151" s="0" t="s">
        <v>1186</v>
      </c>
      <c r="D151" s="3" t="n">
        <f aca="false">IF(COUNTIFS(Tasks_TaskID,$A151,Tasks_Tier,D$137)=0,"",SUMIFS(Tasks_Cost,Tasks_TaskID,$A151,Tasks_Tier,D$137,Tasks_Type,"reference"))</f>
        <v>0</v>
      </c>
      <c r="E151" s="3" t="n">
        <f aca="false">IF(COUNTIFS(Tasks_TaskID,$A151,Tasks_Tier,E$137)=0,"",SUMIFS(Tasks_Cost,Tasks_TaskID,$A151,Tasks_Tier,E$137,Tasks_Type,"reference"))</f>
        <v>0</v>
      </c>
      <c r="F151" s="3" t="n">
        <f aca="false">IF(COUNTIFS(Tasks_TaskID,$A151,Tasks_Tier,F$137)=0,"",SUMIFS(Tasks_Cost,Tasks_TaskID,$A151,Tasks_Tier,F$137,Tasks_Type,"reference"))</f>
        <v>0</v>
      </c>
      <c r="G151" s="3" t="str">
        <f aca="false">IF(COUNTIFS(Tasks_TaskID,$A151,Tasks_Tier,G$137)=0,"",SUMIFS(Tasks_Cost,Tasks_TaskID,$A151,Tasks_Tier,G$137,Tasks_Type,"reference"))</f>
        <v/>
      </c>
      <c r="H151" s="3" t="str">
        <f aca="false">IF(COUNTIFS(Tasks_TaskID,$A151,Tasks_Tier,H$137)=0,"",SUMIFS(Tasks_Cost,Tasks_TaskID,$A151,Tasks_Tier,H$137,Tasks_Type,"reference"))</f>
        <v/>
      </c>
      <c r="I151" s="3" t="str">
        <f aca="false">IF(COUNTIFS(Tasks_TaskID,$A151,Tasks_Tier,I$137)=0,"",SUMIFS(Tasks_Cost,Tasks_TaskID,$A151,Tasks_Tier,I$137,Tasks_Type,"reference"))</f>
        <v/>
      </c>
      <c r="J151" s="3" t="str">
        <f aca="false">IF(COUNTIFS(Tasks_TaskID,$A151,Tasks_Tier,J$137)=0,"",SUMIFS(Tasks_Cost,Tasks_TaskID,$A151,Tasks_Tier,J$137,Tasks_Type,"reference"))</f>
        <v/>
      </c>
      <c r="K151" s="3" t="str">
        <f aca="false">IF(COUNTIFS(Tasks_TaskID,$A151,Tasks_Tier,K$137)=0,"",SUMIFS(Tasks_Cost,Tasks_TaskID,$A151,Tasks_Tier,K$137,Tasks_Type,"reference"))</f>
        <v/>
      </c>
      <c r="L151" s="3" t="str">
        <f aca="false">IF(COUNTIFS(Tasks_TaskID,$A151,Tasks_Tier,L$137)=0,"",SUMIFS(Tasks_Cost,Tasks_TaskID,$A151,Tasks_Tier,L$137,Tasks_Type,"reference"))</f>
        <v/>
      </c>
      <c r="M151" s="3" t="str">
        <f aca="false">IF(COUNTIFS(Tasks_TaskID,$A151,Tasks_Tier,M$137)=0,"",SUMIFS(Tasks_Cost,Tasks_TaskID,$A151,Tasks_Tier,M$137,Tasks_Type,"reference"))</f>
        <v/>
      </c>
    </row>
    <row r="152" customFormat="false" ht="15" hidden="false" customHeight="false" outlineLevel="0" collapsed="false">
      <c r="A152" s="0" t="s">
        <v>1228</v>
      </c>
      <c r="B152" s="0" t="s">
        <v>273</v>
      </c>
      <c r="C152" s="0" t="s">
        <v>1229</v>
      </c>
      <c r="D152" s="3" t="n">
        <f aca="false">IF(COUNTIFS(Tasks_TaskID,$A152,Tasks_Tier,D$137)=0,"",SUMIFS(Tasks_Cost,Tasks_TaskID,$A152,Tasks_Tier,D$137,Tasks_Type,"reference"))</f>
        <v>0</v>
      </c>
      <c r="E152" s="3" t="n">
        <f aca="false">IF(COUNTIFS(Tasks_TaskID,$A152,Tasks_Tier,E$137)=0,"",SUMIFS(Tasks_Cost,Tasks_TaskID,$A152,Tasks_Tier,E$137,Tasks_Type,"reference"))</f>
        <v>0</v>
      </c>
      <c r="F152" s="3" t="n">
        <f aca="false">IF(COUNTIFS(Tasks_TaskID,$A152,Tasks_Tier,F$137)=0,"",SUMIFS(Tasks_Cost,Tasks_TaskID,$A152,Tasks_Tier,F$137,Tasks_Type,"reference"))</f>
        <v>0</v>
      </c>
      <c r="G152" s="3" t="str">
        <f aca="false">IF(COUNTIFS(Tasks_TaskID,$A152,Tasks_Tier,G$137)=0,"",SUMIFS(Tasks_Cost,Tasks_TaskID,$A152,Tasks_Tier,G$137,Tasks_Type,"reference"))</f>
        <v/>
      </c>
      <c r="H152" s="3" t="str">
        <f aca="false">IF(COUNTIFS(Tasks_TaskID,$A152,Tasks_Tier,H$137)=0,"",SUMIFS(Tasks_Cost,Tasks_TaskID,$A152,Tasks_Tier,H$137,Tasks_Type,"reference"))</f>
        <v/>
      </c>
      <c r="I152" s="3" t="str">
        <f aca="false">IF(COUNTIFS(Tasks_TaskID,$A152,Tasks_Tier,I$137)=0,"",SUMIFS(Tasks_Cost,Tasks_TaskID,$A152,Tasks_Tier,I$137,Tasks_Type,"reference"))</f>
        <v/>
      </c>
      <c r="J152" s="3" t="str">
        <f aca="false">IF(COUNTIFS(Tasks_TaskID,$A152,Tasks_Tier,J$137)=0,"",SUMIFS(Tasks_Cost,Tasks_TaskID,$A152,Tasks_Tier,J$137,Tasks_Type,"reference"))</f>
        <v/>
      </c>
      <c r="K152" s="3" t="str">
        <f aca="false">IF(COUNTIFS(Tasks_TaskID,$A152,Tasks_Tier,K$137)=0,"",SUMIFS(Tasks_Cost,Tasks_TaskID,$A152,Tasks_Tier,K$137,Tasks_Type,"reference"))</f>
        <v/>
      </c>
      <c r="L152" s="3" t="str">
        <f aca="false">IF(COUNTIFS(Tasks_TaskID,$A152,Tasks_Tier,L$137)=0,"",SUMIFS(Tasks_Cost,Tasks_TaskID,$A152,Tasks_Tier,L$137,Tasks_Type,"reference"))</f>
        <v/>
      </c>
      <c r="M152" s="3" t="str">
        <f aca="false">IF(COUNTIFS(Tasks_TaskID,$A152,Tasks_Tier,M$137)=0,"",SUMIFS(Tasks_Cost,Tasks_TaskID,$A152,Tasks_Tier,M$137,Tasks_Type,"reference"))</f>
        <v/>
      </c>
    </row>
    <row r="153" customFormat="false" ht="15" hidden="false" customHeight="false" outlineLevel="0" collapsed="false">
      <c r="A153" s="0" t="s">
        <v>1249</v>
      </c>
      <c r="B153" s="0" t="s">
        <v>273</v>
      </c>
      <c r="C153" s="0" t="s">
        <v>1250</v>
      </c>
      <c r="D153" s="3" t="n">
        <f aca="false">IF(COUNTIFS(Tasks_TaskID,$A153,Tasks_Tier,D$137)=0,"",SUMIFS(Tasks_Cost,Tasks_TaskID,$A153,Tasks_Tier,D$137,Tasks_Type,"reference"))</f>
        <v>0</v>
      </c>
      <c r="E153" s="3" t="n">
        <f aca="false">IF(COUNTIFS(Tasks_TaskID,$A153,Tasks_Tier,E$137)=0,"",SUMIFS(Tasks_Cost,Tasks_TaskID,$A153,Tasks_Tier,E$137,Tasks_Type,"reference"))</f>
        <v>0</v>
      </c>
      <c r="F153" s="3" t="n">
        <f aca="false">IF(COUNTIFS(Tasks_TaskID,$A153,Tasks_Tier,F$137)=0,"",SUMIFS(Tasks_Cost,Tasks_TaskID,$A153,Tasks_Tier,F$137,Tasks_Type,"reference"))</f>
        <v>0</v>
      </c>
      <c r="G153" s="3" t="str">
        <f aca="false">IF(COUNTIFS(Tasks_TaskID,$A153,Tasks_Tier,G$137)=0,"",SUMIFS(Tasks_Cost,Tasks_TaskID,$A153,Tasks_Tier,G$137,Tasks_Type,"reference"))</f>
        <v/>
      </c>
      <c r="H153" s="3" t="str">
        <f aca="false">IF(COUNTIFS(Tasks_TaskID,$A153,Tasks_Tier,H$137)=0,"",SUMIFS(Tasks_Cost,Tasks_TaskID,$A153,Tasks_Tier,H$137,Tasks_Type,"reference"))</f>
        <v/>
      </c>
      <c r="I153" s="3" t="str">
        <f aca="false">IF(COUNTIFS(Tasks_TaskID,$A153,Tasks_Tier,I$137)=0,"",SUMIFS(Tasks_Cost,Tasks_TaskID,$A153,Tasks_Tier,I$137,Tasks_Type,"reference"))</f>
        <v/>
      </c>
      <c r="J153" s="3" t="str">
        <f aca="false">IF(COUNTIFS(Tasks_TaskID,$A153,Tasks_Tier,J$137)=0,"",SUMIFS(Tasks_Cost,Tasks_TaskID,$A153,Tasks_Tier,J$137,Tasks_Type,"reference"))</f>
        <v/>
      </c>
      <c r="K153" s="3" t="str">
        <f aca="false">IF(COUNTIFS(Tasks_TaskID,$A153,Tasks_Tier,K$137)=0,"",SUMIFS(Tasks_Cost,Tasks_TaskID,$A153,Tasks_Tier,K$137,Tasks_Type,"reference"))</f>
        <v/>
      </c>
      <c r="L153" s="3" t="str">
        <f aca="false">IF(COUNTIFS(Tasks_TaskID,$A153,Tasks_Tier,L$137)=0,"",SUMIFS(Tasks_Cost,Tasks_TaskID,$A153,Tasks_Tier,L$137,Tasks_Type,"reference"))</f>
        <v/>
      </c>
      <c r="M153" s="3" t="str">
        <f aca="false">IF(COUNTIFS(Tasks_TaskID,$A153,Tasks_Tier,M$137)=0,"",SUMIFS(Tasks_Cost,Tasks_TaskID,$A153,Tasks_Tier,M$137,Tasks_Type,"reference"))</f>
        <v/>
      </c>
    </row>
    <row r="154" customFormat="false" ht="15" hidden="false" customHeight="false" outlineLevel="0" collapsed="false">
      <c r="A154" s="0" t="s">
        <v>1267</v>
      </c>
      <c r="B154" s="0" t="s">
        <v>397</v>
      </c>
      <c r="C154" s="0" t="s">
        <v>1268</v>
      </c>
      <c r="D154" s="3" t="n">
        <f aca="false">IF(COUNTIFS(Tasks_TaskID,$A154,Tasks_Tier,D$137)=0,"",SUMIFS(Tasks_Cost,Tasks_TaskID,$A154,Tasks_Tier,D$137,Tasks_Type,"reference"))</f>
        <v>0</v>
      </c>
      <c r="E154" s="3" t="n">
        <f aca="false">IF(COUNTIFS(Tasks_TaskID,$A154,Tasks_Tier,E$137)=0,"",SUMIFS(Tasks_Cost,Tasks_TaskID,$A154,Tasks_Tier,E$137,Tasks_Type,"reference"))</f>
        <v>0</v>
      </c>
      <c r="F154" s="3" t="n">
        <f aca="false">IF(COUNTIFS(Tasks_TaskID,$A154,Tasks_Tier,F$137)=0,"",SUMIFS(Tasks_Cost,Tasks_TaskID,$A154,Tasks_Tier,F$137,Tasks_Type,"reference"))</f>
        <v>0</v>
      </c>
      <c r="G154" s="3" t="str">
        <f aca="false">IF(COUNTIFS(Tasks_TaskID,$A154,Tasks_Tier,G$137)=0,"",SUMIFS(Tasks_Cost,Tasks_TaskID,$A154,Tasks_Tier,G$137,Tasks_Type,"reference"))</f>
        <v/>
      </c>
      <c r="H154" s="3" t="str">
        <f aca="false">IF(COUNTIFS(Tasks_TaskID,$A154,Tasks_Tier,H$137)=0,"",SUMIFS(Tasks_Cost,Tasks_TaskID,$A154,Tasks_Tier,H$137,Tasks_Type,"reference"))</f>
        <v/>
      </c>
      <c r="I154" s="3" t="str">
        <f aca="false">IF(COUNTIFS(Tasks_TaskID,$A154,Tasks_Tier,I$137)=0,"",SUMIFS(Tasks_Cost,Tasks_TaskID,$A154,Tasks_Tier,I$137,Tasks_Type,"reference"))</f>
        <v/>
      </c>
      <c r="J154" s="3" t="str">
        <f aca="false">IF(COUNTIFS(Tasks_TaskID,$A154,Tasks_Tier,J$137)=0,"",SUMIFS(Tasks_Cost,Tasks_TaskID,$A154,Tasks_Tier,J$137,Tasks_Type,"reference"))</f>
        <v/>
      </c>
      <c r="K154" s="3" t="str">
        <f aca="false">IF(COUNTIFS(Tasks_TaskID,$A154,Tasks_Tier,K$137)=0,"",SUMIFS(Tasks_Cost,Tasks_TaskID,$A154,Tasks_Tier,K$137,Tasks_Type,"reference"))</f>
        <v/>
      </c>
      <c r="L154" s="3" t="str">
        <f aca="false">IF(COUNTIFS(Tasks_TaskID,$A154,Tasks_Tier,L$137)=0,"",SUMIFS(Tasks_Cost,Tasks_TaskID,$A154,Tasks_Tier,L$137,Tasks_Type,"reference"))</f>
        <v/>
      </c>
      <c r="M154" s="3" t="str">
        <f aca="false">IF(COUNTIFS(Tasks_TaskID,$A154,Tasks_Tier,M$137)=0,"",SUMIFS(Tasks_Cost,Tasks_TaskID,$A154,Tasks_Tier,M$137,Tasks_Type,"reference"))</f>
        <v/>
      </c>
    </row>
    <row r="155" customFormat="false" ht="15" hidden="false" customHeight="false" outlineLevel="0" collapsed="false">
      <c r="A155" s="0" t="s">
        <v>1284</v>
      </c>
      <c r="B155" s="0" t="s">
        <v>397</v>
      </c>
      <c r="C155" s="0" t="s">
        <v>1285</v>
      </c>
      <c r="D155" s="3" t="n">
        <f aca="false">IF(COUNTIFS(Tasks_TaskID,$A155,Tasks_Tier,D$137)=0,"",SUMIFS(Tasks_Cost,Tasks_TaskID,$A155,Tasks_Tier,D$137,Tasks_Type,"reference"))</f>
        <v>0</v>
      </c>
      <c r="E155" s="3" t="n">
        <f aca="false">IF(COUNTIFS(Tasks_TaskID,$A155,Tasks_Tier,E$137)=0,"",SUMIFS(Tasks_Cost,Tasks_TaskID,$A155,Tasks_Tier,E$137,Tasks_Type,"reference"))</f>
        <v>0</v>
      </c>
      <c r="F155" s="3" t="n">
        <f aca="false">IF(COUNTIFS(Tasks_TaskID,$A155,Tasks_Tier,F$137)=0,"",SUMIFS(Tasks_Cost,Tasks_TaskID,$A155,Tasks_Tier,F$137,Tasks_Type,"reference"))</f>
        <v>0</v>
      </c>
      <c r="G155" s="3" t="str">
        <f aca="false">IF(COUNTIFS(Tasks_TaskID,$A155,Tasks_Tier,G$137)=0,"",SUMIFS(Tasks_Cost,Tasks_TaskID,$A155,Tasks_Tier,G$137,Tasks_Type,"reference"))</f>
        <v/>
      </c>
      <c r="H155" s="3" t="str">
        <f aca="false">IF(COUNTIFS(Tasks_TaskID,$A155,Tasks_Tier,H$137)=0,"",SUMIFS(Tasks_Cost,Tasks_TaskID,$A155,Tasks_Tier,H$137,Tasks_Type,"reference"))</f>
        <v/>
      </c>
      <c r="I155" s="3" t="str">
        <f aca="false">IF(COUNTIFS(Tasks_TaskID,$A155,Tasks_Tier,I$137)=0,"",SUMIFS(Tasks_Cost,Tasks_TaskID,$A155,Tasks_Tier,I$137,Tasks_Type,"reference"))</f>
        <v/>
      </c>
      <c r="J155" s="3" t="str">
        <f aca="false">IF(COUNTIFS(Tasks_TaskID,$A155,Tasks_Tier,J$137)=0,"",SUMIFS(Tasks_Cost,Tasks_TaskID,$A155,Tasks_Tier,J$137,Tasks_Type,"reference"))</f>
        <v/>
      </c>
      <c r="K155" s="3" t="str">
        <f aca="false">IF(COUNTIFS(Tasks_TaskID,$A155,Tasks_Tier,K$137)=0,"",SUMIFS(Tasks_Cost,Tasks_TaskID,$A155,Tasks_Tier,K$137,Tasks_Type,"reference"))</f>
        <v/>
      </c>
      <c r="L155" s="3" t="str">
        <f aca="false">IF(COUNTIFS(Tasks_TaskID,$A155,Tasks_Tier,L$137)=0,"",SUMIFS(Tasks_Cost,Tasks_TaskID,$A155,Tasks_Tier,L$137,Tasks_Type,"reference"))</f>
        <v/>
      </c>
      <c r="M155" s="3" t="str">
        <f aca="false">IF(COUNTIFS(Tasks_TaskID,$A155,Tasks_Tier,M$137)=0,"",SUMIFS(Tasks_Cost,Tasks_TaskID,$A155,Tasks_Tier,M$137,Tasks_Type,"reference"))</f>
        <v/>
      </c>
    </row>
    <row r="156" customFormat="false" ht="15" hidden="false" customHeight="false" outlineLevel="0" collapsed="false">
      <c r="A156" s="0" t="s">
        <v>1291</v>
      </c>
      <c r="B156" s="0" t="s">
        <v>397</v>
      </c>
      <c r="C156" s="0" t="s">
        <v>1292</v>
      </c>
      <c r="D156" s="3" t="n">
        <f aca="false">IF(COUNTIFS(Tasks_TaskID,$A156,Tasks_Tier,D$137)=0,"",SUMIFS(Tasks_Cost,Tasks_TaskID,$A156,Tasks_Tier,D$137,Tasks_Type,"reference"))</f>
        <v>0</v>
      </c>
      <c r="E156" s="3" t="n">
        <f aca="false">IF(COUNTIFS(Tasks_TaskID,$A156,Tasks_Tier,E$137)=0,"",SUMIFS(Tasks_Cost,Tasks_TaskID,$A156,Tasks_Tier,E$137,Tasks_Type,"reference"))</f>
        <v>0</v>
      </c>
      <c r="F156" s="3" t="n">
        <f aca="false">IF(COUNTIFS(Tasks_TaskID,$A156,Tasks_Tier,F$137)=0,"",SUMIFS(Tasks_Cost,Tasks_TaskID,$A156,Tasks_Tier,F$137,Tasks_Type,"reference"))</f>
        <v>0</v>
      </c>
      <c r="G156" s="3" t="str">
        <f aca="false">IF(COUNTIFS(Tasks_TaskID,$A156,Tasks_Tier,G$137)=0,"",SUMIFS(Tasks_Cost,Tasks_TaskID,$A156,Tasks_Tier,G$137,Tasks_Type,"reference"))</f>
        <v/>
      </c>
      <c r="H156" s="3" t="str">
        <f aca="false">IF(COUNTIFS(Tasks_TaskID,$A156,Tasks_Tier,H$137)=0,"",SUMIFS(Tasks_Cost,Tasks_TaskID,$A156,Tasks_Tier,H$137,Tasks_Type,"reference"))</f>
        <v/>
      </c>
      <c r="I156" s="3" t="str">
        <f aca="false">IF(COUNTIFS(Tasks_TaskID,$A156,Tasks_Tier,I$137)=0,"",SUMIFS(Tasks_Cost,Tasks_TaskID,$A156,Tasks_Tier,I$137,Tasks_Type,"reference"))</f>
        <v/>
      </c>
      <c r="J156" s="3" t="str">
        <f aca="false">IF(COUNTIFS(Tasks_TaskID,$A156,Tasks_Tier,J$137)=0,"",SUMIFS(Tasks_Cost,Tasks_TaskID,$A156,Tasks_Tier,J$137,Tasks_Type,"reference"))</f>
        <v/>
      </c>
      <c r="K156" s="3" t="str">
        <f aca="false">IF(COUNTIFS(Tasks_TaskID,$A156,Tasks_Tier,K$137)=0,"",SUMIFS(Tasks_Cost,Tasks_TaskID,$A156,Tasks_Tier,K$137,Tasks_Type,"reference"))</f>
        <v/>
      </c>
      <c r="L156" s="3" t="str">
        <f aca="false">IF(COUNTIFS(Tasks_TaskID,$A156,Tasks_Tier,L$137)=0,"",SUMIFS(Tasks_Cost,Tasks_TaskID,$A156,Tasks_Tier,L$137,Tasks_Type,"reference"))</f>
        <v/>
      </c>
      <c r="M156" s="3" t="str">
        <f aca="false">IF(COUNTIFS(Tasks_TaskID,$A156,Tasks_Tier,M$137)=0,"",SUMIFS(Tasks_Cost,Tasks_TaskID,$A156,Tasks_Tier,M$137,Tasks_Type,"reference"))</f>
        <v/>
      </c>
    </row>
    <row r="157" customFormat="false" ht="15" hidden="false" customHeight="false" outlineLevel="0" collapsed="false">
      <c r="A157" s="0" t="s">
        <v>1318</v>
      </c>
      <c r="B157" s="0" t="s">
        <v>496</v>
      </c>
      <c r="C157" s="0" t="s">
        <v>1319</v>
      </c>
      <c r="D157" s="3" t="n">
        <f aca="false">IF(COUNTIFS(Tasks_TaskID,$A157,Tasks_Tier,D$137)=0,"",SUMIFS(Tasks_Cost,Tasks_TaskID,$A157,Tasks_Tier,D$137,Tasks_Type,"reference"))</f>
        <v>0</v>
      </c>
      <c r="E157" s="3" t="n">
        <f aca="false">IF(COUNTIFS(Tasks_TaskID,$A157,Tasks_Tier,E$137)=0,"",SUMIFS(Tasks_Cost,Tasks_TaskID,$A157,Tasks_Tier,E$137,Tasks_Type,"reference"))</f>
        <v>0</v>
      </c>
      <c r="F157" s="3" t="n">
        <f aca="false">IF(COUNTIFS(Tasks_TaskID,$A157,Tasks_Tier,F$137)=0,"",SUMIFS(Tasks_Cost,Tasks_TaskID,$A157,Tasks_Tier,F$137,Tasks_Type,"reference"))</f>
        <v>0</v>
      </c>
      <c r="G157" s="3" t="str">
        <f aca="false">IF(COUNTIFS(Tasks_TaskID,$A157,Tasks_Tier,G$137)=0,"",SUMIFS(Tasks_Cost,Tasks_TaskID,$A157,Tasks_Tier,G$137,Tasks_Type,"reference"))</f>
        <v/>
      </c>
      <c r="H157" s="3" t="str">
        <f aca="false">IF(COUNTIFS(Tasks_TaskID,$A157,Tasks_Tier,H$137)=0,"",SUMIFS(Tasks_Cost,Tasks_TaskID,$A157,Tasks_Tier,H$137,Tasks_Type,"reference"))</f>
        <v/>
      </c>
      <c r="I157" s="3" t="str">
        <f aca="false">IF(COUNTIFS(Tasks_TaskID,$A157,Tasks_Tier,I$137)=0,"",SUMIFS(Tasks_Cost,Tasks_TaskID,$A157,Tasks_Tier,I$137,Tasks_Type,"reference"))</f>
        <v/>
      </c>
      <c r="J157" s="3" t="str">
        <f aca="false">IF(COUNTIFS(Tasks_TaskID,$A157,Tasks_Tier,J$137)=0,"",SUMIFS(Tasks_Cost,Tasks_TaskID,$A157,Tasks_Tier,J$137,Tasks_Type,"reference"))</f>
        <v/>
      </c>
      <c r="K157" s="3" t="str">
        <f aca="false">IF(COUNTIFS(Tasks_TaskID,$A157,Tasks_Tier,K$137)=0,"",SUMIFS(Tasks_Cost,Tasks_TaskID,$A157,Tasks_Tier,K$137,Tasks_Type,"reference"))</f>
        <v/>
      </c>
      <c r="L157" s="3" t="str">
        <f aca="false">IF(COUNTIFS(Tasks_TaskID,$A157,Tasks_Tier,L$137)=0,"",SUMIFS(Tasks_Cost,Tasks_TaskID,$A157,Tasks_Tier,L$137,Tasks_Type,"reference"))</f>
        <v/>
      </c>
      <c r="M157" s="3" t="str">
        <f aca="false">IF(COUNTIFS(Tasks_TaskID,$A157,Tasks_Tier,M$137)=0,"",SUMIFS(Tasks_Cost,Tasks_TaskID,$A157,Tasks_Tier,M$137,Tasks_Type,"reference"))</f>
        <v/>
      </c>
    </row>
    <row r="158" customFormat="false" ht="15" hidden="false" customHeight="false" outlineLevel="0" collapsed="false">
      <c r="A158" s="0" t="s">
        <v>1334</v>
      </c>
      <c r="B158" s="0" t="s">
        <v>496</v>
      </c>
      <c r="C158" s="0" t="s">
        <v>1335</v>
      </c>
      <c r="D158" s="3" t="n">
        <f aca="false">IF(COUNTIFS(Tasks_TaskID,$A158,Tasks_Tier,D$137)=0,"",SUMIFS(Tasks_Cost,Tasks_TaskID,$A158,Tasks_Tier,D$137,Tasks_Type,"reference"))</f>
        <v>0</v>
      </c>
      <c r="E158" s="3" t="n">
        <f aca="false">IF(COUNTIFS(Tasks_TaskID,$A158,Tasks_Tier,E$137)=0,"",SUMIFS(Tasks_Cost,Tasks_TaskID,$A158,Tasks_Tier,E$137,Tasks_Type,"reference"))</f>
        <v>0</v>
      </c>
      <c r="F158" s="3" t="n">
        <f aca="false">IF(COUNTIFS(Tasks_TaskID,$A158,Tasks_Tier,F$137)=0,"",SUMIFS(Tasks_Cost,Tasks_TaskID,$A158,Tasks_Tier,F$137,Tasks_Type,"reference"))</f>
        <v>0</v>
      </c>
      <c r="G158" s="3" t="str">
        <f aca="false">IF(COUNTIFS(Tasks_TaskID,$A158,Tasks_Tier,G$137)=0,"",SUMIFS(Tasks_Cost,Tasks_TaskID,$A158,Tasks_Tier,G$137,Tasks_Type,"reference"))</f>
        <v/>
      </c>
      <c r="H158" s="3" t="str">
        <f aca="false">IF(COUNTIFS(Tasks_TaskID,$A158,Tasks_Tier,H$137)=0,"",SUMIFS(Tasks_Cost,Tasks_TaskID,$A158,Tasks_Tier,H$137,Tasks_Type,"reference"))</f>
        <v/>
      </c>
      <c r="I158" s="3" t="str">
        <f aca="false">IF(COUNTIFS(Tasks_TaskID,$A158,Tasks_Tier,I$137)=0,"",SUMIFS(Tasks_Cost,Tasks_TaskID,$A158,Tasks_Tier,I$137,Tasks_Type,"reference"))</f>
        <v/>
      </c>
      <c r="J158" s="3" t="str">
        <f aca="false">IF(COUNTIFS(Tasks_TaskID,$A158,Tasks_Tier,J$137)=0,"",SUMIFS(Tasks_Cost,Tasks_TaskID,$A158,Tasks_Tier,J$137,Tasks_Type,"reference"))</f>
        <v/>
      </c>
      <c r="K158" s="3" t="str">
        <f aca="false">IF(COUNTIFS(Tasks_TaskID,$A158,Tasks_Tier,K$137)=0,"",SUMIFS(Tasks_Cost,Tasks_TaskID,$A158,Tasks_Tier,K$137,Tasks_Type,"reference"))</f>
        <v/>
      </c>
      <c r="L158" s="3" t="str">
        <f aca="false">IF(COUNTIFS(Tasks_TaskID,$A158,Tasks_Tier,L$137)=0,"",SUMIFS(Tasks_Cost,Tasks_TaskID,$A158,Tasks_Tier,L$137,Tasks_Type,"reference"))</f>
        <v/>
      </c>
      <c r="M158" s="3" t="str">
        <f aca="false">IF(COUNTIFS(Tasks_TaskID,$A158,Tasks_Tier,M$137)=0,"",SUMIFS(Tasks_Cost,Tasks_TaskID,$A158,Tasks_Tier,M$137,Tasks_Type,"reference"))</f>
        <v/>
      </c>
    </row>
    <row r="159" customFormat="false" ht="15" hidden="false" customHeight="false" outlineLevel="0" collapsed="false">
      <c r="A159" s="0" t="s">
        <v>1365</v>
      </c>
      <c r="B159" s="0" t="s">
        <v>496</v>
      </c>
      <c r="C159" s="0" t="s">
        <v>1366</v>
      </c>
      <c r="D159" s="3" t="n">
        <f aca="false">IF(COUNTIFS(Tasks_TaskID,$A159,Tasks_Tier,D$137)=0,"",SUMIFS(Tasks_Cost,Tasks_TaskID,$A159,Tasks_Tier,D$137,Tasks_Type,"reference"))</f>
        <v>0</v>
      </c>
      <c r="E159" s="3" t="n">
        <f aca="false">IF(COUNTIFS(Tasks_TaskID,$A159,Tasks_Tier,E$137)=0,"",SUMIFS(Tasks_Cost,Tasks_TaskID,$A159,Tasks_Tier,E$137,Tasks_Type,"reference"))</f>
        <v>0</v>
      </c>
      <c r="F159" s="3" t="n">
        <f aca="false">IF(COUNTIFS(Tasks_TaskID,$A159,Tasks_Tier,F$137)=0,"",SUMIFS(Tasks_Cost,Tasks_TaskID,$A159,Tasks_Tier,F$137,Tasks_Type,"reference"))</f>
        <v>0</v>
      </c>
      <c r="G159" s="3" t="str">
        <f aca="false">IF(COUNTIFS(Tasks_TaskID,$A159,Tasks_Tier,G$137)=0,"",SUMIFS(Tasks_Cost,Tasks_TaskID,$A159,Tasks_Tier,G$137,Tasks_Type,"reference"))</f>
        <v/>
      </c>
      <c r="H159" s="3" t="str">
        <f aca="false">IF(COUNTIFS(Tasks_TaskID,$A159,Tasks_Tier,H$137)=0,"",SUMIFS(Tasks_Cost,Tasks_TaskID,$A159,Tasks_Tier,H$137,Tasks_Type,"reference"))</f>
        <v/>
      </c>
      <c r="I159" s="3" t="str">
        <f aca="false">IF(COUNTIFS(Tasks_TaskID,$A159,Tasks_Tier,I$137)=0,"",SUMIFS(Tasks_Cost,Tasks_TaskID,$A159,Tasks_Tier,I$137,Tasks_Type,"reference"))</f>
        <v/>
      </c>
      <c r="J159" s="3" t="str">
        <f aca="false">IF(COUNTIFS(Tasks_TaskID,$A159,Tasks_Tier,J$137)=0,"",SUMIFS(Tasks_Cost,Tasks_TaskID,$A159,Tasks_Tier,J$137,Tasks_Type,"reference"))</f>
        <v/>
      </c>
      <c r="K159" s="3" t="str">
        <f aca="false">IF(COUNTIFS(Tasks_TaskID,$A159,Tasks_Tier,K$137)=0,"",SUMIFS(Tasks_Cost,Tasks_TaskID,$A159,Tasks_Tier,K$137,Tasks_Type,"reference"))</f>
        <v/>
      </c>
      <c r="L159" s="3" t="str">
        <f aca="false">IF(COUNTIFS(Tasks_TaskID,$A159,Tasks_Tier,L$137)=0,"",SUMIFS(Tasks_Cost,Tasks_TaskID,$A159,Tasks_Tier,L$137,Tasks_Type,"reference"))</f>
        <v/>
      </c>
      <c r="M159" s="3" t="str">
        <f aca="false">IF(COUNTIFS(Tasks_TaskID,$A159,Tasks_Tier,M$137)=0,"",SUMIFS(Tasks_Cost,Tasks_TaskID,$A159,Tasks_Tier,M$137,Tasks_Type,"reference"))</f>
        <v/>
      </c>
    </row>
    <row r="160" customFormat="false" ht="15" hidden="false" customHeight="false" outlineLevel="0" collapsed="false">
      <c r="A160" s="0" t="s">
        <v>1372</v>
      </c>
      <c r="B160" s="0" t="s">
        <v>590</v>
      </c>
      <c r="C160" s="0" t="s">
        <v>1373</v>
      </c>
      <c r="D160" s="3" t="n">
        <f aca="false">IF(COUNTIFS(Tasks_TaskID,$A160,Tasks_Tier,D$137)=0,"",SUMIFS(Tasks_Cost,Tasks_TaskID,$A160,Tasks_Tier,D$137,Tasks_Type,"reference"))</f>
        <v>0</v>
      </c>
      <c r="E160" s="3" t="n">
        <f aca="false">IF(COUNTIFS(Tasks_TaskID,$A160,Tasks_Tier,E$137)=0,"",SUMIFS(Tasks_Cost,Tasks_TaskID,$A160,Tasks_Tier,E$137,Tasks_Type,"reference"))</f>
        <v>0</v>
      </c>
      <c r="F160" s="3" t="n">
        <f aca="false">IF(COUNTIFS(Tasks_TaskID,$A160,Tasks_Tier,F$137)=0,"",SUMIFS(Tasks_Cost,Tasks_TaskID,$A160,Tasks_Tier,F$137,Tasks_Type,"reference"))</f>
        <v>0</v>
      </c>
      <c r="G160" s="3" t="str">
        <f aca="false">IF(COUNTIFS(Tasks_TaskID,$A160,Tasks_Tier,G$137)=0,"",SUMIFS(Tasks_Cost,Tasks_TaskID,$A160,Tasks_Tier,G$137,Tasks_Type,"reference"))</f>
        <v/>
      </c>
      <c r="H160" s="3" t="str">
        <f aca="false">IF(COUNTIFS(Tasks_TaskID,$A160,Tasks_Tier,H$137)=0,"",SUMIFS(Tasks_Cost,Tasks_TaskID,$A160,Tasks_Tier,H$137,Tasks_Type,"reference"))</f>
        <v/>
      </c>
      <c r="I160" s="3" t="str">
        <f aca="false">IF(COUNTIFS(Tasks_TaskID,$A160,Tasks_Tier,I$137)=0,"",SUMIFS(Tasks_Cost,Tasks_TaskID,$A160,Tasks_Tier,I$137,Tasks_Type,"reference"))</f>
        <v/>
      </c>
      <c r="J160" s="3" t="str">
        <f aca="false">IF(COUNTIFS(Tasks_TaskID,$A160,Tasks_Tier,J$137)=0,"",SUMIFS(Tasks_Cost,Tasks_TaskID,$A160,Tasks_Tier,J$137,Tasks_Type,"reference"))</f>
        <v/>
      </c>
      <c r="K160" s="3" t="str">
        <f aca="false">IF(COUNTIFS(Tasks_TaskID,$A160,Tasks_Tier,K$137)=0,"",SUMIFS(Tasks_Cost,Tasks_TaskID,$A160,Tasks_Tier,K$137,Tasks_Type,"reference"))</f>
        <v/>
      </c>
      <c r="L160" s="3" t="str">
        <f aca="false">IF(COUNTIFS(Tasks_TaskID,$A160,Tasks_Tier,L$137)=0,"",SUMIFS(Tasks_Cost,Tasks_TaskID,$A160,Tasks_Tier,L$137,Tasks_Type,"reference"))</f>
        <v/>
      </c>
      <c r="M160" s="3" t="str">
        <f aca="false">IF(COUNTIFS(Tasks_TaskID,$A160,Tasks_Tier,M$137)=0,"",SUMIFS(Tasks_Cost,Tasks_TaskID,$A160,Tasks_Tier,M$137,Tasks_Type,"reference"))</f>
        <v/>
      </c>
    </row>
    <row r="161" customFormat="false" ht="15" hidden="false" customHeight="false" outlineLevel="0" collapsed="false">
      <c r="A161" s="0" t="s">
        <v>1386</v>
      </c>
      <c r="B161" s="0" t="s">
        <v>618</v>
      </c>
      <c r="C161" s="0" t="s">
        <v>1387</v>
      </c>
      <c r="D161" s="3" t="n">
        <f aca="false">IF(COUNTIFS(Tasks_TaskID,$A161,Tasks_Tier,D$137)=0,"",SUMIFS(Tasks_Cost,Tasks_TaskID,$A161,Tasks_Tier,D$137,Tasks_Type,"reference"))</f>
        <v>0</v>
      </c>
      <c r="E161" s="3" t="n">
        <f aca="false">IF(COUNTIFS(Tasks_TaskID,$A161,Tasks_Tier,E$137)=0,"",SUMIFS(Tasks_Cost,Tasks_TaskID,$A161,Tasks_Tier,E$137,Tasks_Type,"reference"))</f>
        <v>0</v>
      </c>
      <c r="F161" s="3" t="n">
        <f aca="false">IF(COUNTIFS(Tasks_TaskID,$A161,Tasks_Tier,F$137)=0,"",SUMIFS(Tasks_Cost,Tasks_TaskID,$A161,Tasks_Tier,F$137,Tasks_Type,"reference"))</f>
        <v>0</v>
      </c>
      <c r="G161" s="3" t="str">
        <f aca="false">IF(COUNTIFS(Tasks_TaskID,$A161,Tasks_Tier,G$137)=0,"",SUMIFS(Tasks_Cost,Tasks_TaskID,$A161,Tasks_Tier,G$137,Tasks_Type,"reference"))</f>
        <v/>
      </c>
      <c r="H161" s="3" t="str">
        <f aca="false">IF(COUNTIFS(Tasks_TaskID,$A161,Tasks_Tier,H$137)=0,"",SUMIFS(Tasks_Cost,Tasks_TaskID,$A161,Tasks_Tier,H$137,Tasks_Type,"reference"))</f>
        <v/>
      </c>
      <c r="I161" s="3" t="str">
        <f aca="false">IF(COUNTIFS(Tasks_TaskID,$A161,Tasks_Tier,I$137)=0,"",SUMIFS(Tasks_Cost,Tasks_TaskID,$A161,Tasks_Tier,I$137,Tasks_Type,"reference"))</f>
        <v/>
      </c>
      <c r="J161" s="3" t="str">
        <f aca="false">IF(COUNTIFS(Tasks_TaskID,$A161,Tasks_Tier,J$137)=0,"",SUMIFS(Tasks_Cost,Tasks_TaskID,$A161,Tasks_Tier,J$137,Tasks_Type,"reference"))</f>
        <v/>
      </c>
      <c r="K161" s="3" t="str">
        <f aca="false">IF(COUNTIFS(Tasks_TaskID,$A161,Tasks_Tier,K$137)=0,"",SUMIFS(Tasks_Cost,Tasks_TaskID,$A161,Tasks_Tier,K$137,Tasks_Type,"reference"))</f>
        <v/>
      </c>
      <c r="L161" s="3" t="str">
        <f aca="false">IF(COUNTIFS(Tasks_TaskID,$A161,Tasks_Tier,L$137)=0,"",SUMIFS(Tasks_Cost,Tasks_TaskID,$A161,Tasks_Tier,L$137,Tasks_Type,"reference"))</f>
        <v/>
      </c>
      <c r="M161" s="3" t="str">
        <f aca="false">IF(COUNTIFS(Tasks_TaskID,$A161,Tasks_Tier,M$137)=0,"",SUMIFS(Tasks_Cost,Tasks_TaskID,$A161,Tasks_Tier,M$137,Tasks_Type,"reference"))</f>
        <v/>
      </c>
    </row>
    <row r="162" customFormat="false" ht="15" hidden="false" customHeight="false" outlineLevel="0" collapsed="false">
      <c r="A162" s="0" t="s">
        <v>1396</v>
      </c>
      <c r="B162" s="0" t="s">
        <v>618</v>
      </c>
      <c r="C162" s="0" t="s">
        <v>1397</v>
      </c>
      <c r="D162" s="3" t="n">
        <f aca="false">IF(COUNTIFS(Tasks_TaskID,$A162,Tasks_Tier,D$137)=0,"",SUMIFS(Tasks_Cost,Tasks_TaskID,$A162,Tasks_Tier,D$137,Tasks_Type,"reference"))</f>
        <v>0</v>
      </c>
      <c r="E162" s="3" t="n">
        <f aca="false">IF(COUNTIFS(Tasks_TaskID,$A162,Tasks_Tier,E$137)=0,"",SUMIFS(Tasks_Cost,Tasks_TaskID,$A162,Tasks_Tier,E$137,Tasks_Type,"reference"))</f>
        <v>0</v>
      </c>
      <c r="F162" s="3" t="n">
        <f aca="false">IF(COUNTIFS(Tasks_TaskID,$A162,Tasks_Tier,F$137)=0,"",SUMIFS(Tasks_Cost,Tasks_TaskID,$A162,Tasks_Tier,F$137,Tasks_Type,"reference"))</f>
        <v>0</v>
      </c>
      <c r="G162" s="3" t="str">
        <f aca="false">IF(COUNTIFS(Tasks_TaskID,$A162,Tasks_Tier,G$137)=0,"",SUMIFS(Tasks_Cost,Tasks_TaskID,$A162,Tasks_Tier,G$137,Tasks_Type,"reference"))</f>
        <v/>
      </c>
      <c r="H162" s="3" t="str">
        <f aca="false">IF(COUNTIFS(Tasks_TaskID,$A162,Tasks_Tier,H$137)=0,"",SUMIFS(Tasks_Cost,Tasks_TaskID,$A162,Tasks_Tier,H$137,Tasks_Type,"reference"))</f>
        <v/>
      </c>
      <c r="I162" s="3" t="str">
        <f aca="false">IF(COUNTIFS(Tasks_TaskID,$A162,Tasks_Tier,I$137)=0,"",SUMIFS(Tasks_Cost,Tasks_TaskID,$A162,Tasks_Tier,I$137,Tasks_Type,"reference"))</f>
        <v/>
      </c>
      <c r="J162" s="3" t="str">
        <f aca="false">IF(COUNTIFS(Tasks_TaskID,$A162,Tasks_Tier,J$137)=0,"",SUMIFS(Tasks_Cost,Tasks_TaskID,$A162,Tasks_Tier,J$137,Tasks_Type,"reference"))</f>
        <v/>
      </c>
      <c r="K162" s="3" t="str">
        <f aca="false">IF(COUNTIFS(Tasks_TaskID,$A162,Tasks_Tier,K$137)=0,"",SUMIFS(Tasks_Cost,Tasks_TaskID,$A162,Tasks_Tier,K$137,Tasks_Type,"reference"))</f>
        <v/>
      </c>
      <c r="L162" s="3" t="str">
        <f aca="false">IF(COUNTIFS(Tasks_TaskID,$A162,Tasks_Tier,L$137)=0,"",SUMIFS(Tasks_Cost,Tasks_TaskID,$A162,Tasks_Tier,L$137,Tasks_Type,"reference"))</f>
        <v/>
      </c>
      <c r="M162" s="3" t="str">
        <f aca="false">IF(COUNTIFS(Tasks_TaskID,$A162,Tasks_Tier,M$137)=0,"",SUMIFS(Tasks_Cost,Tasks_TaskID,$A162,Tasks_Tier,M$137,Tasks_Type,"reference"))</f>
        <v/>
      </c>
    </row>
    <row r="163" customFormat="false" ht="15" hidden="false" customHeight="false" outlineLevel="0" collapsed="false">
      <c r="A163" s="0" t="s">
        <v>1415</v>
      </c>
      <c r="B163" s="0" t="s">
        <v>646</v>
      </c>
      <c r="C163" s="0" t="s">
        <v>1416</v>
      </c>
      <c r="D163" s="3" t="n">
        <f aca="false">IF(COUNTIFS(Tasks_TaskID,$A163,Tasks_Tier,D$137)=0,"",SUMIFS(Tasks_Cost,Tasks_TaskID,$A163,Tasks_Tier,D$137,Tasks_Type,"reference"))</f>
        <v>0</v>
      </c>
      <c r="E163" s="3" t="n">
        <f aca="false">IF(COUNTIFS(Tasks_TaskID,$A163,Tasks_Tier,E$137)=0,"",SUMIFS(Tasks_Cost,Tasks_TaskID,$A163,Tasks_Tier,E$137,Tasks_Type,"reference"))</f>
        <v>0</v>
      </c>
      <c r="F163" s="3" t="n">
        <f aca="false">IF(COUNTIFS(Tasks_TaskID,$A163,Tasks_Tier,F$137)=0,"",SUMIFS(Tasks_Cost,Tasks_TaskID,$A163,Tasks_Tier,F$137,Tasks_Type,"reference"))</f>
        <v>0</v>
      </c>
      <c r="G163" s="3" t="str">
        <f aca="false">IF(COUNTIFS(Tasks_TaskID,$A163,Tasks_Tier,G$137)=0,"",SUMIFS(Tasks_Cost,Tasks_TaskID,$A163,Tasks_Tier,G$137,Tasks_Type,"reference"))</f>
        <v/>
      </c>
      <c r="H163" s="3" t="str">
        <f aca="false">IF(COUNTIFS(Tasks_TaskID,$A163,Tasks_Tier,H$137)=0,"",SUMIFS(Tasks_Cost,Tasks_TaskID,$A163,Tasks_Tier,H$137,Tasks_Type,"reference"))</f>
        <v/>
      </c>
      <c r="I163" s="3" t="str">
        <f aca="false">IF(COUNTIFS(Tasks_TaskID,$A163,Tasks_Tier,I$137)=0,"",SUMIFS(Tasks_Cost,Tasks_TaskID,$A163,Tasks_Tier,I$137,Tasks_Type,"reference"))</f>
        <v/>
      </c>
      <c r="J163" s="3" t="str">
        <f aca="false">IF(COUNTIFS(Tasks_TaskID,$A163,Tasks_Tier,J$137)=0,"",SUMIFS(Tasks_Cost,Tasks_TaskID,$A163,Tasks_Tier,J$137,Tasks_Type,"reference"))</f>
        <v/>
      </c>
      <c r="K163" s="3" t="str">
        <f aca="false">IF(COUNTIFS(Tasks_TaskID,$A163,Tasks_Tier,K$137)=0,"",SUMIFS(Tasks_Cost,Tasks_TaskID,$A163,Tasks_Tier,K$137,Tasks_Type,"reference"))</f>
        <v/>
      </c>
      <c r="L163" s="3" t="str">
        <f aca="false">IF(COUNTIFS(Tasks_TaskID,$A163,Tasks_Tier,L$137)=0,"",SUMIFS(Tasks_Cost,Tasks_TaskID,$A163,Tasks_Tier,L$137,Tasks_Type,"reference"))</f>
        <v/>
      </c>
      <c r="M163" s="3" t="str">
        <f aca="false">IF(COUNTIFS(Tasks_TaskID,$A163,Tasks_Tier,M$137)=0,"",SUMIFS(Tasks_Cost,Tasks_TaskID,$A163,Tasks_Tier,M$137,Tasks_Type,"reference"))</f>
        <v/>
      </c>
    </row>
    <row r="164" customFormat="false" ht="15" hidden="false" customHeight="false" outlineLevel="0" collapsed="false">
      <c r="A164" s="0" t="s">
        <v>1430</v>
      </c>
      <c r="B164" s="0" t="s">
        <v>677</v>
      </c>
      <c r="C164" s="0" t="s">
        <v>1431</v>
      </c>
      <c r="D164" s="3" t="n">
        <f aca="false">IF(COUNTIFS(Tasks_TaskID,$A164,Tasks_Tier,D$137)=0,"",SUMIFS(Tasks_Cost,Tasks_TaskID,$A164,Tasks_Tier,D$137,Tasks_Type,"reference"))</f>
        <v>0</v>
      </c>
      <c r="E164" s="3" t="n">
        <f aca="false">IF(COUNTIFS(Tasks_TaskID,$A164,Tasks_Tier,E$137)=0,"",SUMIFS(Tasks_Cost,Tasks_TaskID,$A164,Tasks_Tier,E$137,Tasks_Type,"reference"))</f>
        <v>0</v>
      </c>
      <c r="F164" s="3" t="n">
        <f aca="false">IF(COUNTIFS(Tasks_TaskID,$A164,Tasks_Tier,F$137)=0,"",SUMIFS(Tasks_Cost,Tasks_TaskID,$A164,Tasks_Tier,F$137,Tasks_Type,"reference"))</f>
        <v>0</v>
      </c>
      <c r="G164" s="3" t="str">
        <f aca="false">IF(COUNTIFS(Tasks_TaskID,$A164,Tasks_Tier,G$137)=0,"",SUMIFS(Tasks_Cost,Tasks_TaskID,$A164,Tasks_Tier,G$137,Tasks_Type,"reference"))</f>
        <v/>
      </c>
      <c r="H164" s="3" t="str">
        <f aca="false">IF(COUNTIFS(Tasks_TaskID,$A164,Tasks_Tier,H$137)=0,"",SUMIFS(Tasks_Cost,Tasks_TaskID,$A164,Tasks_Tier,H$137,Tasks_Type,"reference"))</f>
        <v/>
      </c>
      <c r="I164" s="3" t="str">
        <f aca="false">IF(COUNTIFS(Tasks_TaskID,$A164,Tasks_Tier,I$137)=0,"",SUMIFS(Tasks_Cost,Tasks_TaskID,$A164,Tasks_Tier,I$137,Tasks_Type,"reference"))</f>
        <v/>
      </c>
      <c r="J164" s="3" t="str">
        <f aca="false">IF(COUNTIFS(Tasks_TaskID,$A164,Tasks_Tier,J$137)=0,"",SUMIFS(Tasks_Cost,Tasks_TaskID,$A164,Tasks_Tier,J$137,Tasks_Type,"reference"))</f>
        <v/>
      </c>
      <c r="K164" s="3" t="str">
        <f aca="false">IF(COUNTIFS(Tasks_TaskID,$A164,Tasks_Tier,K$137)=0,"",SUMIFS(Tasks_Cost,Tasks_TaskID,$A164,Tasks_Tier,K$137,Tasks_Type,"reference"))</f>
        <v/>
      </c>
      <c r="L164" s="3" t="str">
        <f aca="false">IF(COUNTIFS(Tasks_TaskID,$A164,Tasks_Tier,L$137)=0,"",SUMIFS(Tasks_Cost,Tasks_TaskID,$A164,Tasks_Tier,L$137,Tasks_Type,"reference"))</f>
        <v/>
      </c>
      <c r="M164" s="3" t="str">
        <f aca="false">IF(COUNTIFS(Tasks_TaskID,$A164,Tasks_Tier,M$137)=0,"",SUMIFS(Tasks_Cost,Tasks_TaskID,$A164,Tasks_Tier,M$137,Tasks_Type,"reference"))</f>
        <v/>
      </c>
    </row>
    <row r="165" customFormat="false" ht="15" hidden="false" customHeight="false" outlineLevel="0" collapsed="false">
      <c r="A165" s="0" t="s">
        <v>1439</v>
      </c>
      <c r="B165" s="0" t="s">
        <v>677</v>
      </c>
      <c r="C165" s="0" t="s">
        <v>1440</v>
      </c>
      <c r="D165" s="3" t="n">
        <f aca="false">IF(COUNTIFS(Tasks_TaskID,$A165,Tasks_Tier,D$137)=0,"",SUMIFS(Tasks_Cost,Tasks_TaskID,$A165,Tasks_Tier,D$137,Tasks_Type,"reference"))</f>
        <v>0</v>
      </c>
      <c r="E165" s="3" t="n">
        <f aca="false">IF(COUNTIFS(Tasks_TaskID,$A165,Tasks_Tier,E$137)=0,"",SUMIFS(Tasks_Cost,Tasks_TaskID,$A165,Tasks_Tier,E$137,Tasks_Type,"reference"))</f>
        <v>0</v>
      </c>
      <c r="F165" s="3" t="n">
        <f aca="false">IF(COUNTIFS(Tasks_TaskID,$A165,Tasks_Tier,F$137)=0,"",SUMIFS(Tasks_Cost,Tasks_TaskID,$A165,Tasks_Tier,F$137,Tasks_Type,"reference"))</f>
        <v>0</v>
      </c>
      <c r="G165" s="3" t="str">
        <f aca="false">IF(COUNTIFS(Tasks_TaskID,$A165,Tasks_Tier,G$137)=0,"",SUMIFS(Tasks_Cost,Tasks_TaskID,$A165,Tasks_Tier,G$137,Tasks_Type,"reference"))</f>
        <v/>
      </c>
      <c r="H165" s="3" t="str">
        <f aca="false">IF(COUNTIFS(Tasks_TaskID,$A165,Tasks_Tier,H$137)=0,"",SUMIFS(Tasks_Cost,Tasks_TaskID,$A165,Tasks_Tier,H$137,Tasks_Type,"reference"))</f>
        <v/>
      </c>
      <c r="I165" s="3" t="str">
        <f aca="false">IF(COUNTIFS(Tasks_TaskID,$A165,Tasks_Tier,I$137)=0,"",SUMIFS(Tasks_Cost,Tasks_TaskID,$A165,Tasks_Tier,I$137,Tasks_Type,"reference"))</f>
        <v/>
      </c>
      <c r="J165" s="3" t="str">
        <f aca="false">IF(COUNTIFS(Tasks_TaskID,$A165,Tasks_Tier,J$137)=0,"",SUMIFS(Tasks_Cost,Tasks_TaskID,$A165,Tasks_Tier,J$137,Tasks_Type,"reference"))</f>
        <v/>
      </c>
      <c r="K165" s="3" t="str">
        <f aca="false">IF(COUNTIFS(Tasks_TaskID,$A165,Tasks_Tier,K$137)=0,"",SUMIFS(Tasks_Cost,Tasks_TaskID,$A165,Tasks_Tier,K$137,Tasks_Type,"reference"))</f>
        <v/>
      </c>
      <c r="L165" s="3" t="str">
        <f aca="false">IF(COUNTIFS(Tasks_TaskID,$A165,Tasks_Tier,L$137)=0,"",SUMIFS(Tasks_Cost,Tasks_TaskID,$A165,Tasks_Tier,L$137,Tasks_Type,"reference"))</f>
        <v/>
      </c>
      <c r="M165" s="3" t="str">
        <f aca="false">IF(COUNTIFS(Tasks_TaskID,$A165,Tasks_Tier,M$137)=0,"",SUMIFS(Tasks_Cost,Tasks_TaskID,$A165,Tasks_Tier,M$137,Tasks_Type,"reference"))</f>
        <v/>
      </c>
    </row>
    <row r="166" customFormat="false" ht="15" hidden="false" customHeight="false" outlineLevel="0" collapsed="false">
      <c r="A166" s="0" t="s">
        <v>1454</v>
      </c>
      <c r="B166" s="0" t="s">
        <v>699</v>
      </c>
      <c r="C166" s="0" t="s">
        <v>1455</v>
      </c>
      <c r="D166" s="3" t="n">
        <f aca="false">IF(COUNTIFS(Tasks_TaskID,$A166,Tasks_Tier,D$137)=0,"",SUMIFS(Tasks_Cost,Tasks_TaskID,$A166,Tasks_Tier,D$137,Tasks_Type,"reference"))</f>
        <v>0</v>
      </c>
      <c r="E166" s="3" t="n">
        <f aca="false">IF(COUNTIFS(Tasks_TaskID,$A166,Tasks_Tier,E$137)=0,"",SUMIFS(Tasks_Cost,Tasks_TaskID,$A166,Tasks_Tier,E$137,Tasks_Type,"reference"))</f>
        <v>0</v>
      </c>
      <c r="F166" s="3" t="n">
        <f aca="false">IF(COUNTIFS(Tasks_TaskID,$A166,Tasks_Tier,F$137)=0,"",SUMIFS(Tasks_Cost,Tasks_TaskID,$A166,Tasks_Tier,F$137,Tasks_Type,"reference"))</f>
        <v>0</v>
      </c>
      <c r="G166" s="3" t="str">
        <f aca="false">IF(COUNTIFS(Tasks_TaskID,$A166,Tasks_Tier,G$137)=0,"",SUMIFS(Tasks_Cost,Tasks_TaskID,$A166,Tasks_Tier,G$137,Tasks_Type,"reference"))</f>
        <v/>
      </c>
      <c r="H166" s="3" t="str">
        <f aca="false">IF(COUNTIFS(Tasks_TaskID,$A166,Tasks_Tier,H$137)=0,"",SUMIFS(Tasks_Cost,Tasks_TaskID,$A166,Tasks_Tier,H$137,Tasks_Type,"reference"))</f>
        <v/>
      </c>
      <c r="I166" s="3" t="str">
        <f aca="false">IF(COUNTIFS(Tasks_TaskID,$A166,Tasks_Tier,I$137)=0,"",SUMIFS(Tasks_Cost,Tasks_TaskID,$A166,Tasks_Tier,I$137,Tasks_Type,"reference"))</f>
        <v/>
      </c>
      <c r="J166" s="3" t="str">
        <f aca="false">IF(COUNTIFS(Tasks_TaskID,$A166,Tasks_Tier,J$137)=0,"",SUMIFS(Tasks_Cost,Tasks_TaskID,$A166,Tasks_Tier,J$137,Tasks_Type,"reference"))</f>
        <v/>
      </c>
      <c r="K166" s="3" t="str">
        <f aca="false">IF(COUNTIFS(Tasks_TaskID,$A166,Tasks_Tier,K$137)=0,"",SUMIFS(Tasks_Cost,Tasks_TaskID,$A166,Tasks_Tier,K$137,Tasks_Type,"reference"))</f>
        <v/>
      </c>
      <c r="L166" s="3" t="str">
        <f aca="false">IF(COUNTIFS(Tasks_TaskID,$A166,Tasks_Tier,L$137)=0,"",SUMIFS(Tasks_Cost,Tasks_TaskID,$A166,Tasks_Tier,L$137,Tasks_Type,"reference"))</f>
        <v/>
      </c>
      <c r="M166" s="3" t="str">
        <f aca="false">IF(COUNTIFS(Tasks_TaskID,$A166,Tasks_Tier,M$137)=0,"",SUMIFS(Tasks_Cost,Tasks_TaskID,$A166,Tasks_Tier,M$137,Tasks_Type,"reference"))</f>
        <v/>
      </c>
    </row>
    <row r="167" customFormat="false" ht="15" hidden="false" customHeight="false" outlineLevel="0" collapsed="false">
      <c r="A167" s="0" t="s">
        <v>1460</v>
      </c>
      <c r="B167" s="0" t="s">
        <v>699</v>
      </c>
      <c r="C167" s="0" t="s">
        <v>1461</v>
      </c>
      <c r="D167" s="3" t="n">
        <f aca="false">IF(COUNTIFS(Tasks_TaskID,$A167,Tasks_Tier,D$137)=0,"",SUMIFS(Tasks_Cost,Tasks_TaskID,$A167,Tasks_Tier,D$137,Tasks_Type,"reference"))</f>
        <v>0</v>
      </c>
      <c r="E167" s="3" t="n">
        <f aca="false">IF(COUNTIFS(Tasks_TaskID,$A167,Tasks_Tier,E$137)=0,"",SUMIFS(Tasks_Cost,Tasks_TaskID,$A167,Tasks_Tier,E$137,Tasks_Type,"reference"))</f>
        <v>0</v>
      </c>
      <c r="F167" s="3" t="n">
        <f aca="false">IF(COUNTIFS(Tasks_TaskID,$A167,Tasks_Tier,F$137)=0,"",SUMIFS(Tasks_Cost,Tasks_TaskID,$A167,Tasks_Tier,F$137,Tasks_Type,"reference"))</f>
        <v>0</v>
      </c>
      <c r="G167" s="3" t="str">
        <f aca="false">IF(COUNTIFS(Tasks_TaskID,$A167,Tasks_Tier,G$137)=0,"",SUMIFS(Tasks_Cost,Tasks_TaskID,$A167,Tasks_Tier,G$137,Tasks_Type,"reference"))</f>
        <v/>
      </c>
      <c r="H167" s="3" t="str">
        <f aca="false">IF(COUNTIFS(Tasks_TaskID,$A167,Tasks_Tier,H$137)=0,"",SUMIFS(Tasks_Cost,Tasks_TaskID,$A167,Tasks_Tier,H$137,Tasks_Type,"reference"))</f>
        <v/>
      </c>
      <c r="I167" s="3" t="str">
        <f aca="false">IF(COUNTIFS(Tasks_TaskID,$A167,Tasks_Tier,I$137)=0,"",SUMIFS(Tasks_Cost,Tasks_TaskID,$A167,Tasks_Tier,I$137,Tasks_Type,"reference"))</f>
        <v/>
      </c>
      <c r="J167" s="3" t="str">
        <f aca="false">IF(COUNTIFS(Tasks_TaskID,$A167,Tasks_Tier,J$137)=0,"",SUMIFS(Tasks_Cost,Tasks_TaskID,$A167,Tasks_Tier,J$137,Tasks_Type,"reference"))</f>
        <v/>
      </c>
      <c r="K167" s="3" t="str">
        <f aca="false">IF(COUNTIFS(Tasks_TaskID,$A167,Tasks_Tier,K$137)=0,"",SUMIFS(Tasks_Cost,Tasks_TaskID,$A167,Tasks_Tier,K$137,Tasks_Type,"reference"))</f>
        <v/>
      </c>
      <c r="L167" s="3" t="str">
        <f aca="false">IF(COUNTIFS(Tasks_TaskID,$A167,Tasks_Tier,L$137)=0,"",SUMIFS(Tasks_Cost,Tasks_TaskID,$A167,Tasks_Tier,L$137,Tasks_Type,"reference"))</f>
        <v/>
      </c>
      <c r="M167" s="3" t="str">
        <f aca="false">IF(COUNTIFS(Tasks_TaskID,$A167,Tasks_Tier,M$137)=0,"",SUMIFS(Tasks_Cost,Tasks_TaskID,$A167,Tasks_Tier,M$137,Tasks_Type,"reference"))</f>
        <v/>
      </c>
    </row>
    <row r="168" customFormat="false" ht="15" hidden="false" customHeight="false" outlineLevel="0" collapsed="false">
      <c r="A168" s="0" t="s">
        <v>1555</v>
      </c>
      <c r="B168" s="0" t="s">
        <v>107</v>
      </c>
      <c r="C168" s="0" t="s">
        <v>1556</v>
      </c>
      <c r="D168" s="3" t="n">
        <f aca="false">IF(COUNTIFS(Tasks_TaskID,$A168,Tasks_Tier,D$137)=0,"",SUMIFS(Tasks_Cost,Tasks_TaskID,$A168,Tasks_Tier,D$137,Tasks_Type,"reference"))</f>
        <v>0</v>
      </c>
      <c r="E168" s="3" t="n">
        <f aca="false">IF(COUNTIFS(Tasks_TaskID,$A168,Tasks_Tier,E$137)=0,"",SUMIFS(Tasks_Cost,Tasks_TaskID,$A168,Tasks_Tier,E$137,Tasks_Type,"reference"))</f>
        <v>0</v>
      </c>
      <c r="F168" s="3" t="n">
        <f aca="false">IF(COUNTIFS(Tasks_TaskID,$A168,Tasks_Tier,F$137)=0,"",SUMIFS(Tasks_Cost,Tasks_TaskID,$A168,Tasks_Tier,F$137,Tasks_Type,"reference"))</f>
        <v>0</v>
      </c>
      <c r="G168" s="3" t="str">
        <f aca="false">IF(COUNTIFS(Tasks_TaskID,$A168,Tasks_Tier,G$137)=0,"",SUMIFS(Tasks_Cost,Tasks_TaskID,$A168,Tasks_Tier,G$137,Tasks_Type,"reference"))</f>
        <v/>
      </c>
      <c r="H168" s="3" t="str">
        <f aca="false">IF(COUNTIFS(Tasks_TaskID,$A168,Tasks_Tier,H$137)=0,"",SUMIFS(Tasks_Cost,Tasks_TaskID,$A168,Tasks_Tier,H$137,Tasks_Type,"reference"))</f>
        <v/>
      </c>
      <c r="I168" s="3" t="str">
        <f aca="false">IF(COUNTIFS(Tasks_TaskID,$A168,Tasks_Tier,I$137)=0,"",SUMIFS(Tasks_Cost,Tasks_TaskID,$A168,Tasks_Tier,I$137,Tasks_Type,"reference"))</f>
        <v/>
      </c>
      <c r="J168" s="3" t="str">
        <f aca="false">IF(COUNTIFS(Tasks_TaskID,$A168,Tasks_Tier,J$137)=0,"",SUMIFS(Tasks_Cost,Tasks_TaskID,$A168,Tasks_Tier,J$137,Tasks_Type,"reference"))</f>
        <v/>
      </c>
      <c r="K168" s="3" t="str">
        <f aca="false">IF(COUNTIFS(Tasks_TaskID,$A168,Tasks_Tier,K$137)=0,"",SUMIFS(Tasks_Cost,Tasks_TaskID,$A168,Tasks_Tier,K$137,Tasks_Type,"reference"))</f>
        <v/>
      </c>
      <c r="L168" s="3" t="str">
        <f aca="false">IF(COUNTIFS(Tasks_TaskID,$A168,Tasks_Tier,L$137)=0,"",SUMIFS(Tasks_Cost,Tasks_TaskID,$A168,Tasks_Tier,L$137,Tasks_Type,"reference"))</f>
        <v/>
      </c>
      <c r="M168" s="3" t="str">
        <f aca="false">IF(COUNTIFS(Tasks_TaskID,$A168,Tasks_Tier,M$137)=0,"",SUMIFS(Tasks_Cost,Tasks_TaskID,$A168,Tasks_Tier,M$137,Tasks_Type,"reference"))</f>
        <v/>
      </c>
    </row>
    <row r="169" customFormat="false" ht="15" hidden="false" customHeight="false" outlineLevel="0" collapsed="false">
      <c r="A169" s="0" t="s">
        <v>1569</v>
      </c>
      <c r="B169" s="0" t="s">
        <v>107</v>
      </c>
      <c r="C169" s="0" t="s">
        <v>1570</v>
      </c>
      <c r="D169" s="3" t="n">
        <f aca="false">IF(COUNTIFS(Tasks_TaskID,$A169,Tasks_Tier,D$137)=0,"",SUMIFS(Tasks_Cost,Tasks_TaskID,$A169,Tasks_Tier,D$137,Tasks_Type,"reference"))</f>
        <v>0</v>
      </c>
      <c r="E169" s="3" t="n">
        <f aca="false">IF(COUNTIFS(Tasks_TaskID,$A169,Tasks_Tier,E$137)=0,"",SUMIFS(Tasks_Cost,Tasks_TaskID,$A169,Tasks_Tier,E$137,Tasks_Type,"reference"))</f>
        <v>0</v>
      </c>
      <c r="F169" s="3" t="n">
        <f aca="false">IF(COUNTIFS(Tasks_TaskID,$A169,Tasks_Tier,F$137)=0,"",SUMIFS(Tasks_Cost,Tasks_TaskID,$A169,Tasks_Tier,F$137,Tasks_Type,"reference"))</f>
        <v>0</v>
      </c>
      <c r="G169" s="3" t="str">
        <f aca="false">IF(COUNTIFS(Tasks_TaskID,$A169,Tasks_Tier,G$137)=0,"",SUMIFS(Tasks_Cost,Tasks_TaskID,$A169,Tasks_Tier,G$137,Tasks_Type,"reference"))</f>
        <v/>
      </c>
      <c r="H169" s="3" t="str">
        <f aca="false">IF(COUNTIFS(Tasks_TaskID,$A169,Tasks_Tier,H$137)=0,"",SUMIFS(Tasks_Cost,Tasks_TaskID,$A169,Tasks_Tier,H$137,Tasks_Type,"reference"))</f>
        <v/>
      </c>
      <c r="I169" s="3" t="str">
        <f aca="false">IF(COUNTIFS(Tasks_TaskID,$A169,Tasks_Tier,I$137)=0,"",SUMIFS(Tasks_Cost,Tasks_TaskID,$A169,Tasks_Tier,I$137,Tasks_Type,"reference"))</f>
        <v/>
      </c>
      <c r="J169" s="3" t="str">
        <f aca="false">IF(COUNTIFS(Tasks_TaskID,$A169,Tasks_Tier,J$137)=0,"",SUMIFS(Tasks_Cost,Tasks_TaskID,$A169,Tasks_Tier,J$137,Tasks_Type,"reference"))</f>
        <v/>
      </c>
      <c r="K169" s="3" t="str">
        <f aca="false">IF(COUNTIFS(Tasks_TaskID,$A169,Tasks_Tier,K$137)=0,"",SUMIFS(Tasks_Cost,Tasks_TaskID,$A169,Tasks_Tier,K$137,Tasks_Type,"reference"))</f>
        <v/>
      </c>
      <c r="L169" s="3" t="str">
        <f aca="false">IF(COUNTIFS(Tasks_TaskID,$A169,Tasks_Tier,L$137)=0,"",SUMIFS(Tasks_Cost,Tasks_TaskID,$A169,Tasks_Tier,L$137,Tasks_Type,"reference"))</f>
        <v/>
      </c>
      <c r="M169" s="3" t="str">
        <f aca="false">IF(COUNTIFS(Tasks_TaskID,$A169,Tasks_Tier,M$137)=0,"",SUMIFS(Tasks_Cost,Tasks_TaskID,$A169,Tasks_Tier,M$137,Tasks_Type,"reference"))</f>
        <v/>
      </c>
    </row>
    <row r="170" customFormat="false" ht="15" hidden="false" customHeight="false" outlineLevel="0" collapsed="false">
      <c r="A170" s="0" t="s">
        <v>1596</v>
      </c>
      <c r="B170" s="0" t="s">
        <v>176</v>
      </c>
      <c r="C170" s="0" t="s">
        <v>1597</v>
      </c>
      <c r="D170" s="3" t="n">
        <f aca="false">IF(COUNTIFS(Tasks_TaskID,$A170,Tasks_Tier,D$137)=0,"",SUMIFS(Tasks_Cost,Tasks_TaskID,$A170,Tasks_Tier,D$137,Tasks_Type,"reference"))</f>
        <v>0</v>
      </c>
      <c r="E170" s="3" t="n">
        <f aca="false">IF(COUNTIFS(Tasks_TaskID,$A170,Tasks_Tier,E$137)=0,"",SUMIFS(Tasks_Cost,Tasks_TaskID,$A170,Tasks_Tier,E$137,Tasks_Type,"reference"))</f>
        <v>0</v>
      </c>
      <c r="F170" s="3" t="n">
        <f aca="false">IF(COUNTIFS(Tasks_TaskID,$A170,Tasks_Tier,F$137)=0,"",SUMIFS(Tasks_Cost,Tasks_TaskID,$A170,Tasks_Tier,F$137,Tasks_Type,"reference"))</f>
        <v>0</v>
      </c>
      <c r="G170" s="3" t="str">
        <f aca="false">IF(COUNTIFS(Tasks_TaskID,$A170,Tasks_Tier,G$137)=0,"",SUMIFS(Tasks_Cost,Tasks_TaskID,$A170,Tasks_Tier,G$137,Tasks_Type,"reference"))</f>
        <v/>
      </c>
      <c r="H170" s="3" t="str">
        <f aca="false">IF(COUNTIFS(Tasks_TaskID,$A170,Tasks_Tier,H$137)=0,"",SUMIFS(Tasks_Cost,Tasks_TaskID,$A170,Tasks_Tier,H$137,Tasks_Type,"reference"))</f>
        <v/>
      </c>
      <c r="I170" s="3" t="str">
        <f aca="false">IF(COUNTIFS(Tasks_TaskID,$A170,Tasks_Tier,I$137)=0,"",SUMIFS(Tasks_Cost,Tasks_TaskID,$A170,Tasks_Tier,I$137,Tasks_Type,"reference"))</f>
        <v/>
      </c>
      <c r="J170" s="3" t="str">
        <f aca="false">IF(COUNTIFS(Tasks_TaskID,$A170,Tasks_Tier,J$137)=0,"",SUMIFS(Tasks_Cost,Tasks_TaskID,$A170,Tasks_Tier,J$137,Tasks_Type,"reference"))</f>
        <v/>
      </c>
      <c r="K170" s="3" t="str">
        <f aca="false">IF(COUNTIFS(Tasks_TaskID,$A170,Tasks_Tier,K$137)=0,"",SUMIFS(Tasks_Cost,Tasks_TaskID,$A170,Tasks_Tier,K$137,Tasks_Type,"reference"))</f>
        <v/>
      </c>
      <c r="L170" s="3" t="str">
        <f aca="false">IF(COUNTIFS(Tasks_TaskID,$A170,Tasks_Tier,L$137)=0,"",SUMIFS(Tasks_Cost,Tasks_TaskID,$A170,Tasks_Tier,L$137,Tasks_Type,"reference"))</f>
        <v/>
      </c>
      <c r="M170" s="3" t="str">
        <f aca="false">IF(COUNTIFS(Tasks_TaskID,$A170,Tasks_Tier,M$137)=0,"",SUMIFS(Tasks_Cost,Tasks_TaskID,$A170,Tasks_Tier,M$137,Tasks_Type,"reference"))</f>
        <v/>
      </c>
    </row>
    <row r="171" customFormat="false" ht="15" hidden="false" customHeight="false" outlineLevel="0" collapsed="false">
      <c r="A171" s="0" t="s">
        <v>1620</v>
      </c>
      <c r="B171" s="0" t="s">
        <v>176</v>
      </c>
      <c r="C171" s="0" t="s">
        <v>1621</v>
      </c>
      <c r="D171" s="3" t="n">
        <f aca="false">IF(COUNTIFS(Tasks_TaskID,$A171,Tasks_Tier,D$137)=0,"",SUMIFS(Tasks_Cost,Tasks_TaskID,$A171,Tasks_Tier,D$137,Tasks_Type,"reference"))</f>
        <v>0</v>
      </c>
      <c r="E171" s="3" t="n">
        <f aca="false">IF(COUNTIFS(Tasks_TaskID,$A171,Tasks_Tier,E$137)=0,"",SUMIFS(Tasks_Cost,Tasks_TaskID,$A171,Tasks_Tier,E$137,Tasks_Type,"reference"))</f>
        <v>0</v>
      </c>
      <c r="F171" s="3" t="n">
        <f aca="false">IF(COUNTIFS(Tasks_TaskID,$A171,Tasks_Tier,F$137)=0,"",SUMIFS(Tasks_Cost,Tasks_TaskID,$A171,Tasks_Tier,F$137,Tasks_Type,"reference"))</f>
        <v>0</v>
      </c>
      <c r="G171" s="3" t="str">
        <f aca="false">IF(COUNTIFS(Tasks_TaskID,$A171,Tasks_Tier,G$137)=0,"",SUMIFS(Tasks_Cost,Tasks_TaskID,$A171,Tasks_Tier,G$137,Tasks_Type,"reference"))</f>
        <v/>
      </c>
      <c r="H171" s="3" t="str">
        <f aca="false">IF(COUNTIFS(Tasks_TaskID,$A171,Tasks_Tier,H$137)=0,"",SUMIFS(Tasks_Cost,Tasks_TaskID,$A171,Tasks_Tier,H$137,Tasks_Type,"reference"))</f>
        <v/>
      </c>
      <c r="I171" s="3" t="str">
        <f aca="false">IF(COUNTIFS(Tasks_TaskID,$A171,Tasks_Tier,I$137)=0,"",SUMIFS(Tasks_Cost,Tasks_TaskID,$A171,Tasks_Tier,I$137,Tasks_Type,"reference"))</f>
        <v/>
      </c>
      <c r="J171" s="3" t="str">
        <f aca="false">IF(COUNTIFS(Tasks_TaskID,$A171,Tasks_Tier,J$137)=0,"",SUMIFS(Tasks_Cost,Tasks_TaskID,$A171,Tasks_Tier,J$137,Tasks_Type,"reference"))</f>
        <v/>
      </c>
      <c r="K171" s="3" t="str">
        <f aca="false">IF(COUNTIFS(Tasks_TaskID,$A171,Tasks_Tier,K$137)=0,"",SUMIFS(Tasks_Cost,Tasks_TaskID,$A171,Tasks_Tier,K$137,Tasks_Type,"reference"))</f>
        <v/>
      </c>
      <c r="L171" s="3" t="str">
        <f aca="false">IF(COUNTIFS(Tasks_TaskID,$A171,Tasks_Tier,L$137)=0,"",SUMIFS(Tasks_Cost,Tasks_TaskID,$A171,Tasks_Tier,L$137,Tasks_Type,"reference"))</f>
        <v/>
      </c>
      <c r="M171" s="3" t="str">
        <f aca="false">IF(COUNTIFS(Tasks_TaskID,$A171,Tasks_Tier,M$137)=0,"",SUMIFS(Tasks_Cost,Tasks_TaskID,$A171,Tasks_Tier,M$137,Tasks_Type,"reference"))</f>
        <v/>
      </c>
    </row>
    <row r="172" customFormat="false" ht="15" hidden="false" customHeight="false" outlineLevel="0" collapsed="false">
      <c r="A172" s="0" t="s">
        <v>1657</v>
      </c>
      <c r="B172" s="0" t="s">
        <v>939</v>
      </c>
      <c r="C172" s="0" t="s">
        <v>1658</v>
      </c>
      <c r="D172" s="3" t="str">
        <f aca="false">IF(COUNTIFS(Tasks_TaskID,$A172,Tasks_Tier,D$137)=0,"",SUMIFS(Tasks_Cost,Tasks_TaskID,$A172,Tasks_Tier,D$137,Tasks_Type,"reference"))</f>
        <v/>
      </c>
      <c r="E172" s="3" t="str">
        <f aca="false">IF(COUNTIFS(Tasks_TaskID,$A172,Tasks_Tier,E$137)=0,"",SUMIFS(Tasks_Cost,Tasks_TaskID,$A172,Tasks_Tier,E$137,Tasks_Type,"reference"))</f>
        <v/>
      </c>
      <c r="F172" s="3" t="str">
        <f aca="false">IF(COUNTIFS(Tasks_TaskID,$A172,Tasks_Tier,F$137)=0,"",SUMIFS(Tasks_Cost,Tasks_TaskID,$A172,Tasks_Tier,F$137,Tasks_Type,"reference"))</f>
        <v/>
      </c>
      <c r="G172" s="3" t="str">
        <f aca="false">IF(COUNTIFS(Tasks_TaskID,$A172,Tasks_Tier,G$137)=0,"",SUMIFS(Tasks_Cost,Tasks_TaskID,$A172,Tasks_Tier,G$137,Tasks_Type,"reference"))</f>
        <v/>
      </c>
      <c r="H172" s="3" t="str">
        <f aca="false">IF(COUNTIFS(Tasks_TaskID,$A172,Tasks_Tier,H$137)=0,"",SUMIFS(Tasks_Cost,Tasks_TaskID,$A172,Tasks_Tier,H$137,Tasks_Type,"reference"))</f>
        <v/>
      </c>
      <c r="I172" s="3" t="str">
        <f aca="false">IF(COUNTIFS(Tasks_TaskID,$A172,Tasks_Tier,I$137)=0,"",SUMIFS(Tasks_Cost,Tasks_TaskID,$A172,Tasks_Tier,I$137,Tasks_Type,"reference"))</f>
        <v/>
      </c>
      <c r="J172" s="3" t="str">
        <f aca="false">IF(COUNTIFS(Tasks_TaskID,$A172,Tasks_Tier,J$137)=0,"",SUMIFS(Tasks_Cost,Tasks_TaskID,$A172,Tasks_Tier,J$137,Tasks_Type,"reference"))</f>
        <v/>
      </c>
      <c r="K172" s="3" t="n">
        <f aca="false">IF(COUNTIFS(Tasks_TaskID,$A172,Tasks_Tier,K$137)=0,"",SUMIFS(Tasks_Cost,Tasks_TaskID,$A172,Tasks_Tier,K$137,Tasks_Type,"reference"))</f>
        <v>0</v>
      </c>
      <c r="L172" s="3" t="n">
        <f aca="false">IF(COUNTIFS(Tasks_TaskID,$A172,Tasks_Tier,L$137)=0,"",SUMIFS(Tasks_Cost,Tasks_TaskID,$A172,Tasks_Tier,L$137,Tasks_Type,"reference"))</f>
        <v>0</v>
      </c>
      <c r="M172" s="3" t="n">
        <f aca="false">IF(COUNTIFS(Tasks_TaskID,$A172,Tasks_Tier,M$137)=0,"",SUMIFS(Tasks_Cost,Tasks_TaskID,$A172,Tasks_Tier,M$137,Tasks_Type,"reference"))</f>
        <v>0</v>
      </c>
    </row>
    <row r="173" customFormat="false" ht="15" hidden="false" customHeight="false" outlineLevel="0" collapsed="false">
      <c r="A173" s="0" t="s">
        <v>1703</v>
      </c>
      <c r="B173" s="0" t="s">
        <v>939</v>
      </c>
      <c r="C173" s="0" t="s">
        <v>1704</v>
      </c>
      <c r="D173" s="3" t="str">
        <f aca="false">IF(COUNTIFS(Tasks_TaskID,$A173,Tasks_Tier,D$137)=0,"",SUMIFS(Tasks_Cost,Tasks_TaskID,$A173,Tasks_Tier,D$137,Tasks_Type,"reference"))</f>
        <v/>
      </c>
      <c r="E173" s="3" t="str">
        <f aca="false">IF(COUNTIFS(Tasks_TaskID,$A173,Tasks_Tier,E$137)=0,"",SUMIFS(Tasks_Cost,Tasks_TaskID,$A173,Tasks_Tier,E$137,Tasks_Type,"reference"))</f>
        <v/>
      </c>
      <c r="F173" s="3" t="str">
        <f aca="false">IF(COUNTIFS(Tasks_TaskID,$A173,Tasks_Tier,F$137)=0,"",SUMIFS(Tasks_Cost,Tasks_TaskID,$A173,Tasks_Tier,F$137,Tasks_Type,"reference"))</f>
        <v/>
      </c>
      <c r="G173" s="3" t="str">
        <f aca="false">IF(COUNTIFS(Tasks_TaskID,$A173,Tasks_Tier,G$137)=0,"",SUMIFS(Tasks_Cost,Tasks_TaskID,$A173,Tasks_Tier,G$137,Tasks_Type,"reference"))</f>
        <v/>
      </c>
      <c r="H173" s="3" t="str">
        <f aca="false">IF(COUNTIFS(Tasks_TaskID,$A173,Tasks_Tier,H$137)=0,"",SUMIFS(Tasks_Cost,Tasks_TaskID,$A173,Tasks_Tier,H$137,Tasks_Type,"reference"))</f>
        <v/>
      </c>
      <c r="I173" s="3" t="str">
        <f aca="false">IF(COUNTIFS(Tasks_TaskID,$A173,Tasks_Tier,I$137)=0,"",SUMIFS(Tasks_Cost,Tasks_TaskID,$A173,Tasks_Tier,I$137,Tasks_Type,"reference"))</f>
        <v/>
      </c>
      <c r="J173" s="3" t="str">
        <f aca="false">IF(COUNTIFS(Tasks_TaskID,$A173,Tasks_Tier,J$137)=0,"",SUMIFS(Tasks_Cost,Tasks_TaskID,$A173,Tasks_Tier,J$137,Tasks_Type,"reference"))</f>
        <v/>
      </c>
      <c r="K173" s="3" t="n">
        <f aca="false">IF(COUNTIFS(Tasks_TaskID,$A173,Tasks_Tier,K$137)=0,"",SUMIFS(Tasks_Cost,Tasks_TaskID,$A173,Tasks_Tier,K$137,Tasks_Type,"reference"))</f>
        <v>0</v>
      </c>
      <c r="L173" s="3" t="n">
        <f aca="false">IF(COUNTIFS(Tasks_TaskID,$A173,Tasks_Tier,L$137)=0,"",SUMIFS(Tasks_Cost,Tasks_TaskID,$A173,Tasks_Tier,L$137,Tasks_Type,"reference"))</f>
        <v>0</v>
      </c>
      <c r="M173" s="3" t="n">
        <f aca="false">IF(COUNTIFS(Tasks_TaskID,$A173,Tasks_Tier,M$137)=0,"",SUMIFS(Tasks_Cost,Tasks_TaskID,$A173,Tasks_Tier,M$137,Tasks_Type,"reference"))</f>
        <v>0</v>
      </c>
    </row>
    <row r="174" customFormat="false" ht="15" hidden="false" customHeight="false" outlineLevel="0" collapsed="false">
      <c r="A174" s="0" t="s">
        <v>1745</v>
      </c>
      <c r="B174" s="0" t="s">
        <v>939</v>
      </c>
      <c r="C174" s="0" t="s">
        <v>1746</v>
      </c>
      <c r="D174" s="3" t="str">
        <f aca="false">IF(COUNTIFS(Tasks_TaskID,$A174,Tasks_Tier,D$137)=0,"",SUMIFS(Tasks_Cost,Tasks_TaskID,$A174,Tasks_Tier,D$137,Tasks_Type,"reference"))</f>
        <v/>
      </c>
      <c r="E174" s="3" t="str">
        <f aca="false">IF(COUNTIFS(Tasks_TaskID,$A174,Tasks_Tier,E$137)=0,"",SUMIFS(Tasks_Cost,Tasks_TaskID,$A174,Tasks_Tier,E$137,Tasks_Type,"reference"))</f>
        <v/>
      </c>
      <c r="F174" s="3" t="str">
        <f aca="false">IF(COUNTIFS(Tasks_TaskID,$A174,Tasks_Tier,F$137)=0,"",SUMIFS(Tasks_Cost,Tasks_TaskID,$A174,Tasks_Tier,F$137,Tasks_Type,"reference"))</f>
        <v/>
      </c>
      <c r="G174" s="3" t="str">
        <f aca="false">IF(COUNTIFS(Tasks_TaskID,$A174,Tasks_Tier,G$137)=0,"",SUMIFS(Tasks_Cost,Tasks_TaskID,$A174,Tasks_Tier,G$137,Tasks_Type,"reference"))</f>
        <v/>
      </c>
      <c r="H174" s="3" t="str">
        <f aca="false">IF(COUNTIFS(Tasks_TaskID,$A174,Tasks_Tier,H$137)=0,"",SUMIFS(Tasks_Cost,Tasks_TaskID,$A174,Tasks_Tier,H$137,Tasks_Type,"reference"))</f>
        <v/>
      </c>
      <c r="I174" s="3" t="str">
        <f aca="false">IF(COUNTIFS(Tasks_TaskID,$A174,Tasks_Tier,I$137)=0,"",SUMIFS(Tasks_Cost,Tasks_TaskID,$A174,Tasks_Tier,I$137,Tasks_Type,"reference"))</f>
        <v/>
      </c>
      <c r="J174" s="3" t="str">
        <f aca="false">IF(COUNTIFS(Tasks_TaskID,$A174,Tasks_Tier,J$137)=0,"",SUMIFS(Tasks_Cost,Tasks_TaskID,$A174,Tasks_Tier,J$137,Tasks_Type,"reference"))</f>
        <v/>
      </c>
      <c r="K174" s="3" t="n">
        <f aca="false">IF(COUNTIFS(Tasks_TaskID,$A174,Tasks_Tier,K$137)=0,"",SUMIFS(Tasks_Cost,Tasks_TaskID,$A174,Tasks_Tier,K$137,Tasks_Type,"reference"))</f>
        <v>0</v>
      </c>
      <c r="L174" s="3" t="n">
        <f aca="false">IF(COUNTIFS(Tasks_TaskID,$A174,Tasks_Tier,L$137)=0,"",SUMIFS(Tasks_Cost,Tasks_TaskID,$A174,Tasks_Tier,L$137,Tasks_Type,"reference"))</f>
        <v>0</v>
      </c>
      <c r="M174" s="3" t="n">
        <f aca="false">IF(COUNTIFS(Tasks_TaskID,$A174,Tasks_Tier,M$137)=0,"",SUMIFS(Tasks_Cost,Tasks_TaskID,$A174,Tasks_Tier,M$137,Tasks_Type,"reference"))</f>
        <v>0</v>
      </c>
    </row>
    <row r="175" customFormat="false" ht="15" hidden="false" customHeight="false" outlineLevel="0" collapsed="false">
      <c r="A175" s="0" t="s">
        <v>1782</v>
      </c>
      <c r="B175" s="0" t="s">
        <v>939</v>
      </c>
      <c r="C175" s="0" t="s">
        <v>1783</v>
      </c>
      <c r="D175" s="3" t="str">
        <f aca="false">IF(COUNTIFS(Tasks_TaskID,$A175,Tasks_Tier,D$137)=0,"",SUMIFS(Tasks_Cost,Tasks_TaskID,$A175,Tasks_Tier,D$137,Tasks_Type,"reference"))</f>
        <v/>
      </c>
      <c r="E175" s="3" t="str">
        <f aca="false">IF(COUNTIFS(Tasks_TaskID,$A175,Tasks_Tier,E$137)=0,"",SUMIFS(Tasks_Cost,Tasks_TaskID,$A175,Tasks_Tier,E$137,Tasks_Type,"reference"))</f>
        <v/>
      </c>
      <c r="F175" s="3" t="str">
        <f aca="false">IF(COUNTIFS(Tasks_TaskID,$A175,Tasks_Tier,F$137)=0,"",SUMIFS(Tasks_Cost,Tasks_TaskID,$A175,Tasks_Tier,F$137,Tasks_Type,"reference"))</f>
        <v/>
      </c>
      <c r="G175" s="3" t="str">
        <f aca="false">IF(COUNTIFS(Tasks_TaskID,$A175,Tasks_Tier,G$137)=0,"",SUMIFS(Tasks_Cost,Tasks_TaskID,$A175,Tasks_Tier,G$137,Tasks_Type,"reference"))</f>
        <v/>
      </c>
      <c r="H175" s="3" t="str">
        <f aca="false">IF(COUNTIFS(Tasks_TaskID,$A175,Tasks_Tier,H$137)=0,"",SUMIFS(Tasks_Cost,Tasks_TaskID,$A175,Tasks_Tier,H$137,Tasks_Type,"reference"))</f>
        <v/>
      </c>
      <c r="I175" s="3" t="str">
        <f aca="false">IF(COUNTIFS(Tasks_TaskID,$A175,Tasks_Tier,I$137)=0,"",SUMIFS(Tasks_Cost,Tasks_TaskID,$A175,Tasks_Tier,I$137,Tasks_Type,"reference"))</f>
        <v/>
      </c>
      <c r="J175" s="3" t="str">
        <f aca="false">IF(COUNTIFS(Tasks_TaskID,$A175,Tasks_Tier,J$137)=0,"",SUMIFS(Tasks_Cost,Tasks_TaskID,$A175,Tasks_Tier,J$137,Tasks_Type,"reference"))</f>
        <v/>
      </c>
      <c r="K175" s="3" t="n">
        <f aca="false">IF(COUNTIFS(Tasks_TaskID,$A175,Tasks_Tier,K$137)=0,"",SUMIFS(Tasks_Cost,Tasks_TaskID,$A175,Tasks_Tier,K$137,Tasks_Type,"reference"))</f>
        <v>0</v>
      </c>
      <c r="L175" s="3" t="n">
        <f aca="false">IF(COUNTIFS(Tasks_TaskID,$A175,Tasks_Tier,L$137)=0,"",SUMIFS(Tasks_Cost,Tasks_TaskID,$A175,Tasks_Tier,L$137,Tasks_Type,"reference"))</f>
        <v>0</v>
      </c>
      <c r="M175" s="3" t="n">
        <f aca="false">IF(COUNTIFS(Tasks_TaskID,$A175,Tasks_Tier,M$137)=0,"",SUMIFS(Tasks_Cost,Tasks_TaskID,$A175,Tasks_Tier,M$137,Tasks_Type,"reference"))</f>
        <v>0</v>
      </c>
    </row>
    <row r="176" customFormat="false" ht="15" hidden="false" customHeight="false" outlineLevel="0" collapsed="false">
      <c r="A176" s="0" t="s">
        <v>1810</v>
      </c>
      <c r="B176" s="0" t="s">
        <v>939</v>
      </c>
      <c r="C176" s="0" t="s">
        <v>1811</v>
      </c>
      <c r="D176" s="3" t="n">
        <f aca="false">IF(COUNTIFS(Tasks_TaskID,$A176,Tasks_Tier,D$137)=0,"",SUMIFS(Tasks_Cost,Tasks_TaskID,$A176,Tasks_Tier,D$137,Tasks_Type,"reference"))</f>
        <v>0</v>
      </c>
      <c r="E176" s="3" t="n">
        <f aca="false">IF(COUNTIFS(Tasks_TaskID,$A176,Tasks_Tier,E$137)=0,"",SUMIFS(Tasks_Cost,Tasks_TaskID,$A176,Tasks_Tier,E$137,Tasks_Type,"reference"))</f>
        <v>0</v>
      </c>
      <c r="F176" s="3" t="n">
        <f aca="false">IF(COUNTIFS(Tasks_TaskID,$A176,Tasks_Tier,F$137)=0,"",SUMIFS(Tasks_Cost,Tasks_TaskID,$A176,Tasks_Tier,F$137,Tasks_Type,"reference"))</f>
        <v>0</v>
      </c>
      <c r="G176" s="3" t="str">
        <f aca="false">IF(COUNTIFS(Tasks_TaskID,$A176,Tasks_Tier,G$137)=0,"",SUMIFS(Tasks_Cost,Tasks_TaskID,$A176,Tasks_Tier,G$137,Tasks_Type,"reference"))</f>
        <v/>
      </c>
      <c r="H176" s="3" t="str">
        <f aca="false">IF(COUNTIFS(Tasks_TaskID,$A176,Tasks_Tier,H$137)=0,"",SUMIFS(Tasks_Cost,Tasks_TaskID,$A176,Tasks_Tier,H$137,Tasks_Type,"reference"))</f>
        <v/>
      </c>
      <c r="I176" s="3" t="str">
        <f aca="false">IF(COUNTIFS(Tasks_TaskID,$A176,Tasks_Tier,I$137)=0,"",SUMIFS(Tasks_Cost,Tasks_TaskID,$A176,Tasks_Tier,I$137,Tasks_Type,"reference"))</f>
        <v/>
      </c>
      <c r="J176" s="3" t="str">
        <f aca="false">IF(COUNTIFS(Tasks_TaskID,$A176,Tasks_Tier,J$137)=0,"",SUMIFS(Tasks_Cost,Tasks_TaskID,$A176,Tasks_Tier,J$137,Tasks_Type,"reference"))</f>
        <v/>
      </c>
      <c r="K176" s="3" t="str">
        <f aca="false">IF(COUNTIFS(Tasks_TaskID,$A176,Tasks_Tier,K$137)=0,"",SUMIFS(Tasks_Cost,Tasks_TaskID,$A176,Tasks_Tier,K$137,Tasks_Type,"reference"))</f>
        <v/>
      </c>
      <c r="L176" s="3" t="str">
        <f aca="false">IF(COUNTIFS(Tasks_TaskID,$A176,Tasks_Tier,L$137)=0,"",SUMIFS(Tasks_Cost,Tasks_TaskID,$A176,Tasks_Tier,L$137,Tasks_Type,"reference"))</f>
        <v/>
      </c>
      <c r="M176" s="3" t="str">
        <f aca="false">IF(COUNTIFS(Tasks_TaskID,$A176,Tasks_Tier,M$137)=0,"",SUMIFS(Tasks_Cost,Tasks_TaskID,$A176,Tasks_Tier,M$137,Tasks_Type,"reference"))</f>
        <v/>
      </c>
    </row>
    <row r="177" customFormat="false" ht="15" hidden="false" customHeight="false" outlineLevel="0" collapsed="false">
      <c r="A177" s="0" t="s">
        <v>1819</v>
      </c>
      <c r="B177" s="0" t="s">
        <v>939</v>
      </c>
      <c r="C177" s="0" t="s">
        <v>1820</v>
      </c>
      <c r="D177" s="3" t="n">
        <f aca="false">IF(COUNTIFS(Tasks_TaskID,$A177,Tasks_Tier,D$137)=0,"",SUMIFS(Tasks_Cost,Tasks_TaskID,$A177,Tasks_Tier,D$137,Tasks_Type,"reference"))</f>
        <v>0</v>
      </c>
      <c r="E177" s="3" t="n">
        <f aca="false">IF(COUNTIFS(Tasks_TaskID,$A177,Tasks_Tier,E$137)=0,"",SUMIFS(Tasks_Cost,Tasks_TaskID,$A177,Tasks_Tier,E$137,Tasks_Type,"reference"))</f>
        <v>0</v>
      </c>
      <c r="F177" s="3" t="n">
        <f aca="false">IF(COUNTIFS(Tasks_TaskID,$A177,Tasks_Tier,F$137)=0,"",SUMIFS(Tasks_Cost,Tasks_TaskID,$A177,Tasks_Tier,F$137,Tasks_Type,"reference"))</f>
        <v>0</v>
      </c>
      <c r="G177" s="3" t="str">
        <f aca="false">IF(COUNTIFS(Tasks_TaskID,$A177,Tasks_Tier,G$137)=0,"",SUMIFS(Tasks_Cost,Tasks_TaskID,$A177,Tasks_Tier,G$137,Tasks_Type,"reference"))</f>
        <v/>
      </c>
      <c r="H177" s="3" t="str">
        <f aca="false">IF(COUNTIFS(Tasks_TaskID,$A177,Tasks_Tier,H$137)=0,"",SUMIFS(Tasks_Cost,Tasks_TaskID,$A177,Tasks_Tier,H$137,Tasks_Type,"reference"))</f>
        <v/>
      </c>
      <c r="I177" s="3" t="str">
        <f aca="false">IF(COUNTIFS(Tasks_TaskID,$A177,Tasks_Tier,I$137)=0,"",SUMIFS(Tasks_Cost,Tasks_TaskID,$A177,Tasks_Tier,I$137,Tasks_Type,"reference"))</f>
        <v/>
      </c>
      <c r="J177" s="3" t="str">
        <f aca="false">IF(COUNTIFS(Tasks_TaskID,$A177,Tasks_Tier,J$137)=0,"",SUMIFS(Tasks_Cost,Tasks_TaskID,$A177,Tasks_Tier,J$137,Tasks_Type,"reference"))</f>
        <v/>
      </c>
      <c r="K177" s="3" t="str">
        <f aca="false">IF(COUNTIFS(Tasks_TaskID,$A177,Tasks_Tier,K$137)=0,"",SUMIFS(Tasks_Cost,Tasks_TaskID,$A177,Tasks_Tier,K$137,Tasks_Type,"reference"))</f>
        <v/>
      </c>
      <c r="L177" s="3" t="str">
        <f aca="false">IF(COUNTIFS(Tasks_TaskID,$A177,Tasks_Tier,L$137)=0,"",SUMIFS(Tasks_Cost,Tasks_TaskID,$A177,Tasks_Tier,L$137,Tasks_Type,"reference"))</f>
        <v/>
      </c>
      <c r="M177" s="3" t="str">
        <f aca="false">IF(COUNTIFS(Tasks_TaskID,$A177,Tasks_Tier,M$137)=0,"",SUMIFS(Tasks_Cost,Tasks_TaskID,$A177,Tasks_Tier,M$137,Tasks_Type,"reference"))</f>
        <v/>
      </c>
    </row>
    <row r="178" customFormat="false" ht="15" hidden="false" customHeight="false" outlineLevel="0" collapsed="false">
      <c r="A178" s="0" t="s">
        <v>1827</v>
      </c>
      <c r="B178" s="0" t="s">
        <v>939</v>
      </c>
      <c r="C178" s="0" t="s">
        <v>1828</v>
      </c>
      <c r="D178" s="3" t="n">
        <f aca="false">IF(COUNTIFS(Tasks_TaskID,$A178,Tasks_Tier,D$137)=0,"",SUMIFS(Tasks_Cost,Tasks_TaskID,$A178,Tasks_Tier,D$137,Tasks_Type,"reference"))</f>
        <v>0</v>
      </c>
      <c r="E178" s="3" t="n">
        <f aca="false">IF(COUNTIFS(Tasks_TaskID,$A178,Tasks_Tier,E$137)=0,"",SUMIFS(Tasks_Cost,Tasks_TaskID,$A178,Tasks_Tier,E$137,Tasks_Type,"reference"))</f>
        <v>0</v>
      </c>
      <c r="F178" s="3" t="n">
        <f aca="false">IF(COUNTIFS(Tasks_TaskID,$A178,Tasks_Tier,F$137)=0,"",SUMIFS(Tasks_Cost,Tasks_TaskID,$A178,Tasks_Tier,F$137,Tasks_Type,"reference"))</f>
        <v>0</v>
      </c>
      <c r="G178" s="3" t="str">
        <f aca="false">IF(COUNTIFS(Tasks_TaskID,$A178,Tasks_Tier,G$137)=0,"",SUMIFS(Tasks_Cost,Tasks_TaskID,$A178,Tasks_Tier,G$137,Tasks_Type,"reference"))</f>
        <v/>
      </c>
      <c r="H178" s="3" t="str">
        <f aca="false">IF(COUNTIFS(Tasks_TaskID,$A178,Tasks_Tier,H$137)=0,"",SUMIFS(Tasks_Cost,Tasks_TaskID,$A178,Tasks_Tier,H$137,Tasks_Type,"reference"))</f>
        <v/>
      </c>
      <c r="I178" s="3" t="str">
        <f aca="false">IF(COUNTIFS(Tasks_TaskID,$A178,Tasks_Tier,I$137)=0,"",SUMIFS(Tasks_Cost,Tasks_TaskID,$A178,Tasks_Tier,I$137,Tasks_Type,"reference"))</f>
        <v/>
      </c>
      <c r="J178" s="3" t="str">
        <f aca="false">IF(COUNTIFS(Tasks_TaskID,$A178,Tasks_Tier,J$137)=0,"",SUMIFS(Tasks_Cost,Tasks_TaskID,$A178,Tasks_Tier,J$137,Tasks_Type,"reference"))</f>
        <v/>
      </c>
      <c r="K178" s="3" t="str">
        <f aca="false">IF(COUNTIFS(Tasks_TaskID,$A178,Tasks_Tier,K$137)=0,"",SUMIFS(Tasks_Cost,Tasks_TaskID,$A178,Tasks_Tier,K$137,Tasks_Type,"reference"))</f>
        <v/>
      </c>
      <c r="L178" s="3" t="str">
        <f aca="false">IF(COUNTIFS(Tasks_TaskID,$A178,Tasks_Tier,L$137)=0,"",SUMIFS(Tasks_Cost,Tasks_TaskID,$A178,Tasks_Tier,L$137,Tasks_Type,"reference"))</f>
        <v/>
      </c>
      <c r="M178" s="3" t="str">
        <f aca="false">IF(COUNTIFS(Tasks_TaskID,$A178,Tasks_Tier,M$137)=0,"",SUMIFS(Tasks_Cost,Tasks_TaskID,$A178,Tasks_Tier,M$137,Tasks_Type,"reference"))</f>
        <v/>
      </c>
    </row>
    <row r="180" customFormat="false" ht="15" hidden="false" customHeight="false" outlineLevel="0" collapsed="false">
      <c r="A180" s="11" t="s">
        <v>1879</v>
      </c>
    </row>
    <row r="181" customFormat="false" ht="15" hidden="false" customHeight="false" outlineLevel="0" collapsed="false">
      <c r="A181" s="0" t="s">
        <v>1880</v>
      </c>
      <c r="D181" s="0" t="n">
        <f aca="false">COUNTIF(Sub_Diff,"&gt;5")+COUNTIF(Sub_Diff,"&lt;-5")</f>
        <v>11</v>
      </c>
    </row>
    <row r="182" customFormat="false" ht="15" hidden="false" customHeight="false" outlineLevel="0" collapsed="false">
      <c r="A182" s="0" t="s">
        <v>1881</v>
      </c>
      <c r="D182" s="9" t="n">
        <f aca="false">MAX(MAX(Sub_Diff),-MIN(Sub_Diff))</f>
        <v>1016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1"/>
    <col collapsed="false" customWidth="true" hidden="false" outlineLevel="0" max="3" min="3" style="0" width="4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15"/>
    <col collapsed="false" customWidth="true" hidden="false" outlineLevel="0" max="7" min="7" style="0" width="22"/>
    <col collapsed="false" customWidth="true" hidden="false" outlineLevel="0" max="8" min="8" style="0" width="13"/>
    <col collapsed="false" customWidth="true" hidden="false" outlineLevel="0" max="9" min="9" style="0" width="10"/>
    <col collapsed="false" customWidth="true" hidden="false" outlineLevel="0" max="11" min="10" style="0" width="15"/>
    <col collapsed="false" customWidth="true" hidden="false" outlineLevel="0" max="12" min="12" style="0" width="14"/>
    <col collapsed="false" customWidth="true" hidden="false" outlineLevel="0" max="13" min="13" style="0" width="16"/>
    <col collapsed="false" customWidth="true" hidden="false" outlineLevel="0" max="14" min="14" style="0" width="14"/>
    <col collapsed="false" customWidth="true" hidden="false" outlineLevel="0" max="15" min="15" style="0" width="30"/>
    <col collapsed="false" customWidth="true" hidden="false" outlineLevel="0" max="16" min="16" style="0" width="40"/>
    <col collapsed="false" customWidth="true" hidden="false" outlineLevel="0" max="17" min="17" style="0" width="34"/>
    <col collapsed="false" customWidth="true" hidden="false" outlineLevel="0" max="18" min="18" style="0" width="40"/>
  </cols>
  <sheetData>
    <row r="1" customFormat="false" ht="68.65" hidden="false" customHeight="false" outlineLevel="0" collapsed="false">
      <c r="A1" s="1" t="s">
        <v>1026</v>
      </c>
      <c r="B1" s="1" t="s">
        <v>1</v>
      </c>
      <c r="C1" s="1" t="s">
        <v>1027</v>
      </c>
      <c r="D1" s="1" t="s">
        <v>1028</v>
      </c>
      <c r="E1" s="1" t="s">
        <v>1882</v>
      </c>
      <c r="F1" s="1" t="s">
        <v>1883</v>
      </c>
      <c r="G1" s="1" t="s">
        <v>1884</v>
      </c>
      <c r="H1" s="1" t="s">
        <v>1885</v>
      </c>
      <c r="I1" s="1" t="s">
        <v>1886</v>
      </c>
      <c r="J1" s="1" t="s">
        <v>1887</v>
      </c>
      <c r="K1" s="1" t="s">
        <v>1888</v>
      </c>
      <c r="L1" s="1" t="s">
        <v>1889</v>
      </c>
      <c r="M1" s="1" t="s">
        <v>1890</v>
      </c>
      <c r="N1" s="1" t="s">
        <v>1891</v>
      </c>
      <c r="O1" s="1" t="s">
        <v>1892</v>
      </c>
      <c r="P1" s="1" t="s">
        <v>1036</v>
      </c>
      <c r="Q1" s="1" t="s">
        <v>1037</v>
      </c>
      <c r="R1" s="1" t="s">
        <v>1893</v>
      </c>
      <c r="T1" s="0" t="s">
        <v>1894</v>
      </c>
    </row>
    <row r="2" customFormat="false" ht="17.15" hidden="false" customHeight="false" outlineLevel="0" collapsed="false">
      <c r="A2" s="2" t="s">
        <v>1040</v>
      </c>
      <c r="B2" s="2" t="s">
        <v>20</v>
      </c>
      <c r="C2" s="2" t="s">
        <v>1041</v>
      </c>
      <c r="D2" s="2" t="s">
        <v>1042</v>
      </c>
      <c r="E2" s="2" t="s">
        <v>1895</v>
      </c>
      <c r="F2" s="3" t="n">
        <f aca="false">INDEX(Sum_Base,MATCH(A2,Sum_BaseTasks,0),MATCH(D2,Sum_BaseTiers,0))</f>
        <v>3363.21913</v>
      </c>
      <c r="G2" s="2" t="str">
        <f aca="false">IF(ISNUMBER(MATCH(A2&amp;"|"&amp;D2,LR_Key,0)),A2&amp;"|"&amp;D2,A2&amp;"|All")</f>
        <v>FIXX-PNT-001|All</v>
      </c>
      <c r="H2" s="3" t="n">
        <f aca="false">IFERROR(INDEX(LR_TypLabor,MATCH(G2,LR_Key,0)),"")</f>
        <v>4085</v>
      </c>
      <c r="I2" s="12" t="n">
        <f aca="false">INDEX(Urg_Mult,MATCH(E2,Urg_Levels,0))</f>
        <v>1</v>
      </c>
      <c r="J2" s="3" t="n">
        <f aca="false">IF(ISNUMBER(H2),MAX(H2,IFERROR(INDEX(MW_Floor,MATCH(G2,MW_Key,0)),0))*I2,"")</f>
        <v>4085</v>
      </c>
      <c r="K2" s="3" t="n">
        <f aca="false">IF(ISNUMBER(J2),F2+J2,"")</f>
        <v>7448.21913</v>
      </c>
      <c r="L2" s="3" t="n">
        <f aca="false">IF(ISNUMBER(H2),MAX(H2,IFERROR(INDEX(MW_Floor,MATCH(G2,MW_Key,0)),0))*I2,"")</f>
        <v>4085</v>
      </c>
      <c r="M2" s="2" t="str">
        <f aca="false">IFERROR(INDEX(LR_Flag,MATCH(G2,LR_Key,0)),"")</f>
        <v>none</v>
      </c>
      <c r="N2" s="2" t="str">
        <f aca="false">IFERROR(INDEX(MW_Check,MATCH(G2,MW_Key,0)),"")</f>
        <v>OK</v>
      </c>
      <c r="O2" s="0" t="str">
        <f aca="false">IF(NOT(ISNUMBER(H2)),"LABOR QUOTE NEEDED – total incomplete",IF(N2="BELOW FLOOR","CHECK: typical labor below wage floor – payout and customer labor raised to floor",IF(M2&lt;&gt;"none","Labor rate flagged: "&amp;M2,"OK")))</f>
        <v>OK</v>
      </c>
      <c r="P2" s="0" t="s">
        <v>1046</v>
      </c>
      <c r="Q2" s="8" t="s">
        <v>1047</v>
      </c>
      <c r="R2" s="2" t="str">
        <f aca="false">IF(OR(M2="regulated",COUNTIFS(Tasks_TaskID,A2,Tasks_Tier,D2,Tasks_Review,"base")&gt;0),"PENDING REVIEW – priced, not bookable until human approval",IF(COUNTIFS(Tasks_TaskID,A2,Tasks_Tier,D2,Tasks_Review,"as-needed")&gt;0,"Bookable (re-evaluate if regulated as-needed line selected)","Bookable"))</f>
        <v>Bookable</v>
      </c>
    </row>
    <row r="3" customFormat="false" ht="17.15" hidden="false" customHeight="false" outlineLevel="0" collapsed="false">
      <c r="A3" s="2" t="s">
        <v>1040</v>
      </c>
      <c r="B3" s="2" t="s">
        <v>20</v>
      </c>
      <c r="C3" s="2" t="s">
        <v>1041</v>
      </c>
      <c r="D3" s="2" t="s">
        <v>1042</v>
      </c>
      <c r="E3" s="2" t="s">
        <v>1896</v>
      </c>
      <c r="F3" s="3" t="n">
        <f aca="false">INDEX(Sum_Base,MATCH(A3,Sum_BaseTasks,0),MATCH(D3,Sum_BaseTiers,0))</f>
        <v>3363.21913</v>
      </c>
      <c r="G3" s="2" t="str">
        <f aca="false">IF(ISNUMBER(MATCH(A3&amp;"|"&amp;D3,LR_Key,0)),A3&amp;"|"&amp;D3,A3&amp;"|All")</f>
        <v>FIXX-PNT-001|All</v>
      </c>
      <c r="H3" s="3" t="n">
        <f aca="false">IFERROR(INDEX(LR_TypLabor,MATCH(G3,LR_Key,0)),"")</f>
        <v>4085</v>
      </c>
      <c r="I3" s="12" t="n">
        <f aca="false">INDEX(Urg_Mult,MATCH(E3,Urg_Levels,0))</f>
        <v>1.15</v>
      </c>
      <c r="J3" s="3" t="n">
        <f aca="false">IF(ISNUMBER(H3),MAX(H3,IFERROR(INDEX(MW_Floor,MATCH(G3,MW_Key,0)),0))*I3,"")</f>
        <v>4697.75</v>
      </c>
      <c r="K3" s="3" t="n">
        <f aca="false">IF(ISNUMBER(J3),F3+J3,"")</f>
        <v>8060.96913</v>
      </c>
      <c r="L3" s="3" t="n">
        <f aca="false">IF(ISNUMBER(H3),MAX(H3,IFERROR(INDEX(MW_Floor,MATCH(G3,MW_Key,0)),0))*I3,"")</f>
        <v>4697.75</v>
      </c>
      <c r="M3" s="2" t="str">
        <f aca="false">IFERROR(INDEX(LR_Flag,MATCH(G3,LR_Key,0)),"")</f>
        <v>none</v>
      </c>
      <c r="N3" s="2" t="str">
        <f aca="false">IFERROR(INDEX(MW_Check,MATCH(G3,MW_Key,0)),"")</f>
        <v>OK</v>
      </c>
      <c r="O3" s="0" t="str">
        <f aca="false">IF(NOT(ISNUMBER(H3)),"LABOR QUOTE NEEDED – total incomplete",IF(N3="BELOW FLOOR","CHECK: typical labor below wage floor – payout and customer labor raised to floor",IF(M3&lt;&gt;"none","Labor rate flagged: "&amp;M3,"OK")))</f>
        <v>OK</v>
      </c>
      <c r="P3" s="0" t="s">
        <v>1046</v>
      </c>
      <c r="Q3" s="8" t="s">
        <v>1047</v>
      </c>
      <c r="R3" s="2" t="str">
        <f aca="false">IF(OR(M3="regulated",COUNTIFS(Tasks_TaskID,A3,Tasks_Tier,D3,Tasks_Review,"base")&gt;0),"PENDING REVIEW – priced, not bookable until human approval",IF(COUNTIFS(Tasks_TaskID,A3,Tasks_Tier,D3,Tasks_Review,"as-needed")&gt;0,"Bookable (re-evaluate if regulated as-needed line selected)","Bookable"))</f>
        <v>Bookable</v>
      </c>
    </row>
    <row r="4" customFormat="false" ht="17.15" hidden="false" customHeight="false" outlineLevel="0" collapsed="false">
      <c r="A4" s="2" t="s">
        <v>1040</v>
      </c>
      <c r="B4" s="2" t="s">
        <v>20</v>
      </c>
      <c r="C4" s="2" t="s">
        <v>1041</v>
      </c>
      <c r="D4" s="2" t="s">
        <v>1042</v>
      </c>
      <c r="E4" s="2" t="s">
        <v>1897</v>
      </c>
      <c r="F4" s="3" t="n">
        <f aca="false">INDEX(Sum_Base,MATCH(A4,Sum_BaseTasks,0),MATCH(D4,Sum_BaseTiers,0))</f>
        <v>3363.21913</v>
      </c>
      <c r="G4" s="2" t="str">
        <f aca="false">IF(ISNUMBER(MATCH(A4&amp;"|"&amp;D4,LR_Key,0)),A4&amp;"|"&amp;D4,A4&amp;"|All")</f>
        <v>FIXX-PNT-001|All</v>
      </c>
      <c r="H4" s="3" t="n">
        <f aca="false">IFERROR(INDEX(LR_TypLabor,MATCH(G4,LR_Key,0)),"")</f>
        <v>4085</v>
      </c>
      <c r="I4" s="12" t="n">
        <f aca="false">INDEX(Urg_Mult,MATCH(E4,Urg_Levels,0))</f>
        <v>1.3</v>
      </c>
      <c r="J4" s="3" t="n">
        <f aca="false">IF(ISNUMBER(H4),MAX(H4,IFERROR(INDEX(MW_Floor,MATCH(G4,MW_Key,0)),0))*I4,"")</f>
        <v>5310.5</v>
      </c>
      <c r="K4" s="3" t="n">
        <f aca="false">IF(ISNUMBER(J4),F4+J4,"")</f>
        <v>8673.71913</v>
      </c>
      <c r="L4" s="3" t="n">
        <f aca="false">IF(ISNUMBER(H4),MAX(H4,IFERROR(INDEX(MW_Floor,MATCH(G4,MW_Key,0)),0))*I4,"")</f>
        <v>5310.5</v>
      </c>
      <c r="M4" s="2" t="str">
        <f aca="false">IFERROR(INDEX(LR_Flag,MATCH(G4,LR_Key,0)),"")</f>
        <v>none</v>
      </c>
      <c r="N4" s="2" t="str">
        <f aca="false">IFERROR(INDEX(MW_Check,MATCH(G4,MW_Key,0)),"")</f>
        <v>OK</v>
      </c>
      <c r="O4" s="0" t="str">
        <f aca="false">IF(NOT(ISNUMBER(H4)),"LABOR QUOTE NEEDED – total incomplete",IF(N4="BELOW FLOOR","CHECK: typical labor below wage floor – payout and customer labor raised to floor",IF(M4&lt;&gt;"none","Labor rate flagged: "&amp;M4,"OK")))</f>
        <v>OK</v>
      </c>
      <c r="P4" s="0" t="s">
        <v>1046</v>
      </c>
      <c r="Q4" s="8" t="s">
        <v>1047</v>
      </c>
      <c r="R4" s="2" t="str">
        <f aca="false">IF(OR(M4="regulated",COUNTIFS(Tasks_TaskID,A4,Tasks_Tier,D4,Tasks_Review,"base")&gt;0),"PENDING REVIEW – priced, not bookable until human approval",IF(COUNTIFS(Tasks_TaskID,A4,Tasks_Tier,D4,Tasks_Review,"as-needed")&gt;0,"Bookable (re-evaluate if regulated as-needed line selected)","Bookable"))</f>
        <v>Bookable</v>
      </c>
    </row>
    <row r="5" customFormat="false" ht="17.15" hidden="false" customHeight="false" outlineLevel="0" collapsed="false">
      <c r="A5" s="2" t="s">
        <v>1040</v>
      </c>
      <c r="B5" s="2" t="s">
        <v>20</v>
      </c>
      <c r="C5" s="2" t="s">
        <v>1041</v>
      </c>
      <c r="D5" s="2" t="s">
        <v>1042</v>
      </c>
      <c r="E5" s="2" t="s">
        <v>1898</v>
      </c>
      <c r="F5" s="3" t="n">
        <f aca="false">INDEX(Sum_Base,MATCH(A5,Sum_BaseTasks,0),MATCH(D5,Sum_BaseTiers,0))</f>
        <v>3363.21913</v>
      </c>
      <c r="G5" s="2" t="str">
        <f aca="false">IF(ISNUMBER(MATCH(A5&amp;"|"&amp;D5,LR_Key,0)),A5&amp;"|"&amp;D5,A5&amp;"|All")</f>
        <v>FIXX-PNT-001|All</v>
      </c>
      <c r="H5" s="3" t="n">
        <f aca="false">IFERROR(INDEX(LR_TypLabor,MATCH(G5,LR_Key,0)),"")</f>
        <v>4085</v>
      </c>
      <c r="I5" s="12" t="n">
        <f aca="false">INDEX(Urg_Mult,MATCH(E5,Urg_Levels,0))</f>
        <v>1.5</v>
      </c>
      <c r="J5" s="3" t="n">
        <f aca="false">IF(ISNUMBER(H5),MAX(H5,IFERROR(INDEX(MW_Floor,MATCH(G5,MW_Key,0)),0))*I5,"")</f>
        <v>6127.5</v>
      </c>
      <c r="K5" s="3" t="n">
        <f aca="false">IF(ISNUMBER(J5),F5+J5,"")</f>
        <v>9490.71913</v>
      </c>
      <c r="L5" s="3" t="n">
        <f aca="false">IF(ISNUMBER(H5),MAX(H5,IFERROR(INDEX(MW_Floor,MATCH(G5,MW_Key,0)),0))*I5,"")</f>
        <v>6127.5</v>
      </c>
      <c r="M5" s="2" t="str">
        <f aca="false">IFERROR(INDEX(LR_Flag,MATCH(G5,LR_Key,0)),"")</f>
        <v>none</v>
      </c>
      <c r="N5" s="2" t="str">
        <f aca="false">IFERROR(INDEX(MW_Check,MATCH(G5,MW_Key,0)),"")</f>
        <v>OK</v>
      </c>
      <c r="O5" s="0" t="str">
        <f aca="false">IF(NOT(ISNUMBER(H5)),"LABOR QUOTE NEEDED – total incomplete",IF(N5="BELOW FLOOR","CHECK: typical labor below wage floor – payout and customer labor raised to floor",IF(M5&lt;&gt;"none","Labor rate flagged: "&amp;M5,"OK")))</f>
        <v>OK</v>
      </c>
      <c r="P5" s="0" t="s">
        <v>1046</v>
      </c>
      <c r="Q5" s="8" t="s">
        <v>1047</v>
      </c>
      <c r="R5" s="2" t="str">
        <f aca="false">IF(OR(M5="regulated",COUNTIFS(Tasks_TaskID,A5,Tasks_Tier,D5,Tasks_Review,"base")&gt;0),"PENDING REVIEW – priced, not bookable until human approval",IF(COUNTIFS(Tasks_TaskID,A5,Tasks_Tier,D5,Tasks_Review,"as-needed")&gt;0,"Bookable (re-evaluate if regulated as-needed line selected)","Bookable"))</f>
        <v>Bookable</v>
      </c>
    </row>
    <row r="6" customFormat="false" ht="17.15" hidden="false" customHeight="false" outlineLevel="0" collapsed="false">
      <c r="A6" s="2" t="s">
        <v>1040</v>
      </c>
      <c r="B6" s="2" t="s">
        <v>20</v>
      </c>
      <c r="C6" s="2" t="s">
        <v>1041</v>
      </c>
      <c r="D6" s="2" t="s">
        <v>1049</v>
      </c>
      <c r="E6" s="2" t="s">
        <v>1895</v>
      </c>
      <c r="F6" s="3" t="n">
        <f aca="false">INDEX(Sum_Base,MATCH(A6,Sum_BaseTasks,0),MATCH(D6,Sum_BaseTiers,0))</f>
        <v>4182.21913</v>
      </c>
      <c r="G6" s="2" t="str">
        <f aca="false">IF(ISNUMBER(MATCH(A6&amp;"|"&amp;D6,LR_Key,0)),A6&amp;"|"&amp;D6,A6&amp;"|All")</f>
        <v>FIXX-PNT-001|All</v>
      </c>
      <c r="H6" s="3" t="n">
        <f aca="false">IFERROR(INDEX(LR_TypLabor,MATCH(G6,LR_Key,0)),"")</f>
        <v>4085</v>
      </c>
      <c r="I6" s="12" t="n">
        <f aca="false">INDEX(Urg_Mult,MATCH(E6,Urg_Levels,0))</f>
        <v>1</v>
      </c>
      <c r="J6" s="3" t="n">
        <f aca="false">IF(ISNUMBER(H6),MAX(H6,IFERROR(INDEX(MW_Floor,MATCH(G6,MW_Key,0)),0))*I6,"")</f>
        <v>4085</v>
      </c>
      <c r="K6" s="3" t="n">
        <f aca="false">IF(ISNUMBER(J6),F6+J6,"")</f>
        <v>8267.21913</v>
      </c>
      <c r="L6" s="3" t="n">
        <f aca="false">IF(ISNUMBER(H6),MAX(H6,IFERROR(INDEX(MW_Floor,MATCH(G6,MW_Key,0)),0))*I6,"")</f>
        <v>4085</v>
      </c>
      <c r="M6" s="2" t="str">
        <f aca="false">IFERROR(INDEX(LR_Flag,MATCH(G6,LR_Key,0)),"")</f>
        <v>none</v>
      </c>
      <c r="N6" s="2" t="str">
        <f aca="false">IFERROR(INDEX(MW_Check,MATCH(G6,MW_Key,0)),"")</f>
        <v>OK</v>
      </c>
      <c r="O6" s="0" t="str">
        <f aca="false">IF(NOT(ISNUMBER(H6)),"LABOR QUOTE NEEDED – total incomplete",IF(N6="BELOW FLOOR","CHECK: typical labor below wage floor – payout and customer labor raised to floor",IF(M6&lt;&gt;"none","Labor rate flagged: "&amp;M6,"OK")))</f>
        <v>OK</v>
      </c>
      <c r="P6" s="0" t="s">
        <v>1046</v>
      </c>
      <c r="Q6" s="8" t="s">
        <v>1047</v>
      </c>
      <c r="R6" s="2" t="str">
        <f aca="false">IF(OR(M6="regulated",COUNTIFS(Tasks_TaskID,A6,Tasks_Tier,D6,Tasks_Review,"base")&gt;0),"PENDING REVIEW – priced, not bookable until human approval",IF(COUNTIFS(Tasks_TaskID,A6,Tasks_Tier,D6,Tasks_Review,"as-needed")&gt;0,"Bookable (re-evaluate if regulated as-needed line selected)","Bookable"))</f>
        <v>Bookable</v>
      </c>
    </row>
    <row r="7" customFormat="false" ht="17.15" hidden="false" customHeight="false" outlineLevel="0" collapsed="false">
      <c r="A7" s="2" t="s">
        <v>1040</v>
      </c>
      <c r="B7" s="2" t="s">
        <v>20</v>
      </c>
      <c r="C7" s="2" t="s">
        <v>1041</v>
      </c>
      <c r="D7" s="2" t="s">
        <v>1049</v>
      </c>
      <c r="E7" s="2" t="s">
        <v>1896</v>
      </c>
      <c r="F7" s="3" t="n">
        <f aca="false">INDEX(Sum_Base,MATCH(A7,Sum_BaseTasks,0),MATCH(D7,Sum_BaseTiers,0))</f>
        <v>4182.21913</v>
      </c>
      <c r="G7" s="2" t="str">
        <f aca="false">IF(ISNUMBER(MATCH(A7&amp;"|"&amp;D7,LR_Key,0)),A7&amp;"|"&amp;D7,A7&amp;"|All")</f>
        <v>FIXX-PNT-001|All</v>
      </c>
      <c r="H7" s="3" t="n">
        <f aca="false">IFERROR(INDEX(LR_TypLabor,MATCH(G7,LR_Key,0)),"")</f>
        <v>4085</v>
      </c>
      <c r="I7" s="12" t="n">
        <f aca="false">INDEX(Urg_Mult,MATCH(E7,Urg_Levels,0))</f>
        <v>1.15</v>
      </c>
      <c r="J7" s="3" t="n">
        <f aca="false">IF(ISNUMBER(H7),MAX(H7,IFERROR(INDEX(MW_Floor,MATCH(G7,MW_Key,0)),0))*I7,"")</f>
        <v>4697.75</v>
      </c>
      <c r="K7" s="3" t="n">
        <f aca="false">IF(ISNUMBER(J7),F7+J7,"")</f>
        <v>8879.96913</v>
      </c>
      <c r="L7" s="3" t="n">
        <f aca="false">IF(ISNUMBER(H7),MAX(H7,IFERROR(INDEX(MW_Floor,MATCH(G7,MW_Key,0)),0))*I7,"")</f>
        <v>4697.75</v>
      </c>
      <c r="M7" s="2" t="str">
        <f aca="false">IFERROR(INDEX(LR_Flag,MATCH(G7,LR_Key,0)),"")</f>
        <v>none</v>
      </c>
      <c r="N7" s="2" t="str">
        <f aca="false">IFERROR(INDEX(MW_Check,MATCH(G7,MW_Key,0)),"")</f>
        <v>OK</v>
      </c>
      <c r="O7" s="0" t="str">
        <f aca="false">IF(NOT(ISNUMBER(H7)),"LABOR QUOTE NEEDED – total incomplete",IF(N7="BELOW FLOOR","CHECK: typical labor below wage floor – payout and customer labor raised to floor",IF(M7&lt;&gt;"none","Labor rate flagged: "&amp;M7,"OK")))</f>
        <v>OK</v>
      </c>
      <c r="P7" s="0" t="s">
        <v>1046</v>
      </c>
      <c r="Q7" s="8" t="s">
        <v>1047</v>
      </c>
      <c r="R7" s="2" t="str">
        <f aca="false">IF(OR(M7="regulated",COUNTIFS(Tasks_TaskID,A7,Tasks_Tier,D7,Tasks_Review,"base")&gt;0),"PENDING REVIEW – priced, not bookable until human approval",IF(COUNTIFS(Tasks_TaskID,A7,Tasks_Tier,D7,Tasks_Review,"as-needed")&gt;0,"Bookable (re-evaluate if regulated as-needed line selected)","Bookable"))</f>
        <v>Bookable</v>
      </c>
    </row>
    <row r="8" customFormat="false" ht="17.15" hidden="false" customHeight="false" outlineLevel="0" collapsed="false">
      <c r="A8" s="2" t="s">
        <v>1040</v>
      </c>
      <c r="B8" s="2" t="s">
        <v>20</v>
      </c>
      <c r="C8" s="2" t="s">
        <v>1041</v>
      </c>
      <c r="D8" s="2" t="s">
        <v>1049</v>
      </c>
      <c r="E8" s="2" t="s">
        <v>1897</v>
      </c>
      <c r="F8" s="3" t="n">
        <f aca="false">INDEX(Sum_Base,MATCH(A8,Sum_BaseTasks,0),MATCH(D8,Sum_BaseTiers,0))</f>
        <v>4182.21913</v>
      </c>
      <c r="G8" s="2" t="str">
        <f aca="false">IF(ISNUMBER(MATCH(A8&amp;"|"&amp;D8,LR_Key,0)),A8&amp;"|"&amp;D8,A8&amp;"|All")</f>
        <v>FIXX-PNT-001|All</v>
      </c>
      <c r="H8" s="3" t="n">
        <f aca="false">IFERROR(INDEX(LR_TypLabor,MATCH(G8,LR_Key,0)),"")</f>
        <v>4085</v>
      </c>
      <c r="I8" s="12" t="n">
        <f aca="false">INDEX(Urg_Mult,MATCH(E8,Urg_Levels,0))</f>
        <v>1.3</v>
      </c>
      <c r="J8" s="3" t="n">
        <f aca="false">IF(ISNUMBER(H8),MAX(H8,IFERROR(INDEX(MW_Floor,MATCH(G8,MW_Key,0)),0))*I8,"")</f>
        <v>5310.5</v>
      </c>
      <c r="K8" s="3" t="n">
        <f aca="false">IF(ISNUMBER(J8),F8+J8,"")</f>
        <v>9492.71913</v>
      </c>
      <c r="L8" s="3" t="n">
        <f aca="false">IF(ISNUMBER(H8),MAX(H8,IFERROR(INDEX(MW_Floor,MATCH(G8,MW_Key,0)),0))*I8,"")</f>
        <v>5310.5</v>
      </c>
      <c r="M8" s="2" t="str">
        <f aca="false">IFERROR(INDEX(LR_Flag,MATCH(G8,LR_Key,0)),"")</f>
        <v>none</v>
      </c>
      <c r="N8" s="2" t="str">
        <f aca="false">IFERROR(INDEX(MW_Check,MATCH(G8,MW_Key,0)),"")</f>
        <v>OK</v>
      </c>
      <c r="O8" s="0" t="str">
        <f aca="false">IF(NOT(ISNUMBER(H8)),"LABOR QUOTE NEEDED – total incomplete",IF(N8="BELOW FLOOR","CHECK: typical labor below wage floor – payout and customer labor raised to floor",IF(M8&lt;&gt;"none","Labor rate flagged: "&amp;M8,"OK")))</f>
        <v>OK</v>
      </c>
      <c r="P8" s="0" t="s">
        <v>1046</v>
      </c>
      <c r="Q8" s="8" t="s">
        <v>1047</v>
      </c>
      <c r="R8" s="2" t="str">
        <f aca="false">IF(OR(M8="regulated",COUNTIFS(Tasks_TaskID,A8,Tasks_Tier,D8,Tasks_Review,"base")&gt;0),"PENDING REVIEW – priced, not bookable until human approval",IF(COUNTIFS(Tasks_TaskID,A8,Tasks_Tier,D8,Tasks_Review,"as-needed")&gt;0,"Bookable (re-evaluate if regulated as-needed line selected)","Bookable"))</f>
        <v>Bookable</v>
      </c>
    </row>
    <row r="9" customFormat="false" ht="17.15" hidden="false" customHeight="false" outlineLevel="0" collapsed="false">
      <c r="A9" s="2" t="s">
        <v>1040</v>
      </c>
      <c r="B9" s="2" t="s">
        <v>20</v>
      </c>
      <c r="C9" s="2" t="s">
        <v>1041</v>
      </c>
      <c r="D9" s="2" t="s">
        <v>1049</v>
      </c>
      <c r="E9" s="2" t="s">
        <v>1898</v>
      </c>
      <c r="F9" s="3" t="n">
        <f aca="false">INDEX(Sum_Base,MATCH(A9,Sum_BaseTasks,0),MATCH(D9,Sum_BaseTiers,0))</f>
        <v>4182.21913</v>
      </c>
      <c r="G9" s="2" t="str">
        <f aca="false">IF(ISNUMBER(MATCH(A9&amp;"|"&amp;D9,LR_Key,0)),A9&amp;"|"&amp;D9,A9&amp;"|All")</f>
        <v>FIXX-PNT-001|All</v>
      </c>
      <c r="H9" s="3" t="n">
        <f aca="false">IFERROR(INDEX(LR_TypLabor,MATCH(G9,LR_Key,0)),"")</f>
        <v>4085</v>
      </c>
      <c r="I9" s="12" t="n">
        <f aca="false">INDEX(Urg_Mult,MATCH(E9,Urg_Levels,0))</f>
        <v>1.5</v>
      </c>
      <c r="J9" s="3" t="n">
        <f aca="false">IF(ISNUMBER(H9),MAX(H9,IFERROR(INDEX(MW_Floor,MATCH(G9,MW_Key,0)),0))*I9,"")</f>
        <v>6127.5</v>
      </c>
      <c r="K9" s="3" t="n">
        <f aca="false">IF(ISNUMBER(J9),F9+J9,"")</f>
        <v>10309.71913</v>
      </c>
      <c r="L9" s="3" t="n">
        <f aca="false">IF(ISNUMBER(H9),MAX(H9,IFERROR(INDEX(MW_Floor,MATCH(G9,MW_Key,0)),0))*I9,"")</f>
        <v>6127.5</v>
      </c>
      <c r="M9" s="2" t="str">
        <f aca="false">IFERROR(INDEX(LR_Flag,MATCH(G9,LR_Key,0)),"")</f>
        <v>none</v>
      </c>
      <c r="N9" s="2" t="str">
        <f aca="false">IFERROR(INDEX(MW_Check,MATCH(G9,MW_Key,0)),"")</f>
        <v>OK</v>
      </c>
      <c r="O9" s="0" t="str">
        <f aca="false">IF(NOT(ISNUMBER(H9)),"LABOR QUOTE NEEDED – total incomplete",IF(N9="BELOW FLOOR","CHECK: typical labor below wage floor – payout and customer labor raised to floor",IF(M9&lt;&gt;"none","Labor rate flagged: "&amp;M9,"OK")))</f>
        <v>OK</v>
      </c>
      <c r="P9" s="0" t="s">
        <v>1046</v>
      </c>
      <c r="Q9" s="8" t="s">
        <v>1047</v>
      </c>
      <c r="R9" s="2" t="str">
        <f aca="false">IF(OR(M9="regulated",COUNTIFS(Tasks_TaskID,A9,Tasks_Tier,D9,Tasks_Review,"base")&gt;0),"PENDING REVIEW – priced, not bookable until human approval",IF(COUNTIFS(Tasks_TaskID,A9,Tasks_Tier,D9,Tasks_Review,"as-needed")&gt;0,"Bookable (re-evaluate if regulated as-needed line selected)","Bookable"))</f>
        <v>Bookable</v>
      </c>
    </row>
    <row r="10" customFormat="false" ht="17.15" hidden="false" customHeight="false" outlineLevel="0" collapsed="false">
      <c r="A10" s="2" t="s">
        <v>1040</v>
      </c>
      <c r="B10" s="2" t="s">
        <v>20</v>
      </c>
      <c r="C10" s="2" t="s">
        <v>1041</v>
      </c>
      <c r="D10" s="2" t="s">
        <v>1051</v>
      </c>
      <c r="E10" s="2" t="s">
        <v>1895</v>
      </c>
      <c r="F10" s="3" t="n">
        <f aca="false">INDEX(Sum_Base,MATCH(A10,Sum_BaseTasks,0),MATCH(D10,Sum_BaseTiers,0))</f>
        <v>5215.71913</v>
      </c>
      <c r="G10" s="2" t="str">
        <f aca="false">IF(ISNUMBER(MATCH(A10&amp;"|"&amp;D10,LR_Key,0)),A10&amp;"|"&amp;D10,A10&amp;"|All")</f>
        <v>FIXX-PNT-001|All</v>
      </c>
      <c r="H10" s="3" t="n">
        <f aca="false">IFERROR(INDEX(LR_TypLabor,MATCH(G10,LR_Key,0)),"")</f>
        <v>4085</v>
      </c>
      <c r="I10" s="12" t="n">
        <f aca="false">INDEX(Urg_Mult,MATCH(E10,Urg_Levels,0))</f>
        <v>1</v>
      </c>
      <c r="J10" s="3" t="n">
        <f aca="false">IF(ISNUMBER(H10),MAX(H10,IFERROR(INDEX(MW_Floor,MATCH(G10,MW_Key,0)),0))*I10,"")</f>
        <v>4085</v>
      </c>
      <c r="K10" s="3" t="n">
        <f aca="false">IF(ISNUMBER(J10),F10+J10,"")</f>
        <v>9300.71913</v>
      </c>
      <c r="L10" s="3" t="n">
        <f aca="false">IF(ISNUMBER(H10),MAX(H10,IFERROR(INDEX(MW_Floor,MATCH(G10,MW_Key,0)),0))*I10,"")</f>
        <v>4085</v>
      </c>
      <c r="M10" s="2" t="str">
        <f aca="false">IFERROR(INDEX(LR_Flag,MATCH(G10,LR_Key,0)),"")</f>
        <v>none</v>
      </c>
      <c r="N10" s="2" t="str">
        <f aca="false">IFERROR(INDEX(MW_Check,MATCH(G10,MW_Key,0)),"")</f>
        <v>OK</v>
      </c>
      <c r="O10" s="0" t="str">
        <f aca="false">IF(NOT(ISNUMBER(H10)),"LABOR QUOTE NEEDED – total incomplete",IF(N10="BELOW FLOOR","CHECK: typical labor below wage floor – payout and customer labor raised to floor",IF(M10&lt;&gt;"none","Labor rate flagged: "&amp;M10,"OK")))</f>
        <v>OK</v>
      </c>
      <c r="P10" s="0" t="s">
        <v>1046</v>
      </c>
      <c r="Q10" s="8" t="s">
        <v>1047</v>
      </c>
      <c r="R10" s="2" t="str">
        <f aca="false">IF(OR(M10="regulated",COUNTIFS(Tasks_TaskID,A10,Tasks_Tier,D10,Tasks_Review,"base")&gt;0),"PENDING REVIEW – priced, not bookable until human approval",IF(COUNTIFS(Tasks_TaskID,A10,Tasks_Tier,D10,Tasks_Review,"as-needed")&gt;0,"Bookable (re-evaluate if regulated as-needed line selected)","Bookable"))</f>
        <v>Bookable</v>
      </c>
    </row>
    <row r="11" customFormat="false" ht="17.15" hidden="false" customHeight="false" outlineLevel="0" collapsed="false">
      <c r="A11" s="2" t="s">
        <v>1040</v>
      </c>
      <c r="B11" s="2" t="s">
        <v>20</v>
      </c>
      <c r="C11" s="2" t="s">
        <v>1041</v>
      </c>
      <c r="D11" s="2" t="s">
        <v>1051</v>
      </c>
      <c r="E11" s="2" t="s">
        <v>1896</v>
      </c>
      <c r="F11" s="3" t="n">
        <f aca="false">INDEX(Sum_Base,MATCH(A11,Sum_BaseTasks,0),MATCH(D11,Sum_BaseTiers,0))</f>
        <v>5215.71913</v>
      </c>
      <c r="G11" s="2" t="str">
        <f aca="false">IF(ISNUMBER(MATCH(A11&amp;"|"&amp;D11,LR_Key,0)),A11&amp;"|"&amp;D11,A11&amp;"|All")</f>
        <v>FIXX-PNT-001|All</v>
      </c>
      <c r="H11" s="3" t="n">
        <f aca="false">IFERROR(INDEX(LR_TypLabor,MATCH(G11,LR_Key,0)),"")</f>
        <v>4085</v>
      </c>
      <c r="I11" s="12" t="n">
        <f aca="false">INDEX(Urg_Mult,MATCH(E11,Urg_Levels,0))</f>
        <v>1.15</v>
      </c>
      <c r="J11" s="3" t="n">
        <f aca="false">IF(ISNUMBER(H11),MAX(H11,IFERROR(INDEX(MW_Floor,MATCH(G11,MW_Key,0)),0))*I11,"")</f>
        <v>4697.75</v>
      </c>
      <c r="K11" s="3" t="n">
        <f aca="false">IF(ISNUMBER(J11),F11+J11,"")</f>
        <v>9913.46913</v>
      </c>
      <c r="L11" s="3" t="n">
        <f aca="false">IF(ISNUMBER(H11),MAX(H11,IFERROR(INDEX(MW_Floor,MATCH(G11,MW_Key,0)),0))*I11,"")</f>
        <v>4697.75</v>
      </c>
      <c r="M11" s="2" t="str">
        <f aca="false">IFERROR(INDEX(LR_Flag,MATCH(G11,LR_Key,0)),"")</f>
        <v>none</v>
      </c>
      <c r="N11" s="2" t="str">
        <f aca="false">IFERROR(INDEX(MW_Check,MATCH(G11,MW_Key,0)),"")</f>
        <v>OK</v>
      </c>
      <c r="O11" s="0" t="str">
        <f aca="false">IF(NOT(ISNUMBER(H11)),"LABOR QUOTE NEEDED – total incomplete",IF(N11="BELOW FLOOR","CHECK: typical labor below wage floor – payout and customer labor raised to floor",IF(M11&lt;&gt;"none","Labor rate flagged: "&amp;M11,"OK")))</f>
        <v>OK</v>
      </c>
      <c r="P11" s="0" t="s">
        <v>1046</v>
      </c>
      <c r="Q11" s="8" t="s">
        <v>1047</v>
      </c>
      <c r="R11" s="2" t="str">
        <f aca="false">IF(OR(M11="regulated",COUNTIFS(Tasks_TaskID,A11,Tasks_Tier,D11,Tasks_Review,"base")&gt;0),"PENDING REVIEW – priced, not bookable until human approval",IF(COUNTIFS(Tasks_TaskID,A11,Tasks_Tier,D11,Tasks_Review,"as-needed")&gt;0,"Bookable (re-evaluate if regulated as-needed line selected)","Bookable"))</f>
        <v>Bookable</v>
      </c>
    </row>
    <row r="12" customFormat="false" ht="17.15" hidden="false" customHeight="false" outlineLevel="0" collapsed="false">
      <c r="A12" s="2" t="s">
        <v>1040</v>
      </c>
      <c r="B12" s="2" t="s">
        <v>20</v>
      </c>
      <c r="C12" s="2" t="s">
        <v>1041</v>
      </c>
      <c r="D12" s="2" t="s">
        <v>1051</v>
      </c>
      <c r="E12" s="2" t="s">
        <v>1897</v>
      </c>
      <c r="F12" s="3" t="n">
        <f aca="false">INDEX(Sum_Base,MATCH(A12,Sum_BaseTasks,0),MATCH(D12,Sum_BaseTiers,0))</f>
        <v>5215.71913</v>
      </c>
      <c r="G12" s="2" t="str">
        <f aca="false">IF(ISNUMBER(MATCH(A12&amp;"|"&amp;D12,LR_Key,0)),A12&amp;"|"&amp;D12,A12&amp;"|All")</f>
        <v>FIXX-PNT-001|All</v>
      </c>
      <c r="H12" s="3" t="n">
        <f aca="false">IFERROR(INDEX(LR_TypLabor,MATCH(G12,LR_Key,0)),"")</f>
        <v>4085</v>
      </c>
      <c r="I12" s="12" t="n">
        <f aca="false">INDEX(Urg_Mult,MATCH(E12,Urg_Levels,0))</f>
        <v>1.3</v>
      </c>
      <c r="J12" s="3" t="n">
        <f aca="false">IF(ISNUMBER(H12),MAX(H12,IFERROR(INDEX(MW_Floor,MATCH(G12,MW_Key,0)),0))*I12,"")</f>
        <v>5310.5</v>
      </c>
      <c r="K12" s="3" t="n">
        <f aca="false">IF(ISNUMBER(J12),F12+J12,"")</f>
        <v>10526.21913</v>
      </c>
      <c r="L12" s="3" t="n">
        <f aca="false">IF(ISNUMBER(H12),MAX(H12,IFERROR(INDEX(MW_Floor,MATCH(G12,MW_Key,0)),0))*I12,"")</f>
        <v>5310.5</v>
      </c>
      <c r="M12" s="2" t="str">
        <f aca="false">IFERROR(INDEX(LR_Flag,MATCH(G12,LR_Key,0)),"")</f>
        <v>none</v>
      </c>
      <c r="N12" s="2" t="str">
        <f aca="false">IFERROR(INDEX(MW_Check,MATCH(G12,MW_Key,0)),"")</f>
        <v>OK</v>
      </c>
      <c r="O12" s="0" t="str">
        <f aca="false">IF(NOT(ISNUMBER(H12)),"LABOR QUOTE NEEDED – total incomplete",IF(N12="BELOW FLOOR","CHECK: typical labor below wage floor – payout and customer labor raised to floor",IF(M12&lt;&gt;"none","Labor rate flagged: "&amp;M12,"OK")))</f>
        <v>OK</v>
      </c>
      <c r="P12" s="0" t="s">
        <v>1046</v>
      </c>
      <c r="Q12" s="8" t="s">
        <v>1047</v>
      </c>
      <c r="R12" s="2" t="str">
        <f aca="false">IF(OR(M12="regulated",COUNTIFS(Tasks_TaskID,A12,Tasks_Tier,D12,Tasks_Review,"base")&gt;0),"PENDING REVIEW – priced, not bookable until human approval",IF(COUNTIFS(Tasks_TaskID,A12,Tasks_Tier,D12,Tasks_Review,"as-needed")&gt;0,"Bookable (re-evaluate if regulated as-needed line selected)","Bookable"))</f>
        <v>Bookable</v>
      </c>
    </row>
    <row r="13" customFormat="false" ht="17.15" hidden="false" customHeight="false" outlineLevel="0" collapsed="false">
      <c r="A13" s="2" t="s">
        <v>1040</v>
      </c>
      <c r="B13" s="2" t="s">
        <v>20</v>
      </c>
      <c r="C13" s="2" t="s">
        <v>1041</v>
      </c>
      <c r="D13" s="2" t="s">
        <v>1051</v>
      </c>
      <c r="E13" s="2" t="s">
        <v>1898</v>
      </c>
      <c r="F13" s="3" t="n">
        <f aca="false">INDEX(Sum_Base,MATCH(A13,Sum_BaseTasks,0),MATCH(D13,Sum_BaseTiers,0))</f>
        <v>5215.71913</v>
      </c>
      <c r="G13" s="2" t="str">
        <f aca="false">IF(ISNUMBER(MATCH(A13&amp;"|"&amp;D13,LR_Key,0)),A13&amp;"|"&amp;D13,A13&amp;"|All")</f>
        <v>FIXX-PNT-001|All</v>
      </c>
      <c r="H13" s="3" t="n">
        <f aca="false">IFERROR(INDEX(LR_TypLabor,MATCH(G13,LR_Key,0)),"")</f>
        <v>4085</v>
      </c>
      <c r="I13" s="12" t="n">
        <f aca="false">INDEX(Urg_Mult,MATCH(E13,Urg_Levels,0))</f>
        <v>1.5</v>
      </c>
      <c r="J13" s="3" t="n">
        <f aca="false">IF(ISNUMBER(H13),MAX(H13,IFERROR(INDEX(MW_Floor,MATCH(G13,MW_Key,0)),0))*I13,"")</f>
        <v>6127.5</v>
      </c>
      <c r="K13" s="3" t="n">
        <f aca="false">IF(ISNUMBER(J13),F13+J13,"")</f>
        <v>11343.21913</v>
      </c>
      <c r="L13" s="3" t="n">
        <f aca="false">IF(ISNUMBER(H13),MAX(H13,IFERROR(INDEX(MW_Floor,MATCH(G13,MW_Key,0)),0))*I13,"")</f>
        <v>6127.5</v>
      </c>
      <c r="M13" s="2" t="str">
        <f aca="false">IFERROR(INDEX(LR_Flag,MATCH(G13,LR_Key,0)),"")</f>
        <v>none</v>
      </c>
      <c r="N13" s="2" t="str">
        <f aca="false">IFERROR(INDEX(MW_Check,MATCH(G13,MW_Key,0)),"")</f>
        <v>OK</v>
      </c>
      <c r="O13" s="0" t="str">
        <f aca="false">IF(NOT(ISNUMBER(H13)),"LABOR QUOTE NEEDED – total incomplete",IF(N13="BELOW FLOOR","CHECK: typical labor below wage floor – payout and customer labor raised to floor",IF(M13&lt;&gt;"none","Labor rate flagged: "&amp;M13,"OK")))</f>
        <v>OK</v>
      </c>
      <c r="P13" s="0" t="s">
        <v>1046</v>
      </c>
      <c r="Q13" s="8" t="s">
        <v>1047</v>
      </c>
      <c r="R13" s="2" t="str">
        <f aca="false">IF(OR(M13="regulated",COUNTIFS(Tasks_TaskID,A13,Tasks_Tier,D13,Tasks_Review,"base")&gt;0),"PENDING REVIEW – priced, not bookable until human approval",IF(COUNTIFS(Tasks_TaskID,A13,Tasks_Tier,D13,Tasks_Review,"as-needed")&gt;0,"Bookable (re-evaluate if regulated as-needed line selected)","Bookable"))</f>
        <v>Bookable</v>
      </c>
    </row>
    <row r="14" customFormat="false" ht="17.15" hidden="false" customHeight="false" outlineLevel="0" collapsed="false">
      <c r="A14" s="2" t="s">
        <v>1053</v>
      </c>
      <c r="B14" s="2" t="s">
        <v>52</v>
      </c>
      <c r="C14" s="2" t="s">
        <v>1054</v>
      </c>
      <c r="D14" s="2" t="s">
        <v>1055</v>
      </c>
      <c r="E14" s="2" t="s">
        <v>1895</v>
      </c>
      <c r="F14" s="3" t="n">
        <f aca="false">INDEX(Sum_Base,MATCH(A14,Sum_BaseTasks,0),MATCH(D14,Sum_BaseTiers,0))</f>
        <v>981.5</v>
      </c>
      <c r="G14" s="2" t="str">
        <f aca="false">IF(ISNUMBER(MATCH(A14&amp;"|"&amp;D14,LR_Key,0)),A14&amp;"|"&amp;D14,A14&amp;"|All")</f>
        <v>FIXX-HVC-001|1 t</v>
      </c>
      <c r="H14" s="3" t="n">
        <f aca="false">IFERROR(INDEX(LR_TypLabor,MATCH(G14,LR_Key,0)),"")</f>
        <v>1500</v>
      </c>
      <c r="I14" s="12" t="n">
        <f aca="false">INDEX(Urg_Mult,MATCH(E14,Urg_Levels,0))</f>
        <v>1</v>
      </c>
      <c r="J14" s="3" t="n">
        <f aca="false">IF(ISNUMBER(H14),MAX(H14,IFERROR(INDEX(MW_Floor,MATCH(G14,MW_Key,0)),0))*I14,"")</f>
        <v>1500</v>
      </c>
      <c r="K14" s="3" t="n">
        <f aca="false">IF(ISNUMBER(J14),F14+J14,"")</f>
        <v>2481.5</v>
      </c>
      <c r="L14" s="3" t="n">
        <f aca="false">IF(ISNUMBER(H14),MAX(H14,IFERROR(INDEX(MW_Floor,MATCH(G14,MW_Key,0)),0))*I14,"")</f>
        <v>1500</v>
      </c>
      <c r="M14" s="2" t="str">
        <f aca="false">IFERROR(INDEX(LR_Flag,MATCH(G14,LR_Key,0)),"")</f>
        <v>none</v>
      </c>
      <c r="N14" s="2" t="str">
        <f aca="false">IFERROR(INDEX(MW_Check,MATCH(G14,MW_Key,0)),"")</f>
        <v>OK</v>
      </c>
      <c r="O14" s="0" t="str">
        <f aca="false">IF(NOT(ISNUMBER(H14)),"LABOR QUOTE NEEDED – total incomplete",IF(N14="BELOW FLOOR","CHECK: typical labor below wage floor – payout and customer labor raised to floor",IF(M14&lt;&gt;"none","Labor rate flagged: "&amp;M14,"OK")))</f>
        <v>OK</v>
      </c>
      <c r="P14" s="0" t="s">
        <v>1057</v>
      </c>
      <c r="Q14" s="8" t="s">
        <v>1058</v>
      </c>
      <c r="R14" s="2" t="str">
        <f aca="false">IF(OR(M14="regulated",COUNTIFS(Tasks_TaskID,A14,Tasks_Tier,D14,Tasks_Review,"base")&gt;0),"PENDING REVIEW – priced, not bookable until human approval",IF(COUNTIFS(Tasks_TaskID,A14,Tasks_Tier,D14,Tasks_Review,"as-needed")&gt;0,"Bookable (re-evaluate if regulated as-needed line selected)","Bookable"))</f>
        <v>Bookable (re-evaluate if regulated as-needed line selected)</v>
      </c>
    </row>
    <row r="15" customFormat="false" ht="17.15" hidden="false" customHeight="false" outlineLevel="0" collapsed="false">
      <c r="A15" s="2" t="s">
        <v>1053</v>
      </c>
      <c r="B15" s="2" t="s">
        <v>52</v>
      </c>
      <c r="C15" s="2" t="s">
        <v>1054</v>
      </c>
      <c r="D15" s="2" t="s">
        <v>1055</v>
      </c>
      <c r="E15" s="2" t="s">
        <v>1896</v>
      </c>
      <c r="F15" s="3" t="n">
        <f aca="false">INDEX(Sum_Base,MATCH(A15,Sum_BaseTasks,0),MATCH(D15,Sum_BaseTiers,0))</f>
        <v>981.5</v>
      </c>
      <c r="G15" s="2" t="str">
        <f aca="false">IF(ISNUMBER(MATCH(A15&amp;"|"&amp;D15,LR_Key,0)),A15&amp;"|"&amp;D15,A15&amp;"|All")</f>
        <v>FIXX-HVC-001|1 t</v>
      </c>
      <c r="H15" s="3" t="n">
        <f aca="false">IFERROR(INDEX(LR_TypLabor,MATCH(G15,LR_Key,0)),"")</f>
        <v>1500</v>
      </c>
      <c r="I15" s="12" t="n">
        <f aca="false">INDEX(Urg_Mult,MATCH(E15,Urg_Levels,0))</f>
        <v>1.15</v>
      </c>
      <c r="J15" s="3" t="n">
        <f aca="false">IF(ISNUMBER(H15),MAX(H15,IFERROR(INDEX(MW_Floor,MATCH(G15,MW_Key,0)),0))*I15,"")</f>
        <v>1725</v>
      </c>
      <c r="K15" s="3" t="n">
        <f aca="false">IF(ISNUMBER(J15),F15+J15,"")</f>
        <v>2706.5</v>
      </c>
      <c r="L15" s="3" t="n">
        <f aca="false">IF(ISNUMBER(H15),MAX(H15,IFERROR(INDEX(MW_Floor,MATCH(G15,MW_Key,0)),0))*I15,"")</f>
        <v>1725</v>
      </c>
      <c r="M15" s="2" t="str">
        <f aca="false">IFERROR(INDEX(LR_Flag,MATCH(G15,LR_Key,0)),"")</f>
        <v>none</v>
      </c>
      <c r="N15" s="2" t="str">
        <f aca="false">IFERROR(INDEX(MW_Check,MATCH(G15,MW_Key,0)),"")</f>
        <v>OK</v>
      </c>
      <c r="O15" s="0" t="str">
        <f aca="false">IF(NOT(ISNUMBER(H15)),"LABOR QUOTE NEEDED – total incomplete",IF(N15="BELOW FLOOR","CHECK: typical labor below wage floor – payout and customer labor raised to floor",IF(M15&lt;&gt;"none","Labor rate flagged: "&amp;M15,"OK")))</f>
        <v>OK</v>
      </c>
      <c r="P15" s="0" t="s">
        <v>1057</v>
      </c>
      <c r="Q15" s="8" t="s">
        <v>1058</v>
      </c>
      <c r="R15" s="2" t="str">
        <f aca="false">IF(OR(M15="regulated",COUNTIFS(Tasks_TaskID,A15,Tasks_Tier,D15,Tasks_Review,"base")&gt;0),"PENDING REVIEW – priced, not bookable until human approval",IF(COUNTIFS(Tasks_TaskID,A15,Tasks_Tier,D15,Tasks_Review,"as-needed")&gt;0,"Bookable (re-evaluate if regulated as-needed line selected)","Bookable"))</f>
        <v>Bookable (re-evaluate if regulated as-needed line selected)</v>
      </c>
    </row>
    <row r="16" customFormat="false" ht="17.15" hidden="false" customHeight="false" outlineLevel="0" collapsed="false">
      <c r="A16" s="2" t="s">
        <v>1053</v>
      </c>
      <c r="B16" s="2" t="s">
        <v>52</v>
      </c>
      <c r="C16" s="2" t="s">
        <v>1054</v>
      </c>
      <c r="D16" s="2" t="s">
        <v>1055</v>
      </c>
      <c r="E16" s="2" t="s">
        <v>1897</v>
      </c>
      <c r="F16" s="3" t="n">
        <f aca="false">INDEX(Sum_Base,MATCH(A16,Sum_BaseTasks,0),MATCH(D16,Sum_BaseTiers,0))</f>
        <v>981.5</v>
      </c>
      <c r="G16" s="2" t="str">
        <f aca="false">IF(ISNUMBER(MATCH(A16&amp;"|"&amp;D16,LR_Key,0)),A16&amp;"|"&amp;D16,A16&amp;"|All")</f>
        <v>FIXX-HVC-001|1 t</v>
      </c>
      <c r="H16" s="3" t="n">
        <f aca="false">IFERROR(INDEX(LR_TypLabor,MATCH(G16,LR_Key,0)),"")</f>
        <v>1500</v>
      </c>
      <c r="I16" s="12" t="n">
        <f aca="false">INDEX(Urg_Mult,MATCH(E16,Urg_Levels,0))</f>
        <v>1.3</v>
      </c>
      <c r="J16" s="3" t="n">
        <f aca="false">IF(ISNUMBER(H16),MAX(H16,IFERROR(INDEX(MW_Floor,MATCH(G16,MW_Key,0)),0))*I16,"")</f>
        <v>1950</v>
      </c>
      <c r="K16" s="3" t="n">
        <f aca="false">IF(ISNUMBER(J16),F16+J16,"")</f>
        <v>2931.5</v>
      </c>
      <c r="L16" s="3" t="n">
        <f aca="false">IF(ISNUMBER(H16),MAX(H16,IFERROR(INDEX(MW_Floor,MATCH(G16,MW_Key,0)),0))*I16,"")</f>
        <v>1950</v>
      </c>
      <c r="M16" s="2" t="str">
        <f aca="false">IFERROR(INDEX(LR_Flag,MATCH(G16,LR_Key,0)),"")</f>
        <v>none</v>
      </c>
      <c r="N16" s="2" t="str">
        <f aca="false">IFERROR(INDEX(MW_Check,MATCH(G16,MW_Key,0)),"")</f>
        <v>OK</v>
      </c>
      <c r="O16" s="0" t="str">
        <f aca="false">IF(NOT(ISNUMBER(H16)),"LABOR QUOTE NEEDED – total incomplete",IF(N16="BELOW FLOOR","CHECK: typical labor below wage floor – payout and customer labor raised to floor",IF(M16&lt;&gt;"none","Labor rate flagged: "&amp;M16,"OK")))</f>
        <v>OK</v>
      </c>
      <c r="P16" s="0" t="s">
        <v>1057</v>
      </c>
      <c r="Q16" s="8" t="s">
        <v>1058</v>
      </c>
      <c r="R16" s="2" t="str">
        <f aca="false">IF(OR(M16="regulated",COUNTIFS(Tasks_TaskID,A16,Tasks_Tier,D16,Tasks_Review,"base")&gt;0),"PENDING REVIEW – priced, not bookable until human approval",IF(COUNTIFS(Tasks_TaskID,A16,Tasks_Tier,D16,Tasks_Review,"as-needed")&gt;0,"Bookable (re-evaluate if regulated as-needed line selected)","Bookable"))</f>
        <v>Bookable (re-evaluate if regulated as-needed line selected)</v>
      </c>
    </row>
    <row r="17" customFormat="false" ht="17.15" hidden="false" customHeight="false" outlineLevel="0" collapsed="false">
      <c r="A17" s="2" t="s">
        <v>1053</v>
      </c>
      <c r="B17" s="2" t="s">
        <v>52</v>
      </c>
      <c r="C17" s="2" t="s">
        <v>1054</v>
      </c>
      <c r="D17" s="2" t="s">
        <v>1055</v>
      </c>
      <c r="E17" s="2" t="s">
        <v>1898</v>
      </c>
      <c r="F17" s="3" t="n">
        <f aca="false">INDEX(Sum_Base,MATCH(A17,Sum_BaseTasks,0),MATCH(D17,Sum_BaseTiers,0))</f>
        <v>981.5</v>
      </c>
      <c r="G17" s="2" t="str">
        <f aca="false">IF(ISNUMBER(MATCH(A17&amp;"|"&amp;D17,LR_Key,0)),A17&amp;"|"&amp;D17,A17&amp;"|All")</f>
        <v>FIXX-HVC-001|1 t</v>
      </c>
      <c r="H17" s="3" t="n">
        <f aca="false">IFERROR(INDEX(LR_TypLabor,MATCH(G17,LR_Key,0)),"")</f>
        <v>1500</v>
      </c>
      <c r="I17" s="12" t="n">
        <f aca="false">INDEX(Urg_Mult,MATCH(E17,Urg_Levels,0))</f>
        <v>1.5</v>
      </c>
      <c r="J17" s="3" t="n">
        <f aca="false">IF(ISNUMBER(H17),MAX(H17,IFERROR(INDEX(MW_Floor,MATCH(G17,MW_Key,0)),0))*I17,"")</f>
        <v>2250</v>
      </c>
      <c r="K17" s="3" t="n">
        <f aca="false">IF(ISNUMBER(J17),F17+J17,"")</f>
        <v>3231.5</v>
      </c>
      <c r="L17" s="3" t="n">
        <f aca="false">IF(ISNUMBER(H17),MAX(H17,IFERROR(INDEX(MW_Floor,MATCH(G17,MW_Key,0)),0))*I17,"")</f>
        <v>2250</v>
      </c>
      <c r="M17" s="2" t="str">
        <f aca="false">IFERROR(INDEX(LR_Flag,MATCH(G17,LR_Key,0)),"")</f>
        <v>none</v>
      </c>
      <c r="N17" s="2" t="str">
        <f aca="false">IFERROR(INDEX(MW_Check,MATCH(G17,MW_Key,0)),"")</f>
        <v>OK</v>
      </c>
      <c r="O17" s="0" t="str">
        <f aca="false">IF(NOT(ISNUMBER(H17)),"LABOR QUOTE NEEDED – total incomplete",IF(N17="BELOW FLOOR","CHECK: typical labor below wage floor – payout and customer labor raised to floor",IF(M17&lt;&gt;"none","Labor rate flagged: "&amp;M17,"OK")))</f>
        <v>OK</v>
      </c>
      <c r="P17" s="0" t="s">
        <v>1057</v>
      </c>
      <c r="Q17" s="8" t="s">
        <v>1058</v>
      </c>
      <c r="R17" s="2" t="str">
        <f aca="false">IF(OR(M17="regulated",COUNTIFS(Tasks_TaskID,A17,Tasks_Tier,D17,Tasks_Review,"base")&gt;0),"PENDING REVIEW – priced, not bookable until human approval",IF(COUNTIFS(Tasks_TaskID,A17,Tasks_Tier,D17,Tasks_Review,"as-needed")&gt;0,"Bookable (re-evaluate if regulated as-needed line selected)","Bookable"))</f>
        <v>Bookable (re-evaluate if regulated as-needed line selected)</v>
      </c>
    </row>
    <row r="18" customFormat="false" ht="17.15" hidden="false" customHeight="false" outlineLevel="0" collapsed="false">
      <c r="A18" s="2" t="s">
        <v>1053</v>
      </c>
      <c r="B18" s="2" t="s">
        <v>52</v>
      </c>
      <c r="C18" s="2" t="s">
        <v>1054</v>
      </c>
      <c r="D18" s="2" t="s">
        <v>1070</v>
      </c>
      <c r="E18" s="2" t="s">
        <v>1895</v>
      </c>
      <c r="F18" s="3" t="n">
        <f aca="false">INDEX(Sum_Base,MATCH(A18,Sum_BaseTasks,0),MATCH(D18,Sum_BaseTiers,0))</f>
        <v>981.5</v>
      </c>
      <c r="G18" s="2" t="str">
        <f aca="false">IF(ISNUMBER(MATCH(A18&amp;"|"&amp;D18,LR_Key,0)),A18&amp;"|"&amp;D18,A18&amp;"|All")</f>
        <v>FIXX-HVC-001|1.5 t</v>
      </c>
      <c r="H18" s="3" t="n">
        <f aca="false">IFERROR(INDEX(LR_TypLabor,MATCH(G18,LR_Key,0)),"")</f>
        <v>1500</v>
      </c>
      <c r="I18" s="12" t="n">
        <f aca="false">INDEX(Urg_Mult,MATCH(E18,Urg_Levels,0))</f>
        <v>1</v>
      </c>
      <c r="J18" s="3" t="n">
        <f aca="false">IF(ISNUMBER(H18),MAX(H18,IFERROR(INDEX(MW_Floor,MATCH(G18,MW_Key,0)),0))*I18,"")</f>
        <v>1500</v>
      </c>
      <c r="K18" s="3" t="n">
        <f aca="false">IF(ISNUMBER(J18),F18+J18,"")</f>
        <v>2481.5</v>
      </c>
      <c r="L18" s="3" t="n">
        <f aca="false">IF(ISNUMBER(H18),MAX(H18,IFERROR(INDEX(MW_Floor,MATCH(G18,MW_Key,0)),0))*I18,"")</f>
        <v>1500</v>
      </c>
      <c r="M18" s="2" t="str">
        <f aca="false">IFERROR(INDEX(LR_Flag,MATCH(G18,LR_Key,0)),"")</f>
        <v>none</v>
      </c>
      <c r="N18" s="2" t="str">
        <f aca="false">IFERROR(INDEX(MW_Check,MATCH(G18,MW_Key,0)),"")</f>
        <v>OK</v>
      </c>
      <c r="O18" s="0" t="str">
        <f aca="false">IF(NOT(ISNUMBER(H18)),"LABOR QUOTE NEEDED – total incomplete",IF(N18="BELOW FLOOR","CHECK: typical labor below wage floor – payout and customer labor raised to floor",IF(M18&lt;&gt;"none","Labor rate flagged: "&amp;M18,"OK")))</f>
        <v>OK</v>
      </c>
      <c r="P18" s="0" t="s">
        <v>1057</v>
      </c>
      <c r="Q18" s="8" t="s">
        <v>1058</v>
      </c>
      <c r="R18" s="2" t="str">
        <f aca="false">IF(OR(M18="regulated",COUNTIFS(Tasks_TaskID,A18,Tasks_Tier,D18,Tasks_Review,"base")&gt;0),"PENDING REVIEW – priced, not bookable until human approval",IF(COUNTIFS(Tasks_TaskID,A18,Tasks_Tier,D18,Tasks_Review,"as-needed")&gt;0,"Bookable (re-evaluate if regulated as-needed line selected)","Bookable"))</f>
        <v>Bookable (re-evaluate if regulated as-needed line selected)</v>
      </c>
    </row>
    <row r="19" customFormat="false" ht="17.15" hidden="false" customHeight="false" outlineLevel="0" collapsed="false">
      <c r="A19" s="2" t="s">
        <v>1053</v>
      </c>
      <c r="B19" s="2" t="s">
        <v>52</v>
      </c>
      <c r="C19" s="2" t="s">
        <v>1054</v>
      </c>
      <c r="D19" s="2" t="s">
        <v>1070</v>
      </c>
      <c r="E19" s="2" t="s">
        <v>1896</v>
      </c>
      <c r="F19" s="3" t="n">
        <f aca="false">INDEX(Sum_Base,MATCH(A19,Sum_BaseTasks,0),MATCH(D19,Sum_BaseTiers,0))</f>
        <v>981.5</v>
      </c>
      <c r="G19" s="2" t="str">
        <f aca="false">IF(ISNUMBER(MATCH(A19&amp;"|"&amp;D19,LR_Key,0)),A19&amp;"|"&amp;D19,A19&amp;"|All")</f>
        <v>FIXX-HVC-001|1.5 t</v>
      </c>
      <c r="H19" s="3" t="n">
        <f aca="false">IFERROR(INDEX(LR_TypLabor,MATCH(G19,LR_Key,0)),"")</f>
        <v>1500</v>
      </c>
      <c r="I19" s="12" t="n">
        <f aca="false">INDEX(Urg_Mult,MATCH(E19,Urg_Levels,0))</f>
        <v>1.15</v>
      </c>
      <c r="J19" s="3" t="n">
        <f aca="false">IF(ISNUMBER(H19),MAX(H19,IFERROR(INDEX(MW_Floor,MATCH(G19,MW_Key,0)),0))*I19,"")</f>
        <v>1725</v>
      </c>
      <c r="K19" s="3" t="n">
        <f aca="false">IF(ISNUMBER(J19),F19+J19,"")</f>
        <v>2706.5</v>
      </c>
      <c r="L19" s="3" t="n">
        <f aca="false">IF(ISNUMBER(H19),MAX(H19,IFERROR(INDEX(MW_Floor,MATCH(G19,MW_Key,0)),0))*I19,"")</f>
        <v>1725</v>
      </c>
      <c r="M19" s="2" t="str">
        <f aca="false">IFERROR(INDEX(LR_Flag,MATCH(G19,LR_Key,0)),"")</f>
        <v>none</v>
      </c>
      <c r="N19" s="2" t="str">
        <f aca="false">IFERROR(INDEX(MW_Check,MATCH(G19,MW_Key,0)),"")</f>
        <v>OK</v>
      </c>
      <c r="O19" s="0" t="str">
        <f aca="false">IF(NOT(ISNUMBER(H19)),"LABOR QUOTE NEEDED – total incomplete",IF(N19="BELOW FLOOR","CHECK: typical labor below wage floor – payout and customer labor raised to floor",IF(M19&lt;&gt;"none","Labor rate flagged: "&amp;M19,"OK")))</f>
        <v>OK</v>
      </c>
      <c r="P19" s="0" t="s">
        <v>1057</v>
      </c>
      <c r="Q19" s="8" t="s">
        <v>1058</v>
      </c>
      <c r="R19" s="2" t="str">
        <f aca="false">IF(OR(M19="regulated",COUNTIFS(Tasks_TaskID,A19,Tasks_Tier,D19,Tasks_Review,"base")&gt;0),"PENDING REVIEW – priced, not bookable until human approval",IF(COUNTIFS(Tasks_TaskID,A19,Tasks_Tier,D19,Tasks_Review,"as-needed")&gt;0,"Bookable (re-evaluate if regulated as-needed line selected)","Bookable"))</f>
        <v>Bookable (re-evaluate if regulated as-needed line selected)</v>
      </c>
    </row>
    <row r="20" customFormat="false" ht="17.15" hidden="false" customHeight="false" outlineLevel="0" collapsed="false">
      <c r="A20" s="2" t="s">
        <v>1053</v>
      </c>
      <c r="B20" s="2" t="s">
        <v>52</v>
      </c>
      <c r="C20" s="2" t="s">
        <v>1054</v>
      </c>
      <c r="D20" s="2" t="s">
        <v>1070</v>
      </c>
      <c r="E20" s="2" t="s">
        <v>1897</v>
      </c>
      <c r="F20" s="3" t="n">
        <f aca="false">INDEX(Sum_Base,MATCH(A20,Sum_BaseTasks,0),MATCH(D20,Sum_BaseTiers,0))</f>
        <v>981.5</v>
      </c>
      <c r="G20" s="2" t="str">
        <f aca="false">IF(ISNUMBER(MATCH(A20&amp;"|"&amp;D20,LR_Key,0)),A20&amp;"|"&amp;D20,A20&amp;"|All")</f>
        <v>FIXX-HVC-001|1.5 t</v>
      </c>
      <c r="H20" s="3" t="n">
        <f aca="false">IFERROR(INDEX(LR_TypLabor,MATCH(G20,LR_Key,0)),"")</f>
        <v>1500</v>
      </c>
      <c r="I20" s="12" t="n">
        <f aca="false">INDEX(Urg_Mult,MATCH(E20,Urg_Levels,0))</f>
        <v>1.3</v>
      </c>
      <c r="J20" s="3" t="n">
        <f aca="false">IF(ISNUMBER(H20),MAX(H20,IFERROR(INDEX(MW_Floor,MATCH(G20,MW_Key,0)),0))*I20,"")</f>
        <v>1950</v>
      </c>
      <c r="K20" s="3" t="n">
        <f aca="false">IF(ISNUMBER(J20),F20+J20,"")</f>
        <v>2931.5</v>
      </c>
      <c r="L20" s="3" t="n">
        <f aca="false">IF(ISNUMBER(H20),MAX(H20,IFERROR(INDEX(MW_Floor,MATCH(G20,MW_Key,0)),0))*I20,"")</f>
        <v>1950</v>
      </c>
      <c r="M20" s="2" t="str">
        <f aca="false">IFERROR(INDEX(LR_Flag,MATCH(G20,LR_Key,0)),"")</f>
        <v>none</v>
      </c>
      <c r="N20" s="2" t="str">
        <f aca="false">IFERROR(INDEX(MW_Check,MATCH(G20,MW_Key,0)),"")</f>
        <v>OK</v>
      </c>
      <c r="O20" s="0" t="str">
        <f aca="false">IF(NOT(ISNUMBER(H20)),"LABOR QUOTE NEEDED – total incomplete",IF(N20="BELOW FLOOR","CHECK: typical labor below wage floor – payout and customer labor raised to floor",IF(M20&lt;&gt;"none","Labor rate flagged: "&amp;M20,"OK")))</f>
        <v>OK</v>
      </c>
      <c r="P20" s="0" t="s">
        <v>1057</v>
      </c>
      <c r="Q20" s="8" t="s">
        <v>1058</v>
      </c>
      <c r="R20" s="2" t="str">
        <f aca="false">IF(OR(M20="regulated",COUNTIFS(Tasks_TaskID,A20,Tasks_Tier,D20,Tasks_Review,"base")&gt;0),"PENDING REVIEW – priced, not bookable until human approval",IF(COUNTIFS(Tasks_TaskID,A20,Tasks_Tier,D20,Tasks_Review,"as-needed")&gt;0,"Bookable (re-evaluate if regulated as-needed line selected)","Bookable"))</f>
        <v>Bookable (re-evaluate if regulated as-needed line selected)</v>
      </c>
    </row>
    <row r="21" customFormat="false" ht="17.15" hidden="false" customHeight="false" outlineLevel="0" collapsed="false">
      <c r="A21" s="2" t="s">
        <v>1053</v>
      </c>
      <c r="B21" s="2" t="s">
        <v>52</v>
      </c>
      <c r="C21" s="2" t="s">
        <v>1054</v>
      </c>
      <c r="D21" s="2" t="s">
        <v>1070</v>
      </c>
      <c r="E21" s="2" t="s">
        <v>1898</v>
      </c>
      <c r="F21" s="3" t="n">
        <f aca="false">INDEX(Sum_Base,MATCH(A21,Sum_BaseTasks,0),MATCH(D21,Sum_BaseTiers,0))</f>
        <v>981.5</v>
      </c>
      <c r="G21" s="2" t="str">
        <f aca="false">IF(ISNUMBER(MATCH(A21&amp;"|"&amp;D21,LR_Key,0)),A21&amp;"|"&amp;D21,A21&amp;"|All")</f>
        <v>FIXX-HVC-001|1.5 t</v>
      </c>
      <c r="H21" s="3" t="n">
        <f aca="false">IFERROR(INDEX(LR_TypLabor,MATCH(G21,LR_Key,0)),"")</f>
        <v>1500</v>
      </c>
      <c r="I21" s="12" t="n">
        <f aca="false">INDEX(Urg_Mult,MATCH(E21,Urg_Levels,0))</f>
        <v>1.5</v>
      </c>
      <c r="J21" s="3" t="n">
        <f aca="false">IF(ISNUMBER(H21),MAX(H21,IFERROR(INDEX(MW_Floor,MATCH(G21,MW_Key,0)),0))*I21,"")</f>
        <v>2250</v>
      </c>
      <c r="K21" s="3" t="n">
        <f aca="false">IF(ISNUMBER(J21),F21+J21,"")</f>
        <v>3231.5</v>
      </c>
      <c r="L21" s="3" t="n">
        <f aca="false">IF(ISNUMBER(H21),MAX(H21,IFERROR(INDEX(MW_Floor,MATCH(G21,MW_Key,0)),0))*I21,"")</f>
        <v>2250</v>
      </c>
      <c r="M21" s="2" t="str">
        <f aca="false">IFERROR(INDEX(LR_Flag,MATCH(G21,LR_Key,0)),"")</f>
        <v>none</v>
      </c>
      <c r="N21" s="2" t="str">
        <f aca="false">IFERROR(INDEX(MW_Check,MATCH(G21,MW_Key,0)),"")</f>
        <v>OK</v>
      </c>
      <c r="O21" s="0" t="str">
        <f aca="false">IF(NOT(ISNUMBER(H21)),"LABOR QUOTE NEEDED – total incomplete",IF(N21="BELOW FLOOR","CHECK: typical labor below wage floor – payout and customer labor raised to floor",IF(M21&lt;&gt;"none","Labor rate flagged: "&amp;M21,"OK")))</f>
        <v>OK</v>
      </c>
      <c r="P21" s="0" t="s">
        <v>1057</v>
      </c>
      <c r="Q21" s="8" t="s">
        <v>1058</v>
      </c>
      <c r="R21" s="2" t="str">
        <f aca="false">IF(OR(M21="regulated",COUNTIFS(Tasks_TaskID,A21,Tasks_Tier,D21,Tasks_Review,"base")&gt;0),"PENDING REVIEW – priced, not bookable until human approval",IF(COUNTIFS(Tasks_TaskID,A21,Tasks_Tier,D21,Tasks_Review,"as-needed")&gt;0,"Bookable (re-evaluate if regulated as-needed line selected)","Bookable"))</f>
        <v>Bookable (re-evaluate if regulated as-needed line selected)</v>
      </c>
    </row>
    <row r="22" customFormat="false" ht="17.15" hidden="false" customHeight="false" outlineLevel="0" collapsed="false">
      <c r="A22" s="2" t="s">
        <v>1053</v>
      </c>
      <c r="B22" s="2" t="s">
        <v>52</v>
      </c>
      <c r="C22" s="2" t="s">
        <v>1054</v>
      </c>
      <c r="D22" s="2" t="s">
        <v>1074</v>
      </c>
      <c r="E22" s="2" t="s">
        <v>1895</v>
      </c>
      <c r="F22" s="3" t="n">
        <f aca="false">INDEX(Sum_Base,MATCH(A22,Sum_BaseTasks,0),MATCH(D22,Sum_BaseTiers,0))</f>
        <v>1410.42</v>
      </c>
      <c r="G22" s="2" t="str">
        <f aca="false">IF(ISNUMBER(MATCH(A22&amp;"|"&amp;D22,LR_Key,0)),A22&amp;"|"&amp;D22,A22&amp;"|All")</f>
        <v>FIXX-HVC-001|2 t</v>
      </c>
      <c r="H22" s="3" t="n">
        <f aca="false">IFERROR(INDEX(LR_TypLabor,MATCH(G22,LR_Key,0)),"")</f>
        <v>1800</v>
      </c>
      <c r="I22" s="12" t="n">
        <f aca="false">INDEX(Urg_Mult,MATCH(E22,Urg_Levels,0))</f>
        <v>1</v>
      </c>
      <c r="J22" s="3" t="n">
        <f aca="false">IF(ISNUMBER(H22),MAX(H22,IFERROR(INDEX(MW_Floor,MATCH(G22,MW_Key,0)),0))*I22,"")</f>
        <v>1800</v>
      </c>
      <c r="K22" s="3" t="n">
        <f aca="false">IF(ISNUMBER(J22),F22+J22,"")</f>
        <v>3210.42</v>
      </c>
      <c r="L22" s="3" t="n">
        <f aca="false">IF(ISNUMBER(H22),MAX(H22,IFERROR(INDEX(MW_Floor,MATCH(G22,MW_Key,0)),0))*I22,"")</f>
        <v>1800</v>
      </c>
      <c r="M22" s="2" t="str">
        <f aca="false">IFERROR(INDEX(LR_Flag,MATCH(G22,LR_Key,0)),"")</f>
        <v>none</v>
      </c>
      <c r="N22" s="2" t="str">
        <f aca="false">IFERROR(INDEX(MW_Check,MATCH(G22,MW_Key,0)),"")</f>
        <v>OK</v>
      </c>
      <c r="O22" s="0" t="str">
        <f aca="false">IF(NOT(ISNUMBER(H22)),"LABOR QUOTE NEEDED – total incomplete",IF(N22="BELOW FLOOR","CHECK: typical labor below wage floor – payout and customer labor raised to floor",IF(M22&lt;&gt;"none","Labor rate flagged: "&amp;M22,"OK")))</f>
        <v>OK</v>
      </c>
      <c r="P22" s="0" t="s">
        <v>1057</v>
      </c>
      <c r="Q22" s="8" t="s">
        <v>1058</v>
      </c>
      <c r="R22" s="2" t="str">
        <f aca="false">IF(OR(M22="regulated",COUNTIFS(Tasks_TaskID,A22,Tasks_Tier,D22,Tasks_Review,"base")&gt;0),"PENDING REVIEW – priced, not bookable until human approval",IF(COUNTIFS(Tasks_TaskID,A22,Tasks_Tier,D22,Tasks_Review,"as-needed")&gt;0,"Bookable (re-evaluate if regulated as-needed line selected)","Bookable"))</f>
        <v>Bookable (re-evaluate if regulated as-needed line selected)</v>
      </c>
    </row>
    <row r="23" customFormat="false" ht="17.15" hidden="false" customHeight="false" outlineLevel="0" collapsed="false">
      <c r="A23" s="2" t="s">
        <v>1053</v>
      </c>
      <c r="B23" s="2" t="s">
        <v>52</v>
      </c>
      <c r="C23" s="2" t="s">
        <v>1054</v>
      </c>
      <c r="D23" s="2" t="s">
        <v>1074</v>
      </c>
      <c r="E23" s="2" t="s">
        <v>1896</v>
      </c>
      <c r="F23" s="3" t="n">
        <f aca="false">INDEX(Sum_Base,MATCH(A23,Sum_BaseTasks,0),MATCH(D23,Sum_BaseTiers,0))</f>
        <v>1410.42</v>
      </c>
      <c r="G23" s="2" t="str">
        <f aca="false">IF(ISNUMBER(MATCH(A23&amp;"|"&amp;D23,LR_Key,0)),A23&amp;"|"&amp;D23,A23&amp;"|All")</f>
        <v>FIXX-HVC-001|2 t</v>
      </c>
      <c r="H23" s="3" t="n">
        <f aca="false">IFERROR(INDEX(LR_TypLabor,MATCH(G23,LR_Key,0)),"")</f>
        <v>1800</v>
      </c>
      <c r="I23" s="12" t="n">
        <f aca="false">INDEX(Urg_Mult,MATCH(E23,Urg_Levels,0))</f>
        <v>1.15</v>
      </c>
      <c r="J23" s="3" t="n">
        <f aca="false">IF(ISNUMBER(H23),MAX(H23,IFERROR(INDEX(MW_Floor,MATCH(G23,MW_Key,0)),0))*I23,"")</f>
        <v>2070</v>
      </c>
      <c r="K23" s="3" t="n">
        <f aca="false">IF(ISNUMBER(J23),F23+J23,"")</f>
        <v>3480.42</v>
      </c>
      <c r="L23" s="3" t="n">
        <f aca="false">IF(ISNUMBER(H23),MAX(H23,IFERROR(INDEX(MW_Floor,MATCH(G23,MW_Key,0)),0))*I23,"")</f>
        <v>2070</v>
      </c>
      <c r="M23" s="2" t="str">
        <f aca="false">IFERROR(INDEX(LR_Flag,MATCH(G23,LR_Key,0)),"")</f>
        <v>none</v>
      </c>
      <c r="N23" s="2" t="str">
        <f aca="false">IFERROR(INDEX(MW_Check,MATCH(G23,MW_Key,0)),"")</f>
        <v>OK</v>
      </c>
      <c r="O23" s="0" t="str">
        <f aca="false">IF(NOT(ISNUMBER(H23)),"LABOR QUOTE NEEDED – total incomplete",IF(N23="BELOW FLOOR","CHECK: typical labor below wage floor – payout and customer labor raised to floor",IF(M23&lt;&gt;"none","Labor rate flagged: "&amp;M23,"OK")))</f>
        <v>OK</v>
      </c>
      <c r="P23" s="0" t="s">
        <v>1057</v>
      </c>
      <c r="Q23" s="8" t="s">
        <v>1058</v>
      </c>
      <c r="R23" s="2" t="str">
        <f aca="false">IF(OR(M23="regulated",COUNTIFS(Tasks_TaskID,A23,Tasks_Tier,D23,Tasks_Review,"base")&gt;0),"PENDING REVIEW – priced, not bookable until human approval",IF(COUNTIFS(Tasks_TaskID,A23,Tasks_Tier,D23,Tasks_Review,"as-needed")&gt;0,"Bookable (re-evaluate if regulated as-needed line selected)","Bookable"))</f>
        <v>Bookable (re-evaluate if regulated as-needed line selected)</v>
      </c>
    </row>
    <row r="24" customFormat="false" ht="17.15" hidden="false" customHeight="false" outlineLevel="0" collapsed="false">
      <c r="A24" s="2" t="s">
        <v>1053</v>
      </c>
      <c r="B24" s="2" t="s">
        <v>52</v>
      </c>
      <c r="C24" s="2" t="s">
        <v>1054</v>
      </c>
      <c r="D24" s="2" t="s">
        <v>1074</v>
      </c>
      <c r="E24" s="2" t="s">
        <v>1897</v>
      </c>
      <c r="F24" s="3" t="n">
        <f aca="false">INDEX(Sum_Base,MATCH(A24,Sum_BaseTasks,0),MATCH(D24,Sum_BaseTiers,0))</f>
        <v>1410.42</v>
      </c>
      <c r="G24" s="2" t="str">
        <f aca="false">IF(ISNUMBER(MATCH(A24&amp;"|"&amp;D24,LR_Key,0)),A24&amp;"|"&amp;D24,A24&amp;"|All")</f>
        <v>FIXX-HVC-001|2 t</v>
      </c>
      <c r="H24" s="3" t="n">
        <f aca="false">IFERROR(INDEX(LR_TypLabor,MATCH(G24,LR_Key,0)),"")</f>
        <v>1800</v>
      </c>
      <c r="I24" s="12" t="n">
        <f aca="false">INDEX(Urg_Mult,MATCH(E24,Urg_Levels,0))</f>
        <v>1.3</v>
      </c>
      <c r="J24" s="3" t="n">
        <f aca="false">IF(ISNUMBER(H24),MAX(H24,IFERROR(INDEX(MW_Floor,MATCH(G24,MW_Key,0)),0))*I24,"")</f>
        <v>2340</v>
      </c>
      <c r="K24" s="3" t="n">
        <f aca="false">IF(ISNUMBER(J24),F24+J24,"")</f>
        <v>3750.42</v>
      </c>
      <c r="L24" s="3" t="n">
        <f aca="false">IF(ISNUMBER(H24),MAX(H24,IFERROR(INDEX(MW_Floor,MATCH(G24,MW_Key,0)),0))*I24,"")</f>
        <v>2340</v>
      </c>
      <c r="M24" s="2" t="str">
        <f aca="false">IFERROR(INDEX(LR_Flag,MATCH(G24,LR_Key,0)),"")</f>
        <v>none</v>
      </c>
      <c r="N24" s="2" t="str">
        <f aca="false">IFERROR(INDEX(MW_Check,MATCH(G24,MW_Key,0)),"")</f>
        <v>OK</v>
      </c>
      <c r="O24" s="0" t="str">
        <f aca="false">IF(NOT(ISNUMBER(H24)),"LABOR QUOTE NEEDED – total incomplete",IF(N24="BELOW FLOOR","CHECK: typical labor below wage floor – payout and customer labor raised to floor",IF(M24&lt;&gt;"none","Labor rate flagged: "&amp;M24,"OK")))</f>
        <v>OK</v>
      </c>
      <c r="P24" s="0" t="s">
        <v>1057</v>
      </c>
      <c r="Q24" s="8" t="s">
        <v>1058</v>
      </c>
      <c r="R24" s="2" t="str">
        <f aca="false">IF(OR(M24="regulated",COUNTIFS(Tasks_TaskID,A24,Tasks_Tier,D24,Tasks_Review,"base")&gt;0),"PENDING REVIEW – priced, not bookable until human approval",IF(COUNTIFS(Tasks_TaskID,A24,Tasks_Tier,D24,Tasks_Review,"as-needed")&gt;0,"Bookable (re-evaluate if regulated as-needed line selected)","Bookable"))</f>
        <v>Bookable (re-evaluate if regulated as-needed line selected)</v>
      </c>
    </row>
    <row r="25" customFormat="false" ht="17.15" hidden="false" customHeight="false" outlineLevel="0" collapsed="false">
      <c r="A25" s="2" t="s">
        <v>1053</v>
      </c>
      <c r="B25" s="2" t="s">
        <v>52</v>
      </c>
      <c r="C25" s="2" t="s">
        <v>1054</v>
      </c>
      <c r="D25" s="2" t="s">
        <v>1074</v>
      </c>
      <c r="E25" s="2" t="s">
        <v>1898</v>
      </c>
      <c r="F25" s="3" t="n">
        <f aca="false">INDEX(Sum_Base,MATCH(A25,Sum_BaseTasks,0),MATCH(D25,Sum_BaseTiers,0))</f>
        <v>1410.42</v>
      </c>
      <c r="G25" s="2" t="str">
        <f aca="false">IF(ISNUMBER(MATCH(A25&amp;"|"&amp;D25,LR_Key,0)),A25&amp;"|"&amp;D25,A25&amp;"|All")</f>
        <v>FIXX-HVC-001|2 t</v>
      </c>
      <c r="H25" s="3" t="n">
        <f aca="false">IFERROR(INDEX(LR_TypLabor,MATCH(G25,LR_Key,0)),"")</f>
        <v>1800</v>
      </c>
      <c r="I25" s="12" t="n">
        <f aca="false">INDEX(Urg_Mult,MATCH(E25,Urg_Levels,0))</f>
        <v>1.5</v>
      </c>
      <c r="J25" s="3" t="n">
        <f aca="false">IF(ISNUMBER(H25),MAX(H25,IFERROR(INDEX(MW_Floor,MATCH(G25,MW_Key,0)),0))*I25,"")</f>
        <v>2700</v>
      </c>
      <c r="K25" s="3" t="n">
        <f aca="false">IF(ISNUMBER(J25),F25+J25,"")</f>
        <v>4110.42</v>
      </c>
      <c r="L25" s="3" t="n">
        <f aca="false">IF(ISNUMBER(H25),MAX(H25,IFERROR(INDEX(MW_Floor,MATCH(G25,MW_Key,0)),0))*I25,"")</f>
        <v>2700</v>
      </c>
      <c r="M25" s="2" t="str">
        <f aca="false">IFERROR(INDEX(LR_Flag,MATCH(G25,LR_Key,0)),"")</f>
        <v>none</v>
      </c>
      <c r="N25" s="2" t="str">
        <f aca="false">IFERROR(INDEX(MW_Check,MATCH(G25,MW_Key,0)),"")</f>
        <v>OK</v>
      </c>
      <c r="O25" s="0" t="str">
        <f aca="false">IF(NOT(ISNUMBER(H25)),"LABOR QUOTE NEEDED – total incomplete",IF(N25="BELOW FLOOR","CHECK: typical labor below wage floor – payout and customer labor raised to floor",IF(M25&lt;&gt;"none","Labor rate flagged: "&amp;M25,"OK")))</f>
        <v>OK</v>
      </c>
      <c r="P25" s="0" t="s">
        <v>1057</v>
      </c>
      <c r="Q25" s="8" t="s">
        <v>1058</v>
      </c>
      <c r="R25" s="2" t="str">
        <f aca="false">IF(OR(M25="regulated",COUNTIFS(Tasks_TaskID,A25,Tasks_Tier,D25,Tasks_Review,"base")&gt;0),"PENDING REVIEW – priced, not bookable until human approval",IF(COUNTIFS(Tasks_TaskID,A25,Tasks_Tier,D25,Tasks_Review,"as-needed")&gt;0,"Bookable (re-evaluate if regulated as-needed line selected)","Bookable"))</f>
        <v>Bookable (re-evaluate if regulated as-needed line selected)</v>
      </c>
    </row>
    <row r="26" customFormat="false" ht="17.15" hidden="false" customHeight="false" outlineLevel="0" collapsed="false">
      <c r="A26" s="2" t="s">
        <v>1053</v>
      </c>
      <c r="B26" s="2" t="s">
        <v>52</v>
      </c>
      <c r="C26" s="2" t="s">
        <v>1054</v>
      </c>
      <c r="D26" s="2" t="s">
        <v>1078</v>
      </c>
      <c r="E26" s="2" t="s">
        <v>1895</v>
      </c>
      <c r="F26" s="3" t="n">
        <f aca="false">INDEX(Sum_Base,MATCH(A26,Sum_BaseTasks,0),MATCH(D26,Sum_BaseTiers,0))</f>
        <v>1410.42</v>
      </c>
      <c r="G26" s="2" t="str">
        <f aca="false">IF(ISNUMBER(MATCH(A26&amp;"|"&amp;D26,LR_Key,0)),A26&amp;"|"&amp;D26,A26&amp;"|All")</f>
        <v>FIXX-HVC-001|3 t</v>
      </c>
      <c r="H26" s="3" t="n">
        <f aca="false">IFERROR(INDEX(LR_TypLabor,MATCH(G26,LR_Key,0)),"")</f>
        <v>2500</v>
      </c>
      <c r="I26" s="12" t="n">
        <f aca="false">INDEX(Urg_Mult,MATCH(E26,Urg_Levels,0))</f>
        <v>1</v>
      </c>
      <c r="J26" s="3" t="n">
        <f aca="false">IF(ISNUMBER(H26),MAX(H26,IFERROR(INDEX(MW_Floor,MATCH(G26,MW_Key,0)),0))*I26,"")</f>
        <v>2500</v>
      </c>
      <c r="K26" s="3" t="n">
        <f aca="false">IF(ISNUMBER(J26),F26+J26,"")</f>
        <v>3910.42</v>
      </c>
      <c r="L26" s="3" t="n">
        <f aca="false">IF(ISNUMBER(H26),MAX(H26,IFERROR(INDEX(MW_Floor,MATCH(G26,MW_Key,0)),0))*I26,"")</f>
        <v>2500</v>
      </c>
      <c r="M26" s="2" t="str">
        <f aca="false">IFERROR(INDEX(LR_Flag,MATCH(G26,LR_Key,0)),"")</f>
        <v>none</v>
      </c>
      <c r="N26" s="2" t="str">
        <f aca="false">IFERROR(INDEX(MW_Check,MATCH(G26,MW_Key,0)),"")</f>
        <v>OK</v>
      </c>
      <c r="O26" s="0" t="str">
        <f aca="false">IF(NOT(ISNUMBER(H26)),"LABOR QUOTE NEEDED – total incomplete",IF(N26="BELOW FLOOR","CHECK: typical labor below wage floor – payout and customer labor raised to floor",IF(M26&lt;&gt;"none","Labor rate flagged: "&amp;M26,"OK")))</f>
        <v>OK</v>
      </c>
      <c r="P26" s="0" t="s">
        <v>1057</v>
      </c>
      <c r="Q26" s="8" t="s">
        <v>1058</v>
      </c>
      <c r="R26" s="2" t="str">
        <f aca="false">IF(OR(M26="regulated",COUNTIFS(Tasks_TaskID,A26,Tasks_Tier,D26,Tasks_Review,"base")&gt;0),"PENDING REVIEW – priced, not bookable until human approval",IF(COUNTIFS(Tasks_TaskID,A26,Tasks_Tier,D26,Tasks_Review,"as-needed")&gt;0,"Bookable (re-evaluate if regulated as-needed line selected)","Bookable"))</f>
        <v>Bookable (re-evaluate if regulated as-needed line selected)</v>
      </c>
    </row>
    <row r="27" customFormat="false" ht="17.15" hidden="false" customHeight="false" outlineLevel="0" collapsed="false">
      <c r="A27" s="2" t="s">
        <v>1053</v>
      </c>
      <c r="B27" s="2" t="s">
        <v>52</v>
      </c>
      <c r="C27" s="2" t="s">
        <v>1054</v>
      </c>
      <c r="D27" s="2" t="s">
        <v>1078</v>
      </c>
      <c r="E27" s="2" t="s">
        <v>1896</v>
      </c>
      <c r="F27" s="3" t="n">
        <f aca="false">INDEX(Sum_Base,MATCH(A27,Sum_BaseTasks,0),MATCH(D27,Sum_BaseTiers,0))</f>
        <v>1410.42</v>
      </c>
      <c r="G27" s="2" t="str">
        <f aca="false">IF(ISNUMBER(MATCH(A27&amp;"|"&amp;D27,LR_Key,0)),A27&amp;"|"&amp;D27,A27&amp;"|All")</f>
        <v>FIXX-HVC-001|3 t</v>
      </c>
      <c r="H27" s="3" t="n">
        <f aca="false">IFERROR(INDEX(LR_TypLabor,MATCH(G27,LR_Key,0)),"")</f>
        <v>2500</v>
      </c>
      <c r="I27" s="12" t="n">
        <f aca="false">INDEX(Urg_Mult,MATCH(E27,Urg_Levels,0))</f>
        <v>1.15</v>
      </c>
      <c r="J27" s="3" t="n">
        <f aca="false">IF(ISNUMBER(H27),MAX(H27,IFERROR(INDEX(MW_Floor,MATCH(G27,MW_Key,0)),0))*I27,"")</f>
        <v>2875</v>
      </c>
      <c r="K27" s="3" t="n">
        <f aca="false">IF(ISNUMBER(J27),F27+J27,"")</f>
        <v>4285.42</v>
      </c>
      <c r="L27" s="3" t="n">
        <f aca="false">IF(ISNUMBER(H27),MAX(H27,IFERROR(INDEX(MW_Floor,MATCH(G27,MW_Key,0)),0))*I27,"")</f>
        <v>2875</v>
      </c>
      <c r="M27" s="2" t="str">
        <f aca="false">IFERROR(INDEX(LR_Flag,MATCH(G27,LR_Key,0)),"")</f>
        <v>none</v>
      </c>
      <c r="N27" s="2" t="str">
        <f aca="false">IFERROR(INDEX(MW_Check,MATCH(G27,MW_Key,0)),"")</f>
        <v>OK</v>
      </c>
      <c r="O27" s="0" t="str">
        <f aca="false">IF(NOT(ISNUMBER(H27)),"LABOR QUOTE NEEDED – total incomplete",IF(N27="BELOW FLOOR","CHECK: typical labor below wage floor – payout and customer labor raised to floor",IF(M27&lt;&gt;"none","Labor rate flagged: "&amp;M27,"OK")))</f>
        <v>OK</v>
      </c>
      <c r="P27" s="0" t="s">
        <v>1057</v>
      </c>
      <c r="Q27" s="8" t="s">
        <v>1058</v>
      </c>
      <c r="R27" s="2" t="str">
        <f aca="false">IF(OR(M27="regulated",COUNTIFS(Tasks_TaskID,A27,Tasks_Tier,D27,Tasks_Review,"base")&gt;0),"PENDING REVIEW – priced, not bookable until human approval",IF(COUNTIFS(Tasks_TaskID,A27,Tasks_Tier,D27,Tasks_Review,"as-needed")&gt;0,"Bookable (re-evaluate if regulated as-needed line selected)","Bookable"))</f>
        <v>Bookable (re-evaluate if regulated as-needed line selected)</v>
      </c>
    </row>
    <row r="28" customFormat="false" ht="17.15" hidden="false" customHeight="false" outlineLevel="0" collapsed="false">
      <c r="A28" s="2" t="s">
        <v>1053</v>
      </c>
      <c r="B28" s="2" t="s">
        <v>52</v>
      </c>
      <c r="C28" s="2" t="s">
        <v>1054</v>
      </c>
      <c r="D28" s="2" t="s">
        <v>1078</v>
      </c>
      <c r="E28" s="2" t="s">
        <v>1897</v>
      </c>
      <c r="F28" s="3" t="n">
        <f aca="false">INDEX(Sum_Base,MATCH(A28,Sum_BaseTasks,0),MATCH(D28,Sum_BaseTiers,0))</f>
        <v>1410.42</v>
      </c>
      <c r="G28" s="2" t="str">
        <f aca="false">IF(ISNUMBER(MATCH(A28&amp;"|"&amp;D28,LR_Key,0)),A28&amp;"|"&amp;D28,A28&amp;"|All")</f>
        <v>FIXX-HVC-001|3 t</v>
      </c>
      <c r="H28" s="3" t="n">
        <f aca="false">IFERROR(INDEX(LR_TypLabor,MATCH(G28,LR_Key,0)),"")</f>
        <v>2500</v>
      </c>
      <c r="I28" s="12" t="n">
        <f aca="false">INDEX(Urg_Mult,MATCH(E28,Urg_Levels,0))</f>
        <v>1.3</v>
      </c>
      <c r="J28" s="3" t="n">
        <f aca="false">IF(ISNUMBER(H28),MAX(H28,IFERROR(INDEX(MW_Floor,MATCH(G28,MW_Key,0)),0))*I28,"")</f>
        <v>3250</v>
      </c>
      <c r="K28" s="3" t="n">
        <f aca="false">IF(ISNUMBER(J28),F28+J28,"")</f>
        <v>4660.42</v>
      </c>
      <c r="L28" s="3" t="n">
        <f aca="false">IF(ISNUMBER(H28),MAX(H28,IFERROR(INDEX(MW_Floor,MATCH(G28,MW_Key,0)),0))*I28,"")</f>
        <v>3250</v>
      </c>
      <c r="M28" s="2" t="str">
        <f aca="false">IFERROR(INDEX(LR_Flag,MATCH(G28,LR_Key,0)),"")</f>
        <v>none</v>
      </c>
      <c r="N28" s="2" t="str">
        <f aca="false">IFERROR(INDEX(MW_Check,MATCH(G28,MW_Key,0)),"")</f>
        <v>OK</v>
      </c>
      <c r="O28" s="0" t="str">
        <f aca="false">IF(NOT(ISNUMBER(H28)),"LABOR QUOTE NEEDED – total incomplete",IF(N28="BELOW FLOOR","CHECK: typical labor below wage floor – payout and customer labor raised to floor",IF(M28&lt;&gt;"none","Labor rate flagged: "&amp;M28,"OK")))</f>
        <v>OK</v>
      </c>
      <c r="P28" s="0" t="s">
        <v>1057</v>
      </c>
      <c r="Q28" s="8" t="s">
        <v>1058</v>
      </c>
      <c r="R28" s="2" t="str">
        <f aca="false">IF(OR(M28="regulated",COUNTIFS(Tasks_TaskID,A28,Tasks_Tier,D28,Tasks_Review,"base")&gt;0),"PENDING REVIEW – priced, not bookable until human approval",IF(COUNTIFS(Tasks_TaskID,A28,Tasks_Tier,D28,Tasks_Review,"as-needed")&gt;0,"Bookable (re-evaluate if regulated as-needed line selected)","Bookable"))</f>
        <v>Bookable (re-evaluate if regulated as-needed line selected)</v>
      </c>
    </row>
    <row r="29" customFormat="false" ht="17.15" hidden="false" customHeight="false" outlineLevel="0" collapsed="false">
      <c r="A29" s="2" t="s">
        <v>1053</v>
      </c>
      <c r="B29" s="2" t="s">
        <v>52</v>
      </c>
      <c r="C29" s="2" t="s">
        <v>1054</v>
      </c>
      <c r="D29" s="2" t="s">
        <v>1078</v>
      </c>
      <c r="E29" s="2" t="s">
        <v>1898</v>
      </c>
      <c r="F29" s="3" t="n">
        <f aca="false">INDEX(Sum_Base,MATCH(A29,Sum_BaseTasks,0),MATCH(D29,Sum_BaseTiers,0))</f>
        <v>1410.42</v>
      </c>
      <c r="G29" s="2" t="str">
        <f aca="false">IF(ISNUMBER(MATCH(A29&amp;"|"&amp;D29,LR_Key,0)),A29&amp;"|"&amp;D29,A29&amp;"|All")</f>
        <v>FIXX-HVC-001|3 t</v>
      </c>
      <c r="H29" s="3" t="n">
        <f aca="false">IFERROR(INDEX(LR_TypLabor,MATCH(G29,LR_Key,0)),"")</f>
        <v>2500</v>
      </c>
      <c r="I29" s="12" t="n">
        <f aca="false">INDEX(Urg_Mult,MATCH(E29,Urg_Levels,0))</f>
        <v>1.5</v>
      </c>
      <c r="J29" s="3" t="n">
        <f aca="false">IF(ISNUMBER(H29),MAX(H29,IFERROR(INDEX(MW_Floor,MATCH(G29,MW_Key,0)),0))*I29,"")</f>
        <v>3750</v>
      </c>
      <c r="K29" s="3" t="n">
        <f aca="false">IF(ISNUMBER(J29),F29+J29,"")</f>
        <v>5160.42</v>
      </c>
      <c r="L29" s="3" t="n">
        <f aca="false">IF(ISNUMBER(H29),MAX(H29,IFERROR(INDEX(MW_Floor,MATCH(G29,MW_Key,0)),0))*I29,"")</f>
        <v>3750</v>
      </c>
      <c r="M29" s="2" t="str">
        <f aca="false">IFERROR(INDEX(LR_Flag,MATCH(G29,LR_Key,0)),"")</f>
        <v>none</v>
      </c>
      <c r="N29" s="2" t="str">
        <f aca="false">IFERROR(INDEX(MW_Check,MATCH(G29,MW_Key,0)),"")</f>
        <v>OK</v>
      </c>
      <c r="O29" s="0" t="str">
        <f aca="false">IF(NOT(ISNUMBER(H29)),"LABOR QUOTE NEEDED – total incomplete",IF(N29="BELOW FLOOR","CHECK: typical labor below wage floor – payout and customer labor raised to floor",IF(M29&lt;&gt;"none","Labor rate flagged: "&amp;M29,"OK")))</f>
        <v>OK</v>
      </c>
      <c r="P29" s="0" t="s">
        <v>1057</v>
      </c>
      <c r="Q29" s="8" t="s">
        <v>1058</v>
      </c>
      <c r="R29" s="2" t="str">
        <f aca="false">IF(OR(M29="regulated",COUNTIFS(Tasks_TaskID,A29,Tasks_Tier,D29,Tasks_Review,"base")&gt;0),"PENDING REVIEW – priced, not bookable until human approval",IF(COUNTIFS(Tasks_TaskID,A29,Tasks_Tier,D29,Tasks_Review,"as-needed")&gt;0,"Bookable (re-evaluate if regulated as-needed line selected)","Bookable"))</f>
        <v>Bookable (re-evaluate if regulated as-needed line selected)</v>
      </c>
    </row>
    <row r="30" customFormat="false" ht="17.15" hidden="false" customHeight="false" outlineLevel="0" collapsed="false">
      <c r="A30" s="2" t="s">
        <v>1064</v>
      </c>
      <c r="B30" s="2" t="s">
        <v>52</v>
      </c>
      <c r="C30" s="2" t="s">
        <v>1065</v>
      </c>
      <c r="D30" s="2" t="s">
        <v>1055</v>
      </c>
      <c r="E30" s="2" t="s">
        <v>1895</v>
      </c>
      <c r="F30" s="3" t="n">
        <f aca="false">INDEX(Sum_Base,MATCH(A30,Sum_BaseTasks,0),MATCH(D30,Sum_BaseTiers,0))</f>
        <v>339.51</v>
      </c>
      <c r="G30" s="2" t="str">
        <f aca="false">IF(ISNUMBER(MATCH(A30&amp;"|"&amp;D30,LR_Key,0)),A30&amp;"|"&amp;D30,A30&amp;"|All")</f>
        <v>FIXX-HVC-002|1 t</v>
      </c>
      <c r="H30" s="3" t="n">
        <f aca="false">IFERROR(INDEX(LR_TypLabor,MATCH(G30,LR_Key,0)),"")</f>
        <v>900</v>
      </c>
      <c r="I30" s="12" t="n">
        <f aca="false">INDEX(Urg_Mult,MATCH(E30,Urg_Levels,0))</f>
        <v>1</v>
      </c>
      <c r="J30" s="3" t="n">
        <f aca="false">IF(ISNUMBER(H30),MAX(H30,IFERROR(INDEX(MW_Floor,MATCH(G30,MW_Key,0)),0))*I30,"")</f>
        <v>900</v>
      </c>
      <c r="K30" s="3" t="n">
        <f aca="false">IF(ISNUMBER(J30),F30+J30,"")</f>
        <v>1239.51</v>
      </c>
      <c r="L30" s="3" t="n">
        <f aca="false">IF(ISNUMBER(H30),MAX(H30,IFERROR(INDEX(MW_Floor,MATCH(G30,MW_Key,0)),0))*I30,"")</f>
        <v>900</v>
      </c>
      <c r="M30" s="2" t="str">
        <f aca="false">IFERROR(INDEX(LR_Flag,MATCH(G30,LR_Key,0)),"")</f>
        <v>none</v>
      </c>
      <c r="N30" s="2" t="str">
        <f aca="false">IFERROR(INDEX(MW_Check,MATCH(G30,MW_Key,0)),"")</f>
        <v>OK</v>
      </c>
      <c r="O30" s="0" t="str">
        <f aca="false">IF(NOT(ISNUMBER(H30)),"LABOR QUOTE NEEDED – total incomplete",IF(N30="BELOW FLOOR","CHECK: typical labor below wage floor – payout and customer labor raised to floor",IF(M30&lt;&gt;"none","Labor rate flagged: "&amp;M30,"OK")))</f>
        <v>OK</v>
      </c>
      <c r="P30" s="0" t="s">
        <v>1067</v>
      </c>
      <c r="Q30" s="8" t="s">
        <v>1068</v>
      </c>
      <c r="R30" s="2" t="str">
        <f aca="false">IF(OR(M30="regulated",COUNTIFS(Tasks_TaskID,A30,Tasks_Tier,D30,Tasks_Review,"base")&gt;0),"PENDING REVIEW – priced, not bookable until human approval",IF(COUNTIFS(Tasks_TaskID,A30,Tasks_Tier,D30,Tasks_Review,"as-needed")&gt;0,"Bookable (re-evaluate if regulated as-needed line selected)","Bookable"))</f>
        <v>Bookable (re-evaluate if regulated as-needed line selected)</v>
      </c>
    </row>
    <row r="31" customFormat="false" ht="17.15" hidden="false" customHeight="false" outlineLevel="0" collapsed="false">
      <c r="A31" s="2" t="s">
        <v>1064</v>
      </c>
      <c r="B31" s="2" t="s">
        <v>52</v>
      </c>
      <c r="C31" s="2" t="s">
        <v>1065</v>
      </c>
      <c r="D31" s="2" t="s">
        <v>1055</v>
      </c>
      <c r="E31" s="2" t="s">
        <v>1896</v>
      </c>
      <c r="F31" s="3" t="n">
        <f aca="false">INDEX(Sum_Base,MATCH(A31,Sum_BaseTasks,0),MATCH(D31,Sum_BaseTiers,0))</f>
        <v>339.51</v>
      </c>
      <c r="G31" s="2" t="str">
        <f aca="false">IF(ISNUMBER(MATCH(A31&amp;"|"&amp;D31,LR_Key,0)),A31&amp;"|"&amp;D31,A31&amp;"|All")</f>
        <v>FIXX-HVC-002|1 t</v>
      </c>
      <c r="H31" s="3" t="n">
        <f aca="false">IFERROR(INDEX(LR_TypLabor,MATCH(G31,LR_Key,0)),"")</f>
        <v>900</v>
      </c>
      <c r="I31" s="12" t="n">
        <f aca="false">INDEX(Urg_Mult,MATCH(E31,Urg_Levels,0))</f>
        <v>1.15</v>
      </c>
      <c r="J31" s="3" t="n">
        <f aca="false">IF(ISNUMBER(H31),MAX(H31,IFERROR(INDEX(MW_Floor,MATCH(G31,MW_Key,0)),0))*I31,"")</f>
        <v>1035</v>
      </c>
      <c r="K31" s="3" t="n">
        <f aca="false">IF(ISNUMBER(J31),F31+J31,"")</f>
        <v>1374.51</v>
      </c>
      <c r="L31" s="3" t="n">
        <f aca="false">IF(ISNUMBER(H31),MAX(H31,IFERROR(INDEX(MW_Floor,MATCH(G31,MW_Key,0)),0))*I31,"")</f>
        <v>1035</v>
      </c>
      <c r="M31" s="2" t="str">
        <f aca="false">IFERROR(INDEX(LR_Flag,MATCH(G31,LR_Key,0)),"")</f>
        <v>none</v>
      </c>
      <c r="N31" s="2" t="str">
        <f aca="false">IFERROR(INDEX(MW_Check,MATCH(G31,MW_Key,0)),"")</f>
        <v>OK</v>
      </c>
      <c r="O31" s="0" t="str">
        <f aca="false">IF(NOT(ISNUMBER(H31)),"LABOR QUOTE NEEDED – total incomplete",IF(N31="BELOW FLOOR","CHECK: typical labor below wage floor – payout and customer labor raised to floor",IF(M31&lt;&gt;"none","Labor rate flagged: "&amp;M31,"OK")))</f>
        <v>OK</v>
      </c>
      <c r="P31" s="0" t="s">
        <v>1067</v>
      </c>
      <c r="Q31" s="8" t="s">
        <v>1068</v>
      </c>
      <c r="R31" s="2" t="str">
        <f aca="false">IF(OR(M31="regulated",COUNTIFS(Tasks_TaskID,A31,Tasks_Tier,D31,Tasks_Review,"base")&gt;0),"PENDING REVIEW – priced, not bookable until human approval",IF(COUNTIFS(Tasks_TaskID,A31,Tasks_Tier,D31,Tasks_Review,"as-needed")&gt;0,"Bookable (re-evaluate if regulated as-needed line selected)","Bookable"))</f>
        <v>Bookable (re-evaluate if regulated as-needed line selected)</v>
      </c>
    </row>
    <row r="32" customFormat="false" ht="17.15" hidden="false" customHeight="false" outlineLevel="0" collapsed="false">
      <c r="A32" s="2" t="s">
        <v>1064</v>
      </c>
      <c r="B32" s="2" t="s">
        <v>52</v>
      </c>
      <c r="C32" s="2" t="s">
        <v>1065</v>
      </c>
      <c r="D32" s="2" t="s">
        <v>1055</v>
      </c>
      <c r="E32" s="2" t="s">
        <v>1897</v>
      </c>
      <c r="F32" s="3" t="n">
        <f aca="false">INDEX(Sum_Base,MATCH(A32,Sum_BaseTasks,0),MATCH(D32,Sum_BaseTiers,0))</f>
        <v>339.51</v>
      </c>
      <c r="G32" s="2" t="str">
        <f aca="false">IF(ISNUMBER(MATCH(A32&amp;"|"&amp;D32,LR_Key,0)),A32&amp;"|"&amp;D32,A32&amp;"|All")</f>
        <v>FIXX-HVC-002|1 t</v>
      </c>
      <c r="H32" s="3" t="n">
        <f aca="false">IFERROR(INDEX(LR_TypLabor,MATCH(G32,LR_Key,0)),"")</f>
        <v>900</v>
      </c>
      <c r="I32" s="12" t="n">
        <f aca="false">INDEX(Urg_Mult,MATCH(E32,Urg_Levels,0))</f>
        <v>1.3</v>
      </c>
      <c r="J32" s="3" t="n">
        <f aca="false">IF(ISNUMBER(H32),MAX(H32,IFERROR(INDEX(MW_Floor,MATCH(G32,MW_Key,0)),0))*I32,"")</f>
        <v>1170</v>
      </c>
      <c r="K32" s="3" t="n">
        <f aca="false">IF(ISNUMBER(J32),F32+J32,"")</f>
        <v>1509.51</v>
      </c>
      <c r="L32" s="3" t="n">
        <f aca="false">IF(ISNUMBER(H32),MAX(H32,IFERROR(INDEX(MW_Floor,MATCH(G32,MW_Key,0)),0))*I32,"")</f>
        <v>1170</v>
      </c>
      <c r="M32" s="2" t="str">
        <f aca="false">IFERROR(INDEX(LR_Flag,MATCH(G32,LR_Key,0)),"")</f>
        <v>none</v>
      </c>
      <c r="N32" s="2" t="str">
        <f aca="false">IFERROR(INDEX(MW_Check,MATCH(G32,MW_Key,0)),"")</f>
        <v>OK</v>
      </c>
      <c r="O32" s="0" t="str">
        <f aca="false">IF(NOT(ISNUMBER(H32)),"LABOR QUOTE NEEDED – total incomplete",IF(N32="BELOW FLOOR","CHECK: typical labor below wage floor – payout and customer labor raised to floor",IF(M32&lt;&gt;"none","Labor rate flagged: "&amp;M32,"OK")))</f>
        <v>OK</v>
      </c>
      <c r="P32" s="0" t="s">
        <v>1067</v>
      </c>
      <c r="Q32" s="8" t="s">
        <v>1068</v>
      </c>
      <c r="R32" s="2" t="str">
        <f aca="false">IF(OR(M32="regulated",COUNTIFS(Tasks_TaskID,A32,Tasks_Tier,D32,Tasks_Review,"base")&gt;0),"PENDING REVIEW – priced, not bookable until human approval",IF(COUNTIFS(Tasks_TaskID,A32,Tasks_Tier,D32,Tasks_Review,"as-needed")&gt;0,"Bookable (re-evaluate if regulated as-needed line selected)","Bookable"))</f>
        <v>Bookable (re-evaluate if regulated as-needed line selected)</v>
      </c>
    </row>
    <row r="33" customFormat="false" ht="17.15" hidden="false" customHeight="false" outlineLevel="0" collapsed="false">
      <c r="A33" s="2" t="s">
        <v>1064</v>
      </c>
      <c r="B33" s="2" t="s">
        <v>52</v>
      </c>
      <c r="C33" s="2" t="s">
        <v>1065</v>
      </c>
      <c r="D33" s="2" t="s">
        <v>1055</v>
      </c>
      <c r="E33" s="2" t="s">
        <v>1898</v>
      </c>
      <c r="F33" s="3" t="n">
        <f aca="false">INDEX(Sum_Base,MATCH(A33,Sum_BaseTasks,0),MATCH(D33,Sum_BaseTiers,0))</f>
        <v>339.51</v>
      </c>
      <c r="G33" s="2" t="str">
        <f aca="false">IF(ISNUMBER(MATCH(A33&amp;"|"&amp;D33,LR_Key,0)),A33&amp;"|"&amp;D33,A33&amp;"|All")</f>
        <v>FIXX-HVC-002|1 t</v>
      </c>
      <c r="H33" s="3" t="n">
        <f aca="false">IFERROR(INDEX(LR_TypLabor,MATCH(G33,LR_Key,0)),"")</f>
        <v>900</v>
      </c>
      <c r="I33" s="12" t="n">
        <f aca="false">INDEX(Urg_Mult,MATCH(E33,Urg_Levels,0))</f>
        <v>1.5</v>
      </c>
      <c r="J33" s="3" t="n">
        <f aca="false">IF(ISNUMBER(H33),MAX(H33,IFERROR(INDEX(MW_Floor,MATCH(G33,MW_Key,0)),0))*I33,"")</f>
        <v>1350</v>
      </c>
      <c r="K33" s="3" t="n">
        <f aca="false">IF(ISNUMBER(J33),F33+J33,"")</f>
        <v>1689.51</v>
      </c>
      <c r="L33" s="3" t="n">
        <f aca="false">IF(ISNUMBER(H33),MAX(H33,IFERROR(INDEX(MW_Floor,MATCH(G33,MW_Key,0)),0))*I33,"")</f>
        <v>1350</v>
      </c>
      <c r="M33" s="2" t="str">
        <f aca="false">IFERROR(INDEX(LR_Flag,MATCH(G33,LR_Key,0)),"")</f>
        <v>none</v>
      </c>
      <c r="N33" s="2" t="str">
        <f aca="false">IFERROR(INDEX(MW_Check,MATCH(G33,MW_Key,0)),"")</f>
        <v>OK</v>
      </c>
      <c r="O33" s="0" t="str">
        <f aca="false">IF(NOT(ISNUMBER(H33)),"LABOR QUOTE NEEDED – total incomplete",IF(N33="BELOW FLOOR","CHECK: typical labor below wage floor – payout and customer labor raised to floor",IF(M33&lt;&gt;"none","Labor rate flagged: "&amp;M33,"OK")))</f>
        <v>OK</v>
      </c>
      <c r="P33" s="0" t="s">
        <v>1067</v>
      </c>
      <c r="Q33" s="8" t="s">
        <v>1068</v>
      </c>
      <c r="R33" s="2" t="str">
        <f aca="false">IF(OR(M33="regulated",COUNTIFS(Tasks_TaskID,A33,Tasks_Tier,D33,Tasks_Review,"base")&gt;0),"PENDING REVIEW – priced, not bookable until human approval",IF(COUNTIFS(Tasks_TaskID,A33,Tasks_Tier,D33,Tasks_Review,"as-needed")&gt;0,"Bookable (re-evaluate if regulated as-needed line selected)","Bookable"))</f>
        <v>Bookable (re-evaluate if regulated as-needed line selected)</v>
      </c>
    </row>
    <row r="34" customFormat="false" ht="17.15" hidden="false" customHeight="false" outlineLevel="0" collapsed="false">
      <c r="A34" s="2" t="s">
        <v>1064</v>
      </c>
      <c r="B34" s="2" t="s">
        <v>52</v>
      </c>
      <c r="C34" s="2" t="s">
        <v>1065</v>
      </c>
      <c r="D34" s="2" t="s">
        <v>1070</v>
      </c>
      <c r="E34" s="2" t="s">
        <v>1895</v>
      </c>
      <c r="F34" s="3" t="n">
        <f aca="false">INDEX(Sum_Base,MATCH(A34,Sum_BaseTasks,0),MATCH(D34,Sum_BaseTiers,0))</f>
        <v>345.96</v>
      </c>
      <c r="G34" s="2" t="str">
        <f aca="false">IF(ISNUMBER(MATCH(A34&amp;"|"&amp;D34,LR_Key,0)),A34&amp;"|"&amp;D34,A34&amp;"|All")</f>
        <v>FIXX-HVC-002|1.5 t</v>
      </c>
      <c r="H34" s="3" t="n">
        <f aca="false">IFERROR(INDEX(LR_TypLabor,MATCH(G34,LR_Key,0)),"")</f>
        <v>1050</v>
      </c>
      <c r="I34" s="12" t="n">
        <f aca="false">INDEX(Urg_Mult,MATCH(E34,Urg_Levels,0))</f>
        <v>1</v>
      </c>
      <c r="J34" s="3" t="n">
        <f aca="false">IF(ISNUMBER(H34),MAX(H34,IFERROR(INDEX(MW_Floor,MATCH(G34,MW_Key,0)),0))*I34,"")</f>
        <v>1050</v>
      </c>
      <c r="K34" s="3" t="n">
        <f aca="false">IF(ISNUMBER(J34),F34+J34,"")</f>
        <v>1395.96</v>
      </c>
      <c r="L34" s="3" t="n">
        <f aca="false">IF(ISNUMBER(H34),MAX(H34,IFERROR(INDEX(MW_Floor,MATCH(G34,MW_Key,0)),0))*I34,"")</f>
        <v>1050</v>
      </c>
      <c r="M34" s="2" t="str">
        <f aca="false">IFERROR(INDEX(LR_Flag,MATCH(G34,LR_Key,0)),"")</f>
        <v>none</v>
      </c>
      <c r="N34" s="2" t="str">
        <f aca="false">IFERROR(INDEX(MW_Check,MATCH(G34,MW_Key,0)),"")</f>
        <v>OK</v>
      </c>
      <c r="O34" s="0" t="str">
        <f aca="false">IF(NOT(ISNUMBER(H34)),"LABOR QUOTE NEEDED – total incomplete",IF(N34="BELOW FLOOR","CHECK: typical labor below wage floor – payout and customer labor raised to floor",IF(M34&lt;&gt;"none","Labor rate flagged: "&amp;M34,"OK")))</f>
        <v>OK</v>
      </c>
      <c r="P34" s="0" t="s">
        <v>1067</v>
      </c>
      <c r="Q34" s="8" t="s">
        <v>1068</v>
      </c>
      <c r="R34" s="2" t="str">
        <f aca="false">IF(OR(M34="regulated",COUNTIFS(Tasks_TaskID,A34,Tasks_Tier,D34,Tasks_Review,"base")&gt;0),"PENDING REVIEW – priced, not bookable until human approval",IF(COUNTIFS(Tasks_TaskID,A34,Tasks_Tier,D34,Tasks_Review,"as-needed")&gt;0,"Bookable (re-evaluate if regulated as-needed line selected)","Bookable"))</f>
        <v>Bookable (re-evaluate if regulated as-needed line selected)</v>
      </c>
    </row>
    <row r="35" customFormat="false" ht="17.15" hidden="false" customHeight="false" outlineLevel="0" collapsed="false">
      <c r="A35" s="2" t="s">
        <v>1064</v>
      </c>
      <c r="B35" s="2" t="s">
        <v>52</v>
      </c>
      <c r="C35" s="2" t="s">
        <v>1065</v>
      </c>
      <c r="D35" s="2" t="s">
        <v>1070</v>
      </c>
      <c r="E35" s="2" t="s">
        <v>1896</v>
      </c>
      <c r="F35" s="3" t="n">
        <f aca="false">INDEX(Sum_Base,MATCH(A35,Sum_BaseTasks,0),MATCH(D35,Sum_BaseTiers,0))</f>
        <v>345.96</v>
      </c>
      <c r="G35" s="2" t="str">
        <f aca="false">IF(ISNUMBER(MATCH(A35&amp;"|"&amp;D35,LR_Key,0)),A35&amp;"|"&amp;D35,A35&amp;"|All")</f>
        <v>FIXX-HVC-002|1.5 t</v>
      </c>
      <c r="H35" s="3" t="n">
        <f aca="false">IFERROR(INDEX(LR_TypLabor,MATCH(G35,LR_Key,0)),"")</f>
        <v>1050</v>
      </c>
      <c r="I35" s="12" t="n">
        <f aca="false">INDEX(Urg_Mult,MATCH(E35,Urg_Levels,0))</f>
        <v>1.15</v>
      </c>
      <c r="J35" s="3" t="n">
        <f aca="false">IF(ISNUMBER(H35),MAX(H35,IFERROR(INDEX(MW_Floor,MATCH(G35,MW_Key,0)),0))*I35,"")</f>
        <v>1207.5</v>
      </c>
      <c r="K35" s="3" t="n">
        <f aca="false">IF(ISNUMBER(J35),F35+J35,"")</f>
        <v>1553.46</v>
      </c>
      <c r="L35" s="3" t="n">
        <f aca="false">IF(ISNUMBER(H35),MAX(H35,IFERROR(INDEX(MW_Floor,MATCH(G35,MW_Key,0)),0))*I35,"")</f>
        <v>1207.5</v>
      </c>
      <c r="M35" s="2" t="str">
        <f aca="false">IFERROR(INDEX(LR_Flag,MATCH(G35,LR_Key,0)),"")</f>
        <v>none</v>
      </c>
      <c r="N35" s="2" t="str">
        <f aca="false">IFERROR(INDEX(MW_Check,MATCH(G35,MW_Key,0)),"")</f>
        <v>OK</v>
      </c>
      <c r="O35" s="0" t="str">
        <f aca="false">IF(NOT(ISNUMBER(H35)),"LABOR QUOTE NEEDED – total incomplete",IF(N35="BELOW FLOOR","CHECK: typical labor below wage floor – payout and customer labor raised to floor",IF(M35&lt;&gt;"none","Labor rate flagged: "&amp;M35,"OK")))</f>
        <v>OK</v>
      </c>
      <c r="P35" s="0" t="s">
        <v>1067</v>
      </c>
      <c r="Q35" s="8" t="s">
        <v>1068</v>
      </c>
      <c r="R35" s="2" t="str">
        <f aca="false">IF(OR(M35="regulated",COUNTIFS(Tasks_TaskID,A35,Tasks_Tier,D35,Tasks_Review,"base")&gt;0),"PENDING REVIEW – priced, not bookable until human approval",IF(COUNTIFS(Tasks_TaskID,A35,Tasks_Tier,D35,Tasks_Review,"as-needed")&gt;0,"Bookable (re-evaluate if regulated as-needed line selected)","Bookable"))</f>
        <v>Bookable (re-evaluate if regulated as-needed line selected)</v>
      </c>
    </row>
    <row r="36" customFormat="false" ht="17.15" hidden="false" customHeight="false" outlineLevel="0" collapsed="false">
      <c r="A36" s="2" t="s">
        <v>1064</v>
      </c>
      <c r="B36" s="2" t="s">
        <v>52</v>
      </c>
      <c r="C36" s="2" t="s">
        <v>1065</v>
      </c>
      <c r="D36" s="2" t="s">
        <v>1070</v>
      </c>
      <c r="E36" s="2" t="s">
        <v>1897</v>
      </c>
      <c r="F36" s="3" t="n">
        <f aca="false">INDEX(Sum_Base,MATCH(A36,Sum_BaseTasks,0),MATCH(D36,Sum_BaseTiers,0))</f>
        <v>345.96</v>
      </c>
      <c r="G36" s="2" t="str">
        <f aca="false">IF(ISNUMBER(MATCH(A36&amp;"|"&amp;D36,LR_Key,0)),A36&amp;"|"&amp;D36,A36&amp;"|All")</f>
        <v>FIXX-HVC-002|1.5 t</v>
      </c>
      <c r="H36" s="3" t="n">
        <f aca="false">IFERROR(INDEX(LR_TypLabor,MATCH(G36,LR_Key,0)),"")</f>
        <v>1050</v>
      </c>
      <c r="I36" s="12" t="n">
        <f aca="false">INDEX(Urg_Mult,MATCH(E36,Urg_Levels,0))</f>
        <v>1.3</v>
      </c>
      <c r="J36" s="3" t="n">
        <f aca="false">IF(ISNUMBER(H36),MAX(H36,IFERROR(INDEX(MW_Floor,MATCH(G36,MW_Key,0)),0))*I36,"")</f>
        <v>1365</v>
      </c>
      <c r="K36" s="3" t="n">
        <f aca="false">IF(ISNUMBER(J36),F36+J36,"")</f>
        <v>1710.96</v>
      </c>
      <c r="L36" s="3" t="n">
        <f aca="false">IF(ISNUMBER(H36),MAX(H36,IFERROR(INDEX(MW_Floor,MATCH(G36,MW_Key,0)),0))*I36,"")</f>
        <v>1365</v>
      </c>
      <c r="M36" s="2" t="str">
        <f aca="false">IFERROR(INDEX(LR_Flag,MATCH(G36,LR_Key,0)),"")</f>
        <v>none</v>
      </c>
      <c r="N36" s="2" t="str">
        <f aca="false">IFERROR(INDEX(MW_Check,MATCH(G36,MW_Key,0)),"")</f>
        <v>OK</v>
      </c>
      <c r="O36" s="0" t="str">
        <f aca="false">IF(NOT(ISNUMBER(H36)),"LABOR QUOTE NEEDED – total incomplete",IF(N36="BELOW FLOOR","CHECK: typical labor below wage floor – payout and customer labor raised to floor",IF(M36&lt;&gt;"none","Labor rate flagged: "&amp;M36,"OK")))</f>
        <v>OK</v>
      </c>
      <c r="P36" s="0" t="s">
        <v>1067</v>
      </c>
      <c r="Q36" s="8" t="s">
        <v>1068</v>
      </c>
      <c r="R36" s="2" t="str">
        <f aca="false">IF(OR(M36="regulated",COUNTIFS(Tasks_TaskID,A36,Tasks_Tier,D36,Tasks_Review,"base")&gt;0),"PENDING REVIEW – priced, not bookable until human approval",IF(COUNTIFS(Tasks_TaskID,A36,Tasks_Tier,D36,Tasks_Review,"as-needed")&gt;0,"Bookable (re-evaluate if regulated as-needed line selected)","Bookable"))</f>
        <v>Bookable (re-evaluate if regulated as-needed line selected)</v>
      </c>
    </row>
    <row r="37" customFormat="false" ht="17.15" hidden="false" customHeight="false" outlineLevel="0" collapsed="false">
      <c r="A37" s="2" t="s">
        <v>1064</v>
      </c>
      <c r="B37" s="2" t="s">
        <v>52</v>
      </c>
      <c r="C37" s="2" t="s">
        <v>1065</v>
      </c>
      <c r="D37" s="2" t="s">
        <v>1070</v>
      </c>
      <c r="E37" s="2" t="s">
        <v>1898</v>
      </c>
      <c r="F37" s="3" t="n">
        <f aca="false">INDEX(Sum_Base,MATCH(A37,Sum_BaseTasks,0),MATCH(D37,Sum_BaseTiers,0))</f>
        <v>345.96</v>
      </c>
      <c r="G37" s="2" t="str">
        <f aca="false">IF(ISNUMBER(MATCH(A37&amp;"|"&amp;D37,LR_Key,0)),A37&amp;"|"&amp;D37,A37&amp;"|All")</f>
        <v>FIXX-HVC-002|1.5 t</v>
      </c>
      <c r="H37" s="3" t="n">
        <f aca="false">IFERROR(INDEX(LR_TypLabor,MATCH(G37,LR_Key,0)),"")</f>
        <v>1050</v>
      </c>
      <c r="I37" s="12" t="n">
        <f aca="false">INDEX(Urg_Mult,MATCH(E37,Urg_Levels,0))</f>
        <v>1.5</v>
      </c>
      <c r="J37" s="3" t="n">
        <f aca="false">IF(ISNUMBER(H37),MAX(H37,IFERROR(INDEX(MW_Floor,MATCH(G37,MW_Key,0)),0))*I37,"")</f>
        <v>1575</v>
      </c>
      <c r="K37" s="3" t="n">
        <f aca="false">IF(ISNUMBER(J37),F37+J37,"")</f>
        <v>1920.96</v>
      </c>
      <c r="L37" s="3" t="n">
        <f aca="false">IF(ISNUMBER(H37),MAX(H37,IFERROR(INDEX(MW_Floor,MATCH(G37,MW_Key,0)),0))*I37,"")</f>
        <v>1575</v>
      </c>
      <c r="M37" s="2" t="str">
        <f aca="false">IFERROR(INDEX(LR_Flag,MATCH(G37,LR_Key,0)),"")</f>
        <v>none</v>
      </c>
      <c r="N37" s="2" t="str">
        <f aca="false">IFERROR(INDEX(MW_Check,MATCH(G37,MW_Key,0)),"")</f>
        <v>OK</v>
      </c>
      <c r="O37" s="0" t="str">
        <f aca="false">IF(NOT(ISNUMBER(H37)),"LABOR QUOTE NEEDED – total incomplete",IF(N37="BELOW FLOOR","CHECK: typical labor below wage floor – payout and customer labor raised to floor",IF(M37&lt;&gt;"none","Labor rate flagged: "&amp;M37,"OK")))</f>
        <v>OK</v>
      </c>
      <c r="P37" s="0" t="s">
        <v>1067</v>
      </c>
      <c r="Q37" s="8" t="s">
        <v>1068</v>
      </c>
      <c r="R37" s="2" t="str">
        <f aca="false">IF(OR(M37="regulated",COUNTIFS(Tasks_TaskID,A37,Tasks_Tier,D37,Tasks_Review,"base")&gt;0),"PENDING REVIEW – priced, not bookable until human approval",IF(COUNTIFS(Tasks_TaskID,A37,Tasks_Tier,D37,Tasks_Review,"as-needed")&gt;0,"Bookable (re-evaluate if regulated as-needed line selected)","Bookable"))</f>
        <v>Bookable (re-evaluate if regulated as-needed line selected)</v>
      </c>
    </row>
    <row r="38" customFormat="false" ht="17.15" hidden="false" customHeight="false" outlineLevel="0" collapsed="false">
      <c r="A38" s="2" t="s">
        <v>1064</v>
      </c>
      <c r="B38" s="2" t="s">
        <v>52</v>
      </c>
      <c r="C38" s="2" t="s">
        <v>1065</v>
      </c>
      <c r="D38" s="2" t="s">
        <v>1074</v>
      </c>
      <c r="E38" s="2" t="s">
        <v>1895</v>
      </c>
      <c r="F38" s="3" t="n">
        <f aca="false">INDEX(Sum_Base,MATCH(A38,Sum_BaseTasks,0),MATCH(D38,Sum_BaseTiers,0))</f>
        <v>358.86</v>
      </c>
      <c r="G38" s="2" t="str">
        <f aca="false">IF(ISNUMBER(MATCH(A38&amp;"|"&amp;D38,LR_Key,0)),A38&amp;"|"&amp;D38,A38&amp;"|All")</f>
        <v>FIXX-HVC-002|2 t</v>
      </c>
      <c r="H38" s="3" t="n">
        <f aca="false">IFERROR(INDEX(LR_TypLabor,MATCH(G38,LR_Key,0)),"")</f>
        <v>1200</v>
      </c>
      <c r="I38" s="12" t="n">
        <f aca="false">INDEX(Urg_Mult,MATCH(E38,Urg_Levels,0))</f>
        <v>1</v>
      </c>
      <c r="J38" s="3" t="n">
        <f aca="false">IF(ISNUMBER(H38),MAX(H38,IFERROR(INDEX(MW_Floor,MATCH(G38,MW_Key,0)),0))*I38,"")</f>
        <v>1200</v>
      </c>
      <c r="K38" s="3" t="n">
        <f aca="false">IF(ISNUMBER(J38),F38+J38,"")</f>
        <v>1558.86</v>
      </c>
      <c r="L38" s="3" t="n">
        <f aca="false">IF(ISNUMBER(H38),MAX(H38,IFERROR(INDEX(MW_Floor,MATCH(G38,MW_Key,0)),0))*I38,"")</f>
        <v>1200</v>
      </c>
      <c r="M38" s="2" t="str">
        <f aca="false">IFERROR(INDEX(LR_Flag,MATCH(G38,LR_Key,0)),"")</f>
        <v>none</v>
      </c>
      <c r="N38" s="2" t="str">
        <f aca="false">IFERROR(INDEX(MW_Check,MATCH(G38,MW_Key,0)),"")</f>
        <v>OK</v>
      </c>
      <c r="O38" s="0" t="str">
        <f aca="false">IF(NOT(ISNUMBER(H38)),"LABOR QUOTE NEEDED – total incomplete",IF(N38="BELOW FLOOR","CHECK: typical labor below wage floor – payout and customer labor raised to floor",IF(M38&lt;&gt;"none","Labor rate flagged: "&amp;M38,"OK")))</f>
        <v>OK</v>
      </c>
      <c r="P38" s="0" t="s">
        <v>1067</v>
      </c>
      <c r="Q38" s="8" t="s">
        <v>1068</v>
      </c>
      <c r="R38" s="2" t="str">
        <f aca="false">IF(OR(M38="regulated",COUNTIFS(Tasks_TaskID,A38,Tasks_Tier,D38,Tasks_Review,"base")&gt;0),"PENDING REVIEW – priced, not bookable until human approval",IF(COUNTIFS(Tasks_TaskID,A38,Tasks_Tier,D38,Tasks_Review,"as-needed")&gt;0,"Bookable (re-evaluate if regulated as-needed line selected)","Bookable"))</f>
        <v>Bookable (re-evaluate if regulated as-needed line selected)</v>
      </c>
    </row>
    <row r="39" customFormat="false" ht="17.15" hidden="false" customHeight="false" outlineLevel="0" collapsed="false">
      <c r="A39" s="2" t="s">
        <v>1064</v>
      </c>
      <c r="B39" s="2" t="s">
        <v>52</v>
      </c>
      <c r="C39" s="2" t="s">
        <v>1065</v>
      </c>
      <c r="D39" s="2" t="s">
        <v>1074</v>
      </c>
      <c r="E39" s="2" t="s">
        <v>1896</v>
      </c>
      <c r="F39" s="3" t="n">
        <f aca="false">INDEX(Sum_Base,MATCH(A39,Sum_BaseTasks,0),MATCH(D39,Sum_BaseTiers,0))</f>
        <v>358.86</v>
      </c>
      <c r="G39" s="2" t="str">
        <f aca="false">IF(ISNUMBER(MATCH(A39&amp;"|"&amp;D39,LR_Key,0)),A39&amp;"|"&amp;D39,A39&amp;"|All")</f>
        <v>FIXX-HVC-002|2 t</v>
      </c>
      <c r="H39" s="3" t="n">
        <f aca="false">IFERROR(INDEX(LR_TypLabor,MATCH(G39,LR_Key,0)),"")</f>
        <v>1200</v>
      </c>
      <c r="I39" s="12" t="n">
        <f aca="false">INDEX(Urg_Mult,MATCH(E39,Urg_Levels,0))</f>
        <v>1.15</v>
      </c>
      <c r="J39" s="3" t="n">
        <f aca="false">IF(ISNUMBER(H39),MAX(H39,IFERROR(INDEX(MW_Floor,MATCH(G39,MW_Key,0)),0))*I39,"")</f>
        <v>1380</v>
      </c>
      <c r="K39" s="3" t="n">
        <f aca="false">IF(ISNUMBER(J39),F39+J39,"")</f>
        <v>1738.86</v>
      </c>
      <c r="L39" s="3" t="n">
        <f aca="false">IF(ISNUMBER(H39),MAX(H39,IFERROR(INDEX(MW_Floor,MATCH(G39,MW_Key,0)),0))*I39,"")</f>
        <v>1380</v>
      </c>
      <c r="M39" s="2" t="str">
        <f aca="false">IFERROR(INDEX(LR_Flag,MATCH(G39,LR_Key,0)),"")</f>
        <v>none</v>
      </c>
      <c r="N39" s="2" t="str">
        <f aca="false">IFERROR(INDEX(MW_Check,MATCH(G39,MW_Key,0)),"")</f>
        <v>OK</v>
      </c>
      <c r="O39" s="0" t="str">
        <f aca="false">IF(NOT(ISNUMBER(H39)),"LABOR QUOTE NEEDED – total incomplete",IF(N39="BELOW FLOOR","CHECK: typical labor below wage floor – payout and customer labor raised to floor",IF(M39&lt;&gt;"none","Labor rate flagged: "&amp;M39,"OK")))</f>
        <v>OK</v>
      </c>
      <c r="P39" s="0" t="s">
        <v>1067</v>
      </c>
      <c r="Q39" s="8" t="s">
        <v>1068</v>
      </c>
      <c r="R39" s="2" t="str">
        <f aca="false">IF(OR(M39="regulated",COUNTIFS(Tasks_TaskID,A39,Tasks_Tier,D39,Tasks_Review,"base")&gt;0),"PENDING REVIEW – priced, not bookable until human approval",IF(COUNTIFS(Tasks_TaskID,A39,Tasks_Tier,D39,Tasks_Review,"as-needed")&gt;0,"Bookable (re-evaluate if regulated as-needed line selected)","Bookable"))</f>
        <v>Bookable (re-evaluate if regulated as-needed line selected)</v>
      </c>
    </row>
    <row r="40" customFormat="false" ht="17.15" hidden="false" customHeight="false" outlineLevel="0" collapsed="false">
      <c r="A40" s="2" t="s">
        <v>1064</v>
      </c>
      <c r="B40" s="2" t="s">
        <v>52</v>
      </c>
      <c r="C40" s="2" t="s">
        <v>1065</v>
      </c>
      <c r="D40" s="2" t="s">
        <v>1074</v>
      </c>
      <c r="E40" s="2" t="s">
        <v>1897</v>
      </c>
      <c r="F40" s="3" t="n">
        <f aca="false">INDEX(Sum_Base,MATCH(A40,Sum_BaseTasks,0),MATCH(D40,Sum_BaseTiers,0))</f>
        <v>358.86</v>
      </c>
      <c r="G40" s="2" t="str">
        <f aca="false">IF(ISNUMBER(MATCH(A40&amp;"|"&amp;D40,LR_Key,0)),A40&amp;"|"&amp;D40,A40&amp;"|All")</f>
        <v>FIXX-HVC-002|2 t</v>
      </c>
      <c r="H40" s="3" t="n">
        <f aca="false">IFERROR(INDEX(LR_TypLabor,MATCH(G40,LR_Key,0)),"")</f>
        <v>1200</v>
      </c>
      <c r="I40" s="12" t="n">
        <f aca="false">INDEX(Urg_Mult,MATCH(E40,Urg_Levels,0))</f>
        <v>1.3</v>
      </c>
      <c r="J40" s="3" t="n">
        <f aca="false">IF(ISNUMBER(H40),MAX(H40,IFERROR(INDEX(MW_Floor,MATCH(G40,MW_Key,0)),0))*I40,"")</f>
        <v>1560</v>
      </c>
      <c r="K40" s="3" t="n">
        <f aca="false">IF(ISNUMBER(J40),F40+J40,"")</f>
        <v>1918.86</v>
      </c>
      <c r="L40" s="3" t="n">
        <f aca="false">IF(ISNUMBER(H40),MAX(H40,IFERROR(INDEX(MW_Floor,MATCH(G40,MW_Key,0)),0))*I40,"")</f>
        <v>1560</v>
      </c>
      <c r="M40" s="2" t="str">
        <f aca="false">IFERROR(INDEX(LR_Flag,MATCH(G40,LR_Key,0)),"")</f>
        <v>none</v>
      </c>
      <c r="N40" s="2" t="str">
        <f aca="false">IFERROR(INDEX(MW_Check,MATCH(G40,MW_Key,0)),"")</f>
        <v>OK</v>
      </c>
      <c r="O40" s="0" t="str">
        <f aca="false">IF(NOT(ISNUMBER(H40)),"LABOR QUOTE NEEDED – total incomplete",IF(N40="BELOW FLOOR","CHECK: typical labor below wage floor – payout and customer labor raised to floor",IF(M40&lt;&gt;"none","Labor rate flagged: "&amp;M40,"OK")))</f>
        <v>OK</v>
      </c>
      <c r="P40" s="0" t="s">
        <v>1067</v>
      </c>
      <c r="Q40" s="8" t="s">
        <v>1068</v>
      </c>
      <c r="R40" s="2" t="str">
        <f aca="false">IF(OR(M40="regulated",COUNTIFS(Tasks_TaskID,A40,Tasks_Tier,D40,Tasks_Review,"base")&gt;0),"PENDING REVIEW – priced, not bookable until human approval",IF(COUNTIFS(Tasks_TaskID,A40,Tasks_Tier,D40,Tasks_Review,"as-needed")&gt;0,"Bookable (re-evaluate if regulated as-needed line selected)","Bookable"))</f>
        <v>Bookable (re-evaluate if regulated as-needed line selected)</v>
      </c>
    </row>
    <row r="41" customFormat="false" ht="17.15" hidden="false" customHeight="false" outlineLevel="0" collapsed="false">
      <c r="A41" s="2" t="s">
        <v>1064</v>
      </c>
      <c r="B41" s="2" t="s">
        <v>52</v>
      </c>
      <c r="C41" s="2" t="s">
        <v>1065</v>
      </c>
      <c r="D41" s="2" t="s">
        <v>1074</v>
      </c>
      <c r="E41" s="2" t="s">
        <v>1898</v>
      </c>
      <c r="F41" s="3" t="n">
        <f aca="false">INDEX(Sum_Base,MATCH(A41,Sum_BaseTasks,0),MATCH(D41,Sum_BaseTiers,0))</f>
        <v>358.86</v>
      </c>
      <c r="G41" s="2" t="str">
        <f aca="false">IF(ISNUMBER(MATCH(A41&amp;"|"&amp;D41,LR_Key,0)),A41&amp;"|"&amp;D41,A41&amp;"|All")</f>
        <v>FIXX-HVC-002|2 t</v>
      </c>
      <c r="H41" s="3" t="n">
        <f aca="false">IFERROR(INDEX(LR_TypLabor,MATCH(G41,LR_Key,0)),"")</f>
        <v>1200</v>
      </c>
      <c r="I41" s="12" t="n">
        <f aca="false">INDEX(Urg_Mult,MATCH(E41,Urg_Levels,0))</f>
        <v>1.5</v>
      </c>
      <c r="J41" s="3" t="n">
        <f aca="false">IF(ISNUMBER(H41),MAX(H41,IFERROR(INDEX(MW_Floor,MATCH(G41,MW_Key,0)),0))*I41,"")</f>
        <v>1800</v>
      </c>
      <c r="K41" s="3" t="n">
        <f aca="false">IF(ISNUMBER(J41),F41+J41,"")</f>
        <v>2158.86</v>
      </c>
      <c r="L41" s="3" t="n">
        <f aca="false">IF(ISNUMBER(H41),MAX(H41,IFERROR(INDEX(MW_Floor,MATCH(G41,MW_Key,0)),0))*I41,"")</f>
        <v>1800</v>
      </c>
      <c r="M41" s="2" t="str">
        <f aca="false">IFERROR(INDEX(LR_Flag,MATCH(G41,LR_Key,0)),"")</f>
        <v>none</v>
      </c>
      <c r="N41" s="2" t="str">
        <f aca="false">IFERROR(INDEX(MW_Check,MATCH(G41,MW_Key,0)),"")</f>
        <v>OK</v>
      </c>
      <c r="O41" s="0" t="str">
        <f aca="false">IF(NOT(ISNUMBER(H41)),"LABOR QUOTE NEEDED – total incomplete",IF(N41="BELOW FLOOR","CHECK: typical labor below wage floor – payout and customer labor raised to floor",IF(M41&lt;&gt;"none","Labor rate flagged: "&amp;M41,"OK")))</f>
        <v>OK</v>
      </c>
      <c r="P41" s="0" t="s">
        <v>1067</v>
      </c>
      <c r="Q41" s="8" t="s">
        <v>1068</v>
      </c>
      <c r="R41" s="2" t="str">
        <f aca="false">IF(OR(M41="regulated",COUNTIFS(Tasks_TaskID,A41,Tasks_Tier,D41,Tasks_Review,"base")&gt;0),"PENDING REVIEW – priced, not bookable until human approval",IF(COUNTIFS(Tasks_TaskID,A41,Tasks_Tier,D41,Tasks_Review,"as-needed")&gt;0,"Bookable (re-evaluate if regulated as-needed line selected)","Bookable"))</f>
        <v>Bookable (re-evaluate if regulated as-needed line selected)</v>
      </c>
    </row>
    <row r="42" customFormat="false" ht="17.15" hidden="false" customHeight="false" outlineLevel="0" collapsed="false">
      <c r="A42" s="2" t="s">
        <v>1064</v>
      </c>
      <c r="B42" s="2" t="s">
        <v>52</v>
      </c>
      <c r="C42" s="2" t="s">
        <v>1065</v>
      </c>
      <c r="D42" s="2" t="s">
        <v>1078</v>
      </c>
      <c r="E42" s="2" t="s">
        <v>1895</v>
      </c>
      <c r="F42" s="3" t="n">
        <f aca="false">INDEX(Sum_Base,MATCH(A42,Sum_BaseTasks,0),MATCH(D42,Sum_BaseTiers,0))</f>
        <v>371.76</v>
      </c>
      <c r="G42" s="2" t="str">
        <f aca="false">IF(ISNUMBER(MATCH(A42&amp;"|"&amp;D42,LR_Key,0)),A42&amp;"|"&amp;D42,A42&amp;"|All")</f>
        <v>FIXX-HVC-002|3 t</v>
      </c>
      <c r="H42" s="3" t="n">
        <f aca="false">IFERROR(INDEX(LR_TypLabor,MATCH(G42,LR_Key,0)),"")</f>
        <v>1500</v>
      </c>
      <c r="I42" s="12" t="n">
        <f aca="false">INDEX(Urg_Mult,MATCH(E42,Urg_Levels,0))</f>
        <v>1</v>
      </c>
      <c r="J42" s="3" t="n">
        <f aca="false">IF(ISNUMBER(H42),MAX(H42,IFERROR(INDEX(MW_Floor,MATCH(G42,MW_Key,0)),0))*I42,"")</f>
        <v>1500</v>
      </c>
      <c r="K42" s="3" t="n">
        <f aca="false">IF(ISNUMBER(J42),F42+J42,"")</f>
        <v>1871.76</v>
      </c>
      <c r="L42" s="3" t="n">
        <f aca="false">IF(ISNUMBER(H42),MAX(H42,IFERROR(INDEX(MW_Floor,MATCH(G42,MW_Key,0)),0))*I42,"")</f>
        <v>1500</v>
      </c>
      <c r="M42" s="2" t="str">
        <f aca="false">IFERROR(INDEX(LR_Flag,MATCH(G42,LR_Key,0)),"")</f>
        <v>none</v>
      </c>
      <c r="N42" s="2" t="str">
        <f aca="false">IFERROR(INDEX(MW_Check,MATCH(G42,MW_Key,0)),"")</f>
        <v>OK</v>
      </c>
      <c r="O42" s="0" t="str">
        <f aca="false">IF(NOT(ISNUMBER(H42)),"LABOR QUOTE NEEDED – total incomplete",IF(N42="BELOW FLOOR","CHECK: typical labor below wage floor – payout and customer labor raised to floor",IF(M42&lt;&gt;"none","Labor rate flagged: "&amp;M42,"OK")))</f>
        <v>OK</v>
      </c>
      <c r="P42" s="0" t="s">
        <v>1067</v>
      </c>
      <c r="Q42" s="8" t="s">
        <v>1068</v>
      </c>
      <c r="R42" s="2" t="str">
        <f aca="false">IF(OR(M42="regulated",COUNTIFS(Tasks_TaskID,A42,Tasks_Tier,D42,Tasks_Review,"base")&gt;0),"PENDING REVIEW – priced, not bookable until human approval",IF(COUNTIFS(Tasks_TaskID,A42,Tasks_Tier,D42,Tasks_Review,"as-needed")&gt;0,"Bookable (re-evaluate if regulated as-needed line selected)","Bookable"))</f>
        <v>Bookable (re-evaluate if regulated as-needed line selected)</v>
      </c>
    </row>
    <row r="43" customFormat="false" ht="17.15" hidden="false" customHeight="false" outlineLevel="0" collapsed="false">
      <c r="A43" s="2" t="s">
        <v>1064</v>
      </c>
      <c r="B43" s="2" t="s">
        <v>52</v>
      </c>
      <c r="C43" s="2" t="s">
        <v>1065</v>
      </c>
      <c r="D43" s="2" t="s">
        <v>1078</v>
      </c>
      <c r="E43" s="2" t="s">
        <v>1896</v>
      </c>
      <c r="F43" s="3" t="n">
        <f aca="false">INDEX(Sum_Base,MATCH(A43,Sum_BaseTasks,0),MATCH(D43,Sum_BaseTiers,0))</f>
        <v>371.76</v>
      </c>
      <c r="G43" s="2" t="str">
        <f aca="false">IF(ISNUMBER(MATCH(A43&amp;"|"&amp;D43,LR_Key,0)),A43&amp;"|"&amp;D43,A43&amp;"|All")</f>
        <v>FIXX-HVC-002|3 t</v>
      </c>
      <c r="H43" s="3" t="n">
        <f aca="false">IFERROR(INDEX(LR_TypLabor,MATCH(G43,LR_Key,0)),"")</f>
        <v>1500</v>
      </c>
      <c r="I43" s="12" t="n">
        <f aca="false">INDEX(Urg_Mult,MATCH(E43,Urg_Levels,0))</f>
        <v>1.15</v>
      </c>
      <c r="J43" s="3" t="n">
        <f aca="false">IF(ISNUMBER(H43),MAX(H43,IFERROR(INDEX(MW_Floor,MATCH(G43,MW_Key,0)),0))*I43,"")</f>
        <v>1725</v>
      </c>
      <c r="K43" s="3" t="n">
        <f aca="false">IF(ISNUMBER(J43),F43+J43,"")</f>
        <v>2096.76</v>
      </c>
      <c r="L43" s="3" t="n">
        <f aca="false">IF(ISNUMBER(H43),MAX(H43,IFERROR(INDEX(MW_Floor,MATCH(G43,MW_Key,0)),0))*I43,"")</f>
        <v>1725</v>
      </c>
      <c r="M43" s="2" t="str">
        <f aca="false">IFERROR(INDEX(LR_Flag,MATCH(G43,LR_Key,0)),"")</f>
        <v>none</v>
      </c>
      <c r="N43" s="2" t="str">
        <f aca="false">IFERROR(INDEX(MW_Check,MATCH(G43,MW_Key,0)),"")</f>
        <v>OK</v>
      </c>
      <c r="O43" s="0" t="str">
        <f aca="false">IF(NOT(ISNUMBER(H43)),"LABOR QUOTE NEEDED – total incomplete",IF(N43="BELOW FLOOR","CHECK: typical labor below wage floor – payout and customer labor raised to floor",IF(M43&lt;&gt;"none","Labor rate flagged: "&amp;M43,"OK")))</f>
        <v>OK</v>
      </c>
      <c r="P43" s="0" t="s">
        <v>1067</v>
      </c>
      <c r="Q43" s="8" t="s">
        <v>1068</v>
      </c>
      <c r="R43" s="2" t="str">
        <f aca="false">IF(OR(M43="regulated",COUNTIFS(Tasks_TaskID,A43,Tasks_Tier,D43,Tasks_Review,"base")&gt;0),"PENDING REVIEW – priced, not bookable until human approval",IF(COUNTIFS(Tasks_TaskID,A43,Tasks_Tier,D43,Tasks_Review,"as-needed")&gt;0,"Bookable (re-evaluate if regulated as-needed line selected)","Bookable"))</f>
        <v>Bookable (re-evaluate if regulated as-needed line selected)</v>
      </c>
    </row>
    <row r="44" customFormat="false" ht="17.15" hidden="false" customHeight="false" outlineLevel="0" collapsed="false">
      <c r="A44" s="2" t="s">
        <v>1064</v>
      </c>
      <c r="B44" s="2" t="s">
        <v>52</v>
      </c>
      <c r="C44" s="2" t="s">
        <v>1065</v>
      </c>
      <c r="D44" s="2" t="s">
        <v>1078</v>
      </c>
      <c r="E44" s="2" t="s">
        <v>1897</v>
      </c>
      <c r="F44" s="3" t="n">
        <f aca="false">INDEX(Sum_Base,MATCH(A44,Sum_BaseTasks,0),MATCH(D44,Sum_BaseTiers,0))</f>
        <v>371.76</v>
      </c>
      <c r="G44" s="2" t="str">
        <f aca="false">IF(ISNUMBER(MATCH(A44&amp;"|"&amp;D44,LR_Key,0)),A44&amp;"|"&amp;D44,A44&amp;"|All")</f>
        <v>FIXX-HVC-002|3 t</v>
      </c>
      <c r="H44" s="3" t="n">
        <f aca="false">IFERROR(INDEX(LR_TypLabor,MATCH(G44,LR_Key,0)),"")</f>
        <v>1500</v>
      </c>
      <c r="I44" s="12" t="n">
        <f aca="false">INDEX(Urg_Mult,MATCH(E44,Urg_Levels,0))</f>
        <v>1.3</v>
      </c>
      <c r="J44" s="3" t="n">
        <f aca="false">IF(ISNUMBER(H44),MAX(H44,IFERROR(INDEX(MW_Floor,MATCH(G44,MW_Key,0)),0))*I44,"")</f>
        <v>1950</v>
      </c>
      <c r="K44" s="3" t="n">
        <f aca="false">IF(ISNUMBER(J44),F44+J44,"")</f>
        <v>2321.76</v>
      </c>
      <c r="L44" s="3" t="n">
        <f aca="false">IF(ISNUMBER(H44),MAX(H44,IFERROR(INDEX(MW_Floor,MATCH(G44,MW_Key,0)),0))*I44,"")</f>
        <v>1950</v>
      </c>
      <c r="M44" s="2" t="str">
        <f aca="false">IFERROR(INDEX(LR_Flag,MATCH(G44,LR_Key,0)),"")</f>
        <v>none</v>
      </c>
      <c r="N44" s="2" t="str">
        <f aca="false">IFERROR(INDEX(MW_Check,MATCH(G44,MW_Key,0)),"")</f>
        <v>OK</v>
      </c>
      <c r="O44" s="0" t="str">
        <f aca="false">IF(NOT(ISNUMBER(H44)),"LABOR QUOTE NEEDED – total incomplete",IF(N44="BELOW FLOOR","CHECK: typical labor below wage floor – payout and customer labor raised to floor",IF(M44&lt;&gt;"none","Labor rate flagged: "&amp;M44,"OK")))</f>
        <v>OK</v>
      </c>
      <c r="P44" s="0" t="s">
        <v>1067</v>
      </c>
      <c r="Q44" s="8" t="s">
        <v>1068</v>
      </c>
      <c r="R44" s="2" t="str">
        <f aca="false">IF(OR(M44="regulated",COUNTIFS(Tasks_TaskID,A44,Tasks_Tier,D44,Tasks_Review,"base")&gt;0),"PENDING REVIEW – priced, not bookable until human approval",IF(COUNTIFS(Tasks_TaskID,A44,Tasks_Tier,D44,Tasks_Review,"as-needed")&gt;0,"Bookable (re-evaluate if regulated as-needed line selected)","Bookable"))</f>
        <v>Bookable (re-evaluate if regulated as-needed line selected)</v>
      </c>
    </row>
    <row r="45" customFormat="false" ht="17.15" hidden="false" customHeight="false" outlineLevel="0" collapsed="false">
      <c r="A45" s="2" t="s">
        <v>1064</v>
      </c>
      <c r="B45" s="2" t="s">
        <v>52</v>
      </c>
      <c r="C45" s="2" t="s">
        <v>1065</v>
      </c>
      <c r="D45" s="2" t="s">
        <v>1078</v>
      </c>
      <c r="E45" s="2" t="s">
        <v>1898</v>
      </c>
      <c r="F45" s="3" t="n">
        <f aca="false">INDEX(Sum_Base,MATCH(A45,Sum_BaseTasks,0),MATCH(D45,Sum_BaseTiers,0))</f>
        <v>371.76</v>
      </c>
      <c r="G45" s="2" t="str">
        <f aca="false">IF(ISNUMBER(MATCH(A45&amp;"|"&amp;D45,LR_Key,0)),A45&amp;"|"&amp;D45,A45&amp;"|All")</f>
        <v>FIXX-HVC-002|3 t</v>
      </c>
      <c r="H45" s="3" t="n">
        <f aca="false">IFERROR(INDEX(LR_TypLabor,MATCH(G45,LR_Key,0)),"")</f>
        <v>1500</v>
      </c>
      <c r="I45" s="12" t="n">
        <f aca="false">INDEX(Urg_Mult,MATCH(E45,Urg_Levels,0))</f>
        <v>1.5</v>
      </c>
      <c r="J45" s="3" t="n">
        <f aca="false">IF(ISNUMBER(H45),MAX(H45,IFERROR(INDEX(MW_Floor,MATCH(G45,MW_Key,0)),0))*I45,"")</f>
        <v>2250</v>
      </c>
      <c r="K45" s="3" t="n">
        <f aca="false">IF(ISNUMBER(J45),F45+J45,"")</f>
        <v>2621.76</v>
      </c>
      <c r="L45" s="3" t="n">
        <f aca="false">IF(ISNUMBER(H45),MAX(H45,IFERROR(INDEX(MW_Floor,MATCH(G45,MW_Key,0)),0))*I45,"")</f>
        <v>2250</v>
      </c>
      <c r="M45" s="2" t="str">
        <f aca="false">IFERROR(INDEX(LR_Flag,MATCH(G45,LR_Key,0)),"")</f>
        <v>none</v>
      </c>
      <c r="N45" s="2" t="str">
        <f aca="false">IFERROR(INDEX(MW_Check,MATCH(G45,MW_Key,0)),"")</f>
        <v>OK</v>
      </c>
      <c r="O45" s="0" t="str">
        <f aca="false">IF(NOT(ISNUMBER(H45)),"LABOR QUOTE NEEDED – total incomplete",IF(N45="BELOW FLOOR","CHECK: typical labor below wage floor – payout and customer labor raised to floor",IF(M45&lt;&gt;"none","Labor rate flagged: "&amp;M45,"OK")))</f>
        <v>OK</v>
      </c>
      <c r="P45" s="0" t="s">
        <v>1067</v>
      </c>
      <c r="Q45" s="8" t="s">
        <v>1068</v>
      </c>
      <c r="R45" s="2" t="str">
        <f aca="false">IF(OR(M45="regulated",COUNTIFS(Tasks_TaskID,A45,Tasks_Tier,D45,Tasks_Review,"base")&gt;0),"PENDING REVIEW – priced, not bookable until human approval",IF(COUNTIFS(Tasks_TaskID,A45,Tasks_Tier,D45,Tasks_Review,"as-needed")&gt;0,"Bookable (re-evaluate if regulated as-needed line selected)","Bookable"))</f>
        <v>Bookable (re-evaluate if regulated as-needed line selected)</v>
      </c>
    </row>
    <row r="46" customFormat="false" ht="15" hidden="false" customHeight="false" outlineLevel="0" collapsed="false">
      <c r="A46" s="2" t="s">
        <v>1082</v>
      </c>
      <c r="B46" s="2" t="s">
        <v>107</v>
      </c>
      <c r="C46" s="2" t="s">
        <v>1083</v>
      </c>
      <c r="D46" s="2" t="s">
        <v>1042</v>
      </c>
      <c r="E46" s="2" t="s">
        <v>1895</v>
      </c>
      <c r="F46" s="3" t="n">
        <f aca="false">INDEX(Sum_Base,MATCH(A46,Sum_BaseTasks,0),MATCH(D46,Sum_BaseTiers,0))</f>
        <v>159.1</v>
      </c>
      <c r="G46" s="2" t="str">
        <f aca="false">IF(ISNUMBER(MATCH(A46&amp;"|"&amp;D46,LR_Key,0)),A46&amp;"|"&amp;D46,A46&amp;"|All")</f>
        <v>FIXX-PLM-001|All</v>
      </c>
      <c r="H46" s="3" t="n">
        <f aca="false">IFERROR(INDEX(LR_TypLabor,MATCH(G46,LR_Key,0)),"")</f>
        <v>800</v>
      </c>
      <c r="I46" s="12" t="n">
        <f aca="false">INDEX(Urg_Mult,MATCH(E46,Urg_Levels,0))</f>
        <v>1</v>
      </c>
      <c r="J46" s="3" t="n">
        <f aca="false">IF(ISNUMBER(H46),MAX(H46,IFERROR(INDEX(MW_Floor,MATCH(G46,MW_Key,0)),0))*I46,"")</f>
        <v>800</v>
      </c>
      <c r="K46" s="3" t="n">
        <f aca="false">IF(ISNUMBER(J46),F46+J46,"")</f>
        <v>959.1</v>
      </c>
      <c r="L46" s="3" t="n">
        <f aca="false">IF(ISNUMBER(H46),MAX(H46,IFERROR(INDEX(MW_Floor,MATCH(G46,MW_Key,0)),0))*I46,"")</f>
        <v>800</v>
      </c>
      <c r="M46" s="2" t="str">
        <f aca="false">IFERROR(INDEX(LR_Flag,MATCH(G46,LR_Key,0)),"")</f>
        <v>none</v>
      </c>
      <c r="N46" s="2" t="str">
        <f aca="false">IFERROR(INDEX(MW_Check,MATCH(G46,MW_Key,0)),"")</f>
        <v>OK</v>
      </c>
      <c r="O46" s="0" t="str">
        <f aca="false">IF(NOT(ISNUMBER(H46)),"LABOR QUOTE NEEDED – total incomplete",IF(N46="BELOW FLOOR","CHECK: typical labor below wage floor – payout and customer labor raised to floor",IF(M46&lt;&gt;"none","Labor rate flagged: "&amp;M46,"OK")))</f>
        <v>OK</v>
      </c>
      <c r="P46" s="0" t="s">
        <v>1085</v>
      </c>
      <c r="Q46" s="8" t="s">
        <v>1086</v>
      </c>
      <c r="R46" s="2" t="str">
        <f aca="false">IF(OR(M46="regulated",COUNTIFS(Tasks_TaskID,A46,Tasks_Tier,D46,Tasks_Review,"base")&gt;0),"PENDING REVIEW – priced, not bookable until human approval",IF(COUNTIFS(Tasks_TaskID,A46,Tasks_Tier,D46,Tasks_Review,"as-needed")&gt;0,"Bookable (re-evaluate if regulated as-needed line selected)","Bookable"))</f>
        <v>Bookable</v>
      </c>
    </row>
    <row r="47" customFormat="false" ht="15" hidden="false" customHeight="false" outlineLevel="0" collapsed="false">
      <c r="A47" s="2" t="s">
        <v>1082</v>
      </c>
      <c r="B47" s="2" t="s">
        <v>107</v>
      </c>
      <c r="C47" s="2" t="s">
        <v>1083</v>
      </c>
      <c r="D47" s="2" t="s">
        <v>1042</v>
      </c>
      <c r="E47" s="2" t="s">
        <v>1896</v>
      </c>
      <c r="F47" s="3" t="n">
        <f aca="false">INDEX(Sum_Base,MATCH(A47,Sum_BaseTasks,0),MATCH(D47,Sum_BaseTiers,0))</f>
        <v>159.1</v>
      </c>
      <c r="G47" s="2" t="str">
        <f aca="false">IF(ISNUMBER(MATCH(A47&amp;"|"&amp;D47,LR_Key,0)),A47&amp;"|"&amp;D47,A47&amp;"|All")</f>
        <v>FIXX-PLM-001|All</v>
      </c>
      <c r="H47" s="3" t="n">
        <f aca="false">IFERROR(INDEX(LR_TypLabor,MATCH(G47,LR_Key,0)),"")</f>
        <v>800</v>
      </c>
      <c r="I47" s="12" t="n">
        <f aca="false">INDEX(Urg_Mult,MATCH(E47,Urg_Levels,0))</f>
        <v>1.15</v>
      </c>
      <c r="J47" s="3" t="n">
        <f aca="false">IF(ISNUMBER(H47),MAX(H47,IFERROR(INDEX(MW_Floor,MATCH(G47,MW_Key,0)),0))*I47,"")</f>
        <v>920</v>
      </c>
      <c r="K47" s="3" t="n">
        <f aca="false">IF(ISNUMBER(J47),F47+J47,"")</f>
        <v>1079.1</v>
      </c>
      <c r="L47" s="3" t="n">
        <f aca="false">IF(ISNUMBER(H47),MAX(H47,IFERROR(INDEX(MW_Floor,MATCH(G47,MW_Key,0)),0))*I47,"")</f>
        <v>920</v>
      </c>
      <c r="M47" s="2" t="str">
        <f aca="false">IFERROR(INDEX(LR_Flag,MATCH(G47,LR_Key,0)),"")</f>
        <v>none</v>
      </c>
      <c r="N47" s="2" t="str">
        <f aca="false">IFERROR(INDEX(MW_Check,MATCH(G47,MW_Key,0)),"")</f>
        <v>OK</v>
      </c>
      <c r="O47" s="0" t="str">
        <f aca="false">IF(NOT(ISNUMBER(H47)),"LABOR QUOTE NEEDED – total incomplete",IF(N47="BELOW FLOOR","CHECK: typical labor below wage floor – payout and customer labor raised to floor",IF(M47&lt;&gt;"none","Labor rate flagged: "&amp;M47,"OK")))</f>
        <v>OK</v>
      </c>
      <c r="P47" s="0" t="s">
        <v>1085</v>
      </c>
      <c r="Q47" s="8" t="s">
        <v>1086</v>
      </c>
      <c r="R47" s="2" t="str">
        <f aca="false">IF(OR(M47="regulated",COUNTIFS(Tasks_TaskID,A47,Tasks_Tier,D47,Tasks_Review,"base")&gt;0),"PENDING REVIEW – priced, not bookable until human approval",IF(COUNTIFS(Tasks_TaskID,A47,Tasks_Tier,D47,Tasks_Review,"as-needed")&gt;0,"Bookable (re-evaluate if regulated as-needed line selected)","Bookable"))</f>
        <v>Bookable</v>
      </c>
    </row>
    <row r="48" customFormat="false" ht="15" hidden="false" customHeight="false" outlineLevel="0" collapsed="false">
      <c r="A48" s="2" t="s">
        <v>1082</v>
      </c>
      <c r="B48" s="2" t="s">
        <v>107</v>
      </c>
      <c r="C48" s="2" t="s">
        <v>1083</v>
      </c>
      <c r="D48" s="2" t="s">
        <v>1042</v>
      </c>
      <c r="E48" s="2" t="s">
        <v>1897</v>
      </c>
      <c r="F48" s="3" t="n">
        <f aca="false">INDEX(Sum_Base,MATCH(A48,Sum_BaseTasks,0),MATCH(D48,Sum_BaseTiers,0))</f>
        <v>159.1</v>
      </c>
      <c r="G48" s="2" t="str">
        <f aca="false">IF(ISNUMBER(MATCH(A48&amp;"|"&amp;D48,LR_Key,0)),A48&amp;"|"&amp;D48,A48&amp;"|All")</f>
        <v>FIXX-PLM-001|All</v>
      </c>
      <c r="H48" s="3" t="n">
        <f aca="false">IFERROR(INDEX(LR_TypLabor,MATCH(G48,LR_Key,0)),"")</f>
        <v>800</v>
      </c>
      <c r="I48" s="12" t="n">
        <f aca="false">INDEX(Urg_Mult,MATCH(E48,Urg_Levels,0))</f>
        <v>1.3</v>
      </c>
      <c r="J48" s="3" t="n">
        <f aca="false">IF(ISNUMBER(H48),MAX(H48,IFERROR(INDEX(MW_Floor,MATCH(G48,MW_Key,0)),0))*I48,"")</f>
        <v>1040</v>
      </c>
      <c r="K48" s="3" t="n">
        <f aca="false">IF(ISNUMBER(J48),F48+J48,"")</f>
        <v>1199.1</v>
      </c>
      <c r="L48" s="3" t="n">
        <f aca="false">IF(ISNUMBER(H48),MAX(H48,IFERROR(INDEX(MW_Floor,MATCH(G48,MW_Key,0)),0))*I48,"")</f>
        <v>1040</v>
      </c>
      <c r="M48" s="2" t="str">
        <f aca="false">IFERROR(INDEX(LR_Flag,MATCH(G48,LR_Key,0)),"")</f>
        <v>none</v>
      </c>
      <c r="N48" s="2" t="str">
        <f aca="false">IFERROR(INDEX(MW_Check,MATCH(G48,MW_Key,0)),"")</f>
        <v>OK</v>
      </c>
      <c r="O48" s="0" t="str">
        <f aca="false">IF(NOT(ISNUMBER(H48)),"LABOR QUOTE NEEDED – total incomplete",IF(N48="BELOW FLOOR","CHECK: typical labor below wage floor – payout and customer labor raised to floor",IF(M48&lt;&gt;"none","Labor rate flagged: "&amp;M48,"OK")))</f>
        <v>OK</v>
      </c>
      <c r="P48" s="0" t="s">
        <v>1085</v>
      </c>
      <c r="Q48" s="8" t="s">
        <v>1086</v>
      </c>
      <c r="R48" s="2" t="str">
        <f aca="false">IF(OR(M48="regulated",COUNTIFS(Tasks_TaskID,A48,Tasks_Tier,D48,Tasks_Review,"base")&gt;0),"PENDING REVIEW – priced, not bookable until human approval",IF(COUNTIFS(Tasks_TaskID,A48,Tasks_Tier,D48,Tasks_Review,"as-needed")&gt;0,"Bookable (re-evaluate if regulated as-needed line selected)","Bookable"))</f>
        <v>Bookable</v>
      </c>
    </row>
    <row r="49" customFormat="false" ht="15" hidden="false" customHeight="false" outlineLevel="0" collapsed="false">
      <c r="A49" s="2" t="s">
        <v>1082</v>
      </c>
      <c r="B49" s="2" t="s">
        <v>107</v>
      </c>
      <c r="C49" s="2" t="s">
        <v>1083</v>
      </c>
      <c r="D49" s="2" t="s">
        <v>1042</v>
      </c>
      <c r="E49" s="2" t="s">
        <v>1898</v>
      </c>
      <c r="F49" s="3" t="n">
        <f aca="false">INDEX(Sum_Base,MATCH(A49,Sum_BaseTasks,0),MATCH(D49,Sum_BaseTiers,0))</f>
        <v>159.1</v>
      </c>
      <c r="G49" s="2" t="str">
        <f aca="false">IF(ISNUMBER(MATCH(A49&amp;"|"&amp;D49,LR_Key,0)),A49&amp;"|"&amp;D49,A49&amp;"|All")</f>
        <v>FIXX-PLM-001|All</v>
      </c>
      <c r="H49" s="3" t="n">
        <f aca="false">IFERROR(INDEX(LR_TypLabor,MATCH(G49,LR_Key,0)),"")</f>
        <v>800</v>
      </c>
      <c r="I49" s="12" t="n">
        <f aca="false">INDEX(Urg_Mult,MATCH(E49,Urg_Levels,0))</f>
        <v>1.5</v>
      </c>
      <c r="J49" s="3" t="n">
        <f aca="false">IF(ISNUMBER(H49),MAX(H49,IFERROR(INDEX(MW_Floor,MATCH(G49,MW_Key,0)),0))*I49,"")</f>
        <v>1200</v>
      </c>
      <c r="K49" s="3" t="n">
        <f aca="false">IF(ISNUMBER(J49),F49+J49,"")</f>
        <v>1359.1</v>
      </c>
      <c r="L49" s="3" t="n">
        <f aca="false">IF(ISNUMBER(H49),MAX(H49,IFERROR(INDEX(MW_Floor,MATCH(G49,MW_Key,0)),0))*I49,"")</f>
        <v>1200</v>
      </c>
      <c r="M49" s="2" t="str">
        <f aca="false">IFERROR(INDEX(LR_Flag,MATCH(G49,LR_Key,0)),"")</f>
        <v>none</v>
      </c>
      <c r="N49" s="2" t="str">
        <f aca="false">IFERROR(INDEX(MW_Check,MATCH(G49,MW_Key,0)),"")</f>
        <v>OK</v>
      </c>
      <c r="O49" s="0" t="str">
        <f aca="false">IF(NOT(ISNUMBER(H49)),"LABOR QUOTE NEEDED – total incomplete",IF(N49="BELOW FLOOR","CHECK: typical labor below wage floor – payout and customer labor raised to floor",IF(M49&lt;&gt;"none","Labor rate flagged: "&amp;M49,"OK")))</f>
        <v>OK</v>
      </c>
      <c r="P49" s="0" t="s">
        <v>1085</v>
      </c>
      <c r="Q49" s="8" t="s">
        <v>1086</v>
      </c>
      <c r="R49" s="2" t="str">
        <f aca="false">IF(OR(M49="regulated",COUNTIFS(Tasks_TaskID,A49,Tasks_Tier,D49,Tasks_Review,"base")&gt;0),"PENDING REVIEW – priced, not bookable until human approval",IF(COUNTIFS(Tasks_TaskID,A49,Tasks_Tier,D49,Tasks_Review,"as-needed")&gt;0,"Bookable (re-evaluate if regulated as-needed line selected)","Bookable"))</f>
        <v>Bookable</v>
      </c>
    </row>
    <row r="50" customFormat="false" ht="15" hidden="false" customHeight="false" outlineLevel="0" collapsed="false">
      <c r="A50" s="2" t="s">
        <v>1082</v>
      </c>
      <c r="B50" s="2" t="s">
        <v>107</v>
      </c>
      <c r="C50" s="2" t="s">
        <v>1083</v>
      </c>
      <c r="D50" s="2" t="s">
        <v>1049</v>
      </c>
      <c r="E50" s="2" t="s">
        <v>1895</v>
      </c>
      <c r="F50" s="3" t="n">
        <f aca="false">INDEX(Sum_Base,MATCH(A50,Sum_BaseTasks,0),MATCH(D50,Sum_BaseTiers,0))</f>
        <v>345.1</v>
      </c>
      <c r="G50" s="2" t="str">
        <f aca="false">IF(ISNUMBER(MATCH(A50&amp;"|"&amp;D50,LR_Key,0)),A50&amp;"|"&amp;D50,A50&amp;"|All")</f>
        <v>FIXX-PLM-001|All</v>
      </c>
      <c r="H50" s="3" t="n">
        <f aca="false">IFERROR(INDEX(LR_TypLabor,MATCH(G50,LR_Key,0)),"")</f>
        <v>800</v>
      </c>
      <c r="I50" s="12" t="n">
        <f aca="false">INDEX(Urg_Mult,MATCH(E50,Urg_Levels,0))</f>
        <v>1</v>
      </c>
      <c r="J50" s="3" t="n">
        <f aca="false">IF(ISNUMBER(H50),MAX(H50,IFERROR(INDEX(MW_Floor,MATCH(G50,MW_Key,0)),0))*I50,"")</f>
        <v>800</v>
      </c>
      <c r="K50" s="3" t="n">
        <f aca="false">IF(ISNUMBER(J50),F50+J50,"")</f>
        <v>1145.1</v>
      </c>
      <c r="L50" s="3" t="n">
        <f aca="false">IF(ISNUMBER(H50),MAX(H50,IFERROR(INDEX(MW_Floor,MATCH(G50,MW_Key,0)),0))*I50,"")</f>
        <v>800</v>
      </c>
      <c r="M50" s="2" t="str">
        <f aca="false">IFERROR(INDEX(LR_Flag,MATCH(G50,LR_Key,0)),"")</f>
        <v>none</v>
      </c>
      <c r="N50" s="2" t="str">
        <f aca="false">IFERROR(INDEX(MW_Check,MATCH(G50,MW_Key,0)),"")</f>
        <v>OK</v>
      </c>
      <c r="O50" s="0" t="str">
        <f aca="false">IF(NOT(ISNUMBER(H50)),"LABOR QUOTE NEEDED – total incomplete",IF(N50="BELOW FLOOR","CHECK: typical labor below wage floor – payout and customer labor raised to floor",IF(M50&lt;&gt;"none","Labor rate flagged: "&amp;M50,"OK")))</f>
        <v>OK</v>
      </c>
      <c r="P50" s="0" t="s">
        <v>1085</v>
      </c>
      <c r="Q50" s="8" t="s">
        <v>1086</v>
      </c>
      <c r="R50" s="2" t="str">
        <f aca="false">IF(OR(M50="regulated",COUNTIFS(Tasks_TaskID,A50,Tasks_Tier,D50,Tasks_Review,"base")&gt;0),"PENDING REVIEW – priced, not bookable until human approval",IF(COUNTIFS(Tasks_TaskID,A50,Tasks_Tier,D50,Tasks_Review,"as-needed")&gt;0,"Bookable (re-evaluate if regulated as-needed line selected)","Bookable"))</f>
        <v>Bookable</v>
      </c>
    </row>
    <row r="51" customFormat="false" ht="15" hidden="false" customHeight="false" outlineLevel="0" collapsed="false">
      <c r="A51" s="2" t="s">
        <v>1082</v>
      </c>
      <c r="B51" s="2" t="s">
        <v>107</v>
      </c>
      <c r="C51" s="2" t="s">
        <v>1083</v>
      </c>
      <c r="D51" s="2" t="s">
        <v>1049</v>
      </c>
      <c r="E51" s="2" t="s">
        <v>1896</v>
      </c>
      <c r="F51" s="3" t="n">
        <f aca="false">INDEX(Sum_Base,MATCH(A51,Sum_BaseTasks,0),MATCH(D51,Sum_BaseTiers,0))</f>
        <v>345.1</v>
      </c>
      <c r="G51" s="2" t="str">
        <f aca="false">IF(ISNUMBER(MATCH(A51&amp;"|"&amp;D51,LR_Key,0)),A51&amp;"|"&amp;D51,A51&amp;"|All")</f>
        <v>FIXX-PLM-001|All</v>
      </c>
      <c r="H51" s="3" t="n">
        <f aca="false">IFERROR(INDEX(LR_TypLabor,MATCH(G51,LR_Key,0)),"")</f>
        <v>800</v>
      </c>
      <c r="I51" s="12" t="n">
        <f aca="false">INDEX(Urg_Mult,MATCH(E51,Urg_Levels,0))</f>
        <v>1.15</v>
      </c>
      <c r="J51" s="3" t="n">
        <f aca="false">IF(ISNUMBER(H51),MAX(H51,IFERROR(INDEX(MW_Floor,MATCH(G51,MW_Key,0)),0))*I51,"")</f>
        <v>920</v>
      </c>
      <c r="K51" s="3" t="n">
        <f aca="false">IF(ISNUMBER(J51),F51+J51,"")</f>
        <v>1265.1</v>
      </c>
      <c r="L51" s="3" t="n">
        <f aca="false">IF(ISNUMBER(H51),MAX(H51,IFERROR(INDEX(MW_Floor,MATCH(G51,MW_Key,0)),0))*I51,"")</f>
        <v>920</v>
      </c>
      <c r="M51" s="2" t="str">
        <f aca="false">IFERROR(INDEX(LR_Flag,MATCH(G51,LR_Key,0)),"")</f>
        <v>none</v>
      </c>
      <c r="N51" s="2" t="str">
        <f aca="false">IFERROR(INDEX(MW_Check,MATCH(G51,MW_Key,0)),"")</f>
        <v>OK</v>
      </c>
      <c r="O51" s="0" t="str">
        <f aca="false">IF(NOT(ISNUMBER(H51)),"LABOR QUOTE NEEDED – total incomplete",IF(N51="BELOW FLOOR","CHECK: typical labor below wage floor – payout and customer labor raised to floor",IF(M51&lt;&gt;"none","Labor rate flagged: "&amp;M51,"OK")))</f>
        <v>OK</v>
      </c>
      <c r="P51" s="0" t="s">
        <v>1085</v>
      </c>
      <c r="Q51" s="8" t="s">
        <v>1086</v>
      </c>
      <c r="R51" s="2" t="str">
        <f aca="false">IF(OR(M51="regulated",COUNTIFS(Tasks_TaskID,A51,Tasks_Tier,D51,Tasks_Review,"base")&gt;0),"PENDING REVIEW – priced, not bookable until human approval",IF(COUNTIFS(Tasks_TaskID,A51,Tasks_Tier,D51,Tasks_Review,"as-needed")&gt;0,"Bookable (re-evaluate if regulated as-needed line selected)","Bookable"))</f>
        <v>Bookable</v>
      </c>
    </row>
    <row r="52" customFormat="false" ht="15" hidden="false" customHeight="false" outlineLevel="0" collapsed="false">
      <c r="A52" s="2" t="s">
        <v>1082</v>
      </c>
      <c r="B52" s="2" t="s">
        <v>107</v>
      </c>
      <c r="C52" s="2" t="s">
        <v>1083</v>
      </c>
      <c r="D52" s="2" t="s">
        <v>1049</v>
      </c>
      <c r="E52" s="2" t="s">
        <v>1897</v>
      </c>
      <c r="F52" s="3" t="n">
        <f aca="false">INDEX(Sum_Base,MATCH(A52,Sum_BaseTasks,0),MATCH(D52,Sum_BaseTiers,0))</f>
        <v>345.1</v>
      </c>
      <c r="G52" s="2" t="str">
        <f aca="false">IF(ISNUMBER(MATCH(A52&amp;"|"&amp;D52,LR_Key,0)),A52&amp;"|"&amp;D52,A52&amp;"|All")</f>
        <v>FIXX-PLM-001|All</v>
      </c>
      <c r="H52" s="3" t="n">
        <f aca="false">IFERROR(INDEX(LR_TypLabor,MATCH(G52,LR_Key,0)),"")</f>
        <v>800</v>
      </c>
      <c r="I52" s="12" t="n">
        <f aca="false">INDEX(Urg_Mult,MATCH(E52,Urg_Levels,0))</f>
        <v>1.3</v>
      </c>
      <c r="J52" s="3" t="n">
        <f aca="false">IF(ISNUMBER(H52),MAX(H52,IFERROR(INDEX(MW_Floor,MATCH(G52,MW_Key,0)),0))*I52,"")</f>
        <v>1040</v>
      </c>
      <c r="K52" s="3" t="n">
        <f aca="false">IF(ISNUMBER(J52),F52+J52,"")</f>
        <v>1385.1</v>
      </c>
      <c r="L52" s="3" t="n">
        <f aca="false">IF(ISNUMBER(H52),MAX(H52,IFERROR(INDEX(MW_Floor,MATCH(G52,MW_Key,0)),0))*I52,"")</f>
        <v>1040</v>
      </c>
      <c r="M52" s="2" t="str">
        <f aca="false">IFERROR(INDEX(LR_Flag,MATCH(G52,LR_Key,0)),"")</f>
        <v>none</v>
      </c>
      <c r="N52" s="2" t="str">
        <f aca="false">IFERROR(INDEX(MW_Check,MATCH(G52,MW_Key,0)),"")</f>
        <v>OK</v>
      </c>
      <c r="O52" s="0" t="str">
        <f aca="false">IF(NOT(ISNUMBER(H52)),"LABOR QUOTE NEEDED – total incomplete",IF(N52="BELOW FLOOR","CHECK: typical labor below wage floor – payout and customer labor raised to floor",IF(M52&lt;&gt;"none","Labor rate flagged: "&amp;M52,"OK")))</f>
        <v>OK</v>
      </c>
      <c r="P52" s="0" t="s">
        <v>1085</v>
      </c>
      <c r="Q52" s="8" t="s">
        <v>1086</v>
      </c>
      <c r="R52" s="2" t="str">
        <f aca="false">IF(OR(M52="regulated",COUNTIFS(Tasks_TaskID,A52,Tasks_Tier,D52,Tasks_Review,"base")&gt;0),"PENDING REVIEW – priced, not bookable until human approval",IF(COUNTIFS(Tasks_TaskID,A52,Tasks_Tier,D52,Tasks_Review,"as-needed")&gt;0,"Bookable (re-evaluate if regulated as-needed line selected)","Bookable"))</f>
        <v>Bookable</v>
      </c>
    </row>
    <row r="53" customFormat="false" ht="15" hidden="false" customHeight="false" outlineLevel="0" collapsed="false">
      <c r="A53" s="2" t="s">
        <v>1082</v>
      </c>
      <c r="B53" s="2" t="s">
        <v>107</v>
      </c>
      <c r="C53" s="2" t="s">
        <v>1083</v>
      </c>
      <c r="D53" s="2" t="s">
        <v>1049</v>
      </c>
      <c r="E53" s="2" t="s">
        <v>1898</v>
      </c>
      <c r="F53" s="3" t="n">
        <f aca="false">INDEX(Sum_Base,MATCH(A53,Sum_BaseTasks,0),MATCH(D53,Sum_BaseTiers,0))</f>
        <v>345.1</v>
      </c>
      <c r="G53" s="2" t="str">
        <f aca="false">IF(ISNUMBER(MATCH(A53&amp;"|"&amp;D53,LR_Key,0)),A53&amp;"|"&amp;D53,A53&amp;"|All")</f>
        <v>FIXX-PLM-001|All</v>
      </c>
      <c r="H53" s="3" t="n">
        <f aca="false">IFERROR(INDEX(LR_TypLabor,MATCH(G53,LR_Key,0)),"")</f>
        <v>800</v>
      </c>
      <c r="I53" s="12" t="n">
        <f aca="false">INDEX(Urg_Mult,MATCH(E53,Urg_Levels,0))</f>
        <v>1.5</v>
      </c>
      <c r="J53" s="3" t="n">
        <f aca="false">IF(ISNUMBER(H53),MAX(H53,IFERROR(INDEX(MW_Floor,MATCH(G53,MW_Key,0)),0))*I53,"")</f>
        <v>1200</v>
      </c>
      <c r="K53" s="3" t="n">
        <f aca="false">IF(ISNUMBER(J53),F53+J53,"")</f>
        <v>1545.1</v>
      </c>
      <c r="L53" s="3" t="n">
        <f aca="false">IF(ISNUMBER(H53),MAX(H53,IFERROR(INDEX(MW_Floor,MATCH(G53,MW_Key,0)),0))*I53,"")</f>
        <v>1200</v>
      </c>
      <c r="M53" s="2" t="str">
        <f aca="false">IFERROR(INDEX(LR_Flag,MATCH(G53,LR_Key,0)),"")</f>
        <v>none</v>
      </c>
      <c r="N53" s="2" t="str">
        <f aca="false">IFERROR(INDEX(MW_Check,MATCH(G53,MW_Key,0)),"")</f>
        <v>OK</v>
      </c>
      <c r="O53" s="0" t="str">
        <f aca="false">IF(NOT(ISNUMBER(H53)),"LABOR QUOTE NEEDED – total incomplete",IF(N53="BELOW FLOOR","CHECK: typical labor below wage floor – payout and customer labor raised to floor",IF(M53&lt;&gt;"none","Labor rate flagged: "&amp;M53,"OK")))</f>
        <v>OK</v>
      </c>
      <c r="P53" s="0" t="s">
        <v>1085</v>
      </c>
      <c r="Q53" s="8" t="s">
        <v>1086</v>
      </c>
      <c r="R53" s="2" t="str">
        <f aca="false">IF(OR(M53="regulated",COUNTIFS(Tasks_TaskID,A53,Tasks_Tier,D53,Tasks_Review,"base")&gt;0),"PENDING REVIEW – priced, not bookable until human approval",IF(COUNTIFS(Tasks_TaskID,A53,Tasks_Tier,D53,Tasks_Review,"as-needed")&gt;0,"Bookable (re-evaluate if regulated as-needed line selected)","Bookable"))</f>
        <v>Bookable</v>
      </c>
    </row>
    <row r="54" customFormat="false" ht="15" hidden="false" customHeight="false" outlineLevel="0" collapsed="false">
      <c r="A54" s="2" t="s">
        <v>1082</v>
      </c>
      <c r="B54" s="2" t="s">
        <v>107</v>
      </c>
      <c r="C54" s="2" t="s">
        <v>1083</v>
      </c>
      <c r="D54" s="2" t="s">
        <v>1051</v>
      </c>
      <c r="E54" s="2" t="s">
        <v>1895</v>
      </c>
      <c r="F54" s="3" t="n">
        <f aca="false">INDEX(Sum_Base,MATCH(A54,Sum_BaseTasks,0),MATCH(D54,Sum_BaseTiers,0))</f>
        <v>561.1</v>
      </c>
      <c r="G54" s="2" t="str">
        <f aca="false">IF(ISNUMBER(MATCH(A54&amp;"|"&amp;D54,LR_Key,0)),A54&amp;"|"&amp;D54,A54&amp;"|All")</f>
        <v>FIXX-PLM-001|All</v>
      </c>
      <c r="H54" s="3" t="n">
        <f aca="false">IFERROR(INDEX(LR_TypLabor,MATCH(G54,LR_Key,0)),"")</f>
        <v>800</v>
      </c>
      <c r="I54" s="12" t="n">
        <f aca="false">INDEX(Urg_Mult,MATCH(E54,Urg_Levels,0))</f>
        <v>1</v>
      </c>
      <c r="J54" s="3" t="n">
        <f aca="false">IF(ISNUMBER(H54),MAX(H54,IFERROR(INDEX(MW_Floor,MATCH(G54,MW_Key,0)),0))*I54,"")</f>
        <v>800</v>
      </c>
      <c r="K54" s="3" t="n">
        <f aca="false">IF(ISNUMBER(J54),F54+J54,"")</f>
        <v>1361.1</v>
      </c>
      <c r="L54" s="3" t="n">
        <f aca="false">IF(ISNUMBER(H54),MAX(H54,IFERROR(INDEX(MW_Floor,MATCH(G54,MW_Key,0)),0))*I54,"")</f>
        <v>800</v>
      </c>
      <c r="M54" s="2" t="str">
        <f aca="false">IFERROR(INDEX(LR_Flag,MATCH(G54,LR_Key,0)),"")</f>
        <v>none</v>
      </c>
      <c r="N54" s="2" t="str">
        <f aca="false">IFERROR(INDEX(MW_Check,MATCH(G54,MW_Key,0)),"")</f>
        <v>OK</v>
      </c>
      <c r="O54" s="0" t="str">
        <f aca="false">IF(NOT(ISNUMBER(H54)),"LABOR QUOTE NEEDED – total incomplete",IF(N54="BELOW FLOOR","CHECK: typical labor below wage floor – payout and customer labor raised to floor",IF(M54&lt;&gt;"none","Labor rate flagged: "&amp;M54,"OK")))</f>
        <v>OK</v>
      </c>
      <c r="P54" s="0" t="s">
        <v>1085</v>
      </c>
      <c r="Q54" s="8" t="s">
        <v>1086</v>
      </c>
      <c r="R54" s="2" t="str">
        <f aca="false">IF(OR(M54="regulated",COUNTIFS(Tasks_TaskID,A54,Tasks_Tier,D54,Tasks_Review,"base")&gt;0),"PENDING REVIEW – priced, not bookable until human approval",IF(COUNTIFS(Tasks_TaskID,A54,Tasks_Tier,D54,Tasks_Review,"as-needed")&gt;0,"Bookable (re-evaluate if regulated as-needed line selected)","Bookable"))</f>
        <v>Bookable</v>
      </c>
    </row>
    <row r="55" customFormat="false" ht="15" hidden="false" customHeight="false" outlineLevel="0" collapsed="false">
      <c r="A55" s="2" t="s">
        <v>1082</v>
      </c>
      <c r="B55" s="2" t="s">
        <v>107</v>
      </c>
      <c r="C55" s="2" t="s">
        <v>1083</v>
      </c>
      <c r="D55" s="2" t="s">
        <v>1051</v>
      </c>
      <c r="E55" s="2" t="s">
        <v>1896</v>
      </c>
      <c r="F55" s="3" t="n">
        <f aca="false">INDEX(Sum_Base,MATCH(A55,Sum_BaseTasks,0),MATCH(D55,Sum_BaseTiers,0))</f>
        <v>561.1</v>
      </c>
      <c r="G55" s="2" t="str">
        <f aca="false">IF(ISNUMBER(MATCH(A55&amp;"|"&amp;D55,LR_Key,0)),A55&amp;"|"&amp;D55,A55&amp;"|All")</f>
        <v>FIXX-PLM-001|All</v>
      </c>
      <c r="H55" s="3" t="n">
        <f aca="false">IFERROR(INDEX(LR_TypLabor,MATCH(G55,LR_Key,0)),"")</f>
        <v>800</v>
      </c>
      <c r="I55" s="12" t="n">
        <f aca="false">INDEX(Urg_Mult,MATCH(E55,Urg_Levels,0))</f>
        <v>1.15</v>
      </c>
      <c r="J55" s="3" t="n">
        <f aca="false">IF(ISNUMBER(H55),MAX(H55,IFERROR(INDEX(MW_Floor,MATCH(G55,MW_Key,0)),0))*I55,"")</f>
        <v>920</v>
      </c>
      <c r="K55" s="3" t="n">
        <f aca="false">IF(ISNUMBER(J55),F55+J55,"")</f>
        <v>1481.1</v>
      </c>
      <c r="L55" s="3" t="n">
        <f aca="false">IF(ISNUMBER(H55),MAX(H55,IFERROR(INDEX(MW_Floor,MATCH(G55,MW_Key,0)),0))*I55,"")</f>
        <v>920</v>
      </c>
      <c r="M55" s="2" t="str">
        <f aca="false">IFERROR(INDEX(LR_Flag,MATCH(G55,LR_Key,0)),"")</f>
        <v>none</v>
      </c>
      <c r="N55" s="2" t="str">
        <f aca="false">IFERROR(INDEX(MW_Check,MATCH(G55,MW_Key,0)),"")</f>
        <v>OK</v>
      </c>
      <c r="O55" s="0" t="str">
        <f aca="false">IF(NOT(ISNUMBER(H55)),"LABOR QUOTE NEEDED – total incomplete",IF(N55="BELOW FLOOR","CHECK: typical labor below wage floor – payout and customer labor raised to floor",IF(M55&lt;&gt;"none","Labor rate flagged: "&amp;M55,"OK")))</f>
        <v>OK</v>
      </c>
      <c r="P55" s="0" t="s">
        <v>1085</v>
      </c>
      <c r="Q55" s="8" t="s">
        <v>1086</v>
      </c>
      <c r="R55" s="2" t="str">
        <f aca="false">IF(OR(M55="regulated",COUNTIFS(Tasks_TaskID,A55,Tasks_Tier,D55,Tasks_Review,"base")&gt;0),"PENDING REVIEW – priced, not bookable until human approval",IF(COUNTIFS(Tasks_TaskID,A55,Tasks_Tier,D55,Tasks_Review,"as-needed")&gt;0,"Bookable (re-evaluate if regulated as-needed line selected)","Bookable"))</f>
        <v>Bookable</v>
      </c>
    </row>
    <row r="56" customFormat="false" ht="15" hidden="false" customHeight="false" outlineLevel="0" collapsed="false">
      <c r="A56" s="2" t="s">
        <v>1082</v>
      </c>
      <c r="B56" s="2" t="s">
        <v>107</v>
      </c>
      <c r="C56" s="2" t="s">
        <v>1083</v>
      </c>
      <c r="D56" s="2" t="s">
        <v>1051</v>
      </c>
      <c r="E56" s="2" t="s">
        <v>1897</v>
      </c>
      <c r="F56" s="3" t="n">
        <f aca="false">INDEX(Sum_Base,MATCH(A56,Sum_BaseTasks,0),MATCH(D56,Sum_BaseTiers,0))</f>
        <v>561.1</v>
      </c>
      <c r="G56" s="2" t="str">
        <f aca="false">IF(ISNUMBER(MATCH(A56&amp;"|"&amp;D56,LR_Key,0)),A56&amp;"|"&amp;D56,A56&amp;"|All")</f>
        <v>FIXX-PLM-001|All</v>
      </c>
      <c r="H56" s="3" t="n">
        <f aca="false">IFERROR(INDEX(LR_TypLabor,MATCH(G56,LR_Key,0)),"")</f>
        <v>800</v>
      </c>
      <c r="I56" s="12" t="n">
        <f aca="false">INDEX(Urg_Mult,MATCH(E56,Urg_Levels,0))</f>
        <v>1.3</v>
      </c>
      <c r="J56" s="3" t="n">
        <f aca="false">IF(ISNUMBER(H56),MAX(H56,IFERROR(INDEX(MW_Floor,MATCH(G56,MW_Key,0)),0))*I56,"")</f>
        <v>1040</v>
      </c>
      <c r="K56" s="3" t="n">
        <f aca="false">IF(ISNUMBER(J56),F56+J56,"")</f>
        <v>1601.1</v>
      </c>
      <c r="L56" s="3" t="n">
        <f aca="false">IF(ISNUMBER(H56),MAX(H56,IFERROR(INDEX(MW_Floor,MATCH(G56,MW_Key,0)),0))*I56,"")</f>
        <v>1040</v>
      </c>
      <c r="M56" s="2" t="str">
        <f aca="false">IFERROR(INDEX(LR_Flag,MATCH(G56,LR_Key,0)),"")</f>
        <v>none</v>
      </c>
      <c r="N56" s="2" t="str">
        <f aca="false">IFERROR(INDEX(MW_Check,MATCH(G56,MW_Key,0)),"")</f>
        <v>OK</v>
      </c>
      <c r="O56" s="0" t="str">
        <f aca="false">IF(NOT(ISNUMBER(H56)),"LABOR QUOTE NEEDED – total incomplete",IF(N56="BELOW FLOOR","CHECK: typical labor below wage floor – payout and customer labor raised to floor",IF(M56&lt;&gt;"none","Labor rate flagged: "&amp;M56,"OK")))</f>
        <v>OK</v>
      </c>
      <c r="P56" s="0" t="s">
        <v>1085</v>
      </c>
      <c r="Q56" s="8" t="s">
        <v>1086</v>
      </c>
      <c r="R56" s="2" t="str">
        <f aca="false">IF(OR(M56="regulated",COUNTIFS(Tasks_TaskID,A56,Tasks_Tier,D56,Tasks_Review,"base")&gt;0),"PENDING REVIEW – priced, not bookable until human approval",IF(COUNTIFS(Tasks_TaskID,A56,Tasks_Tier,D56,Tasks_Review,"as-needed")&gt;0,"Bookable (re-evaluate if regulated as-needed line selected)","Bookable"))</f>
        <v>Bookable</v>
      </c>
    </row>
    <row r="57" customFormat="false" ht="15" hidden="false" customHeight="false" outlineLevel="0" collapsed="false">
      <c r="A57" s="2" t="s">
        <v>1082</v>
      </c>
      <c r="B57" s="2" t="s">
        <v>107</v>
      </c>
      <c r="C57" s="2" t="s">
        <v>1083</v>
      </c>
      <c r="D57" s="2" t="s">
        <v>1051</v>
      </c>
      <c r="E57" s="2" t="s">
        <v>1898</v>
      </c>
      <c r="F57" s="3" t="n">
        <f aca="false">INDEX(Sum_Base,MATCH(A57,Sum_BaseTasks,0),MATCH(D57,Sum_BaseTiers,0))</f>
        <v>561.1</v>
      </c>
      <c r="G57" s="2" t="str">
        <f aca="false">IF(ISNUMBER(MATCH(A57&amp;"|"&amp;D57,LR_Key,0)),A57&amp;"|"&amp;D57,A57&amp;"|All")</f>
        <v>FIXX-PLM-001|All</v>
      </c>
      <c r="H57" s="3" t="n">
        <f aca="false">IFERROR(INDEX(LR_TypLabor,MATCH(G57,LR_Key,0)),"")</f>
        <v>800</v>
      </c>
      <c r="I57" s="12" t="n">
        <f aca="false">INDEX(Urg_Mult,MATCH(E57,Urg_Levels,0))</f>
        <v>1.5</v>
      </c>
      <c r="J57" s="3" t="n">
        <f aca="false">IF(ISNUMBER(H57),MAX(H57,IFERROR(INDEX(MW_Floor,MATCH(G57,MW_Key,0)),0))*I57,"")</f>
        <v>1200</v>
      </c>
      <c r="K57" s="3" t="n">
        <f aca="false">IF(ISNUMBER(J57),F57+J57,"")</f>
        <v>1761.1</v>
      </c>
      <c r="L57" s="3" t="n">
        <f aca="false">IF(ISNUMBER(H57),MAX(H57,IFERROR(INDEX(MW_Floor,MATCH(G57,MW_Key,0)),0))*I57,"")</f>
        <v>1200</v>
      </c>
      <c r="M57" s="2" t="str">
        <f aca="false">IFERROR(INDEX(LR_Flag,MATCH(G57,LR_Key,0)),"")</f>
        <v>none</v>
      </c>
      <c r="N57" s="2" t="str">
        <f aca="false">IFERROR(INDEX(MW_Check,MATCH(G57,MW_Key,0)),"")</f>
        <v>OK</v>
      </c>
      <c r="O57" s="0" t="str">
        <f aca="false">IF(NOT(ISNUMBER(H57)),"LABOR QUOTE NEEDED – total incomplete",IF(N57="BELOW FLOOR","CHECK: typical labor below wage floor – payout and customer labor raised to floor",IF(M57&lt;&gt;"none","Labor rate flagged: "&amp;M57,"OK")))</f>
        <v>OK</v>
      </c>
      <c r="P57" s="0" t="s">
        <v>1085</v>
      </c>
      <c r="Q57" s="8" t="s">
        <v>1086</v>
      </c>
      <c r="R57" s="2" t="str">
        <f aca="false">IF(OR(M57="regulated",COUNTIFS(Tasks_TaskID,A57,Tasks_Tier,D57,Tasks_Review,"base")&gt;0),"PENDING REVIEW – priced, not bookable until human approval",IF(COUNTIFS(Tasks_TaskID,A57,Tasks_Tier,D57,Tasks_Review,"as-needed")&gt;0,"Bookable (re-evaluate if regulated as-needed line selected)","Bookable"))</f>
        <v>Bookable</v>
      </c>
    </row>
    <row r="58" customFormat="false" ht="17.15" hidden="false" customHeight="false" outlineLevel="0" collapsed="false">
      <c r="A58" s="2" t="s">
        <v>1088</v>
      </c>
      <c r="B58" s="2" t="s">
        <v>107</v>
      </c>
      <c r="C58" s="2" t="s">
        <v>1089</v>
      </c>
      <c r="D58" s="2" t="s">
        <v>1042</v>
      </c>
      <c r="E58" s="2" t="s">
        <v>1895</v>
      </c>
      <c r="F58" s="3" t="n">
        <f aca="false">INDEX(Sum_Base,MATCH(A58,Sum_BaseTasks,0),MATCH(D58,Sum_BaseTiers,0))</f>
        <v>408.2</v>
      </c>
      <c r="G58" s="2" t="str">
        <f aca="false">IF(ISNUMBER(MATCH(A58&amp;"|"&amp;D58,LR_Key,0)),A58&amp;"|"&amp;D58,A58&amp;"|All")</f>
        <v>FIXX-PLM-004|All</v>
      </c>
      <c r="H58" s="3" t="n">
        <f aca="false">IFERROR(INDEX(LR_TypLabor,MATCH(G58,LR_Key,0)),"")</f>
        <v>1800</v>
      </c>
      <c r="I58" s="12" t="n">
        <f aca="false">INDEX(Urg_Mult,MATCH(E58,Urg_Levels,0))</f>
        <v>1</v>
      </c>
      <c r="J58" s="3" t="n">
        <f aca="false">IF(ISNUMBER(H58),MAX(H58,IFERROR(INDEX(MW_Floor,MATCH(G58,MW_Key,0)),0))*I58,"")</f>
        <v>1800</v>
      </c>
      <c r="K58" s="3" t="n">
        <f aca="false">IF(ISNUMBER(J58),F58+J58,"")</f>
        <v>2208.2</v>
      </c>
      <c r="L58" s="3" t="n">
        <f aca="false">IF(ISNUMBER(H58),MAX(H58,IFERROR(INDEX(MW_Floor,MATCH(G58,MW_Key,0)),0))*I58,"")</f>
        <v>1800</v>
      </c>
      <c r="M58" s="2" t="str">
        <f aca="false">IFERROR(INDEX(LR_Flag,MATCH(G58,LR_Key,0)),"")</f>
        <v>none</v>
      </c>
      <c r="N58" s="2" t="str">
        <f aca="false">IFERROR(INDEX(MW_Check,MATCH(G58,MW_Key,0)),"")</f>
        <v>OK</v>
      </c>
      <c r="O58" s="0" t="str">
        <f aca="false">IF(NOT(ISNUMBER(H58)),"LABOR QUOTE NEEDED – total incomplete",IF(N58="BELOW FLOOR","CHECK: typical labor below wage floor – payout and customer labor raised to floor",IF(M58&lt;&gt;"none","Labor rate flagged: "&amp;M58,"OK")))</f>
        <v>OK</v>
      </c>
      <c r="P58" s="0" t="s">
        <v>1091</v>
      </c>
      <c r="Q58" s="8" t="s">
        <v>1092</v>
      </c>
      <c r="R58" s="2" t="str">
        <f aca="false">IF(OR(M58="regulated",COUNTIFS(Tasks_TaskID,A58,Tasks_Tier,D58,Tasks_Review,"base")&gt;0),"PENDING REVIEW – priced, not bookable until human approval",IF(COUNTIFS(Tasks_TaskID,A58,Tasks_Tier,D58,Tasks_Review,"as-needed")&gt;0,"Bookable (re-evaluate if regulated as-needed line selected)","Bookable"))</f>
        <v>Bookable (re-evaluate if regulated as-needed line selected)</v>
      </c>
    </row>
    <row r="59" customFormat="false" ht="17.15" hidden="false" customHeight="false" outlineLevel="0" collapsed="false">
      <c r="A59" s="2" t="s">
        <v>1088</v>
      </c>
      <c r="B59" s="2" t="s">
        <v>107</v>
      </c>
      <c r="C59" s="2" t="s">
        <v>1089</v>
      </c>
      <c r="D59" s="2" t="s">
        <v>1042</v>
      </c>
      <c r="E59" s="2" t="s">
        <v>1896</v>
      </c>
      <c r="F59" s="3" t="n">
        <f aca="false">INDEX(Sum_Base,MATCH(A59,Sum_BaseTasks,0),MATCH(D59,Sum_BaseTiers,0))</f>
        <v>408.2</v>
      </c>
      <c r="G59" s="2" t="str">
        <f aca="false">IF(ISNUMBER(MATCH(A59&amp;"|"&amp;D59,LR_Key,0)),A59&amp;"|"&amp;D59,A59&amp;"|All")</f>
        <v>FIXX-PLM-004|All</v>
      </c>
      <c r="H59" s="3" t="n">
        <f aca="false">IFERROR(INDEX(LR_TypLabor,MATCH(G59,LR_Key,0)),"")</f>
        <v>1800</v>
      </c>
      <c r="I59" s="12" t="n">
        <f aca="false">INDEX(Urg_Mult,MATCH(E59,Urg_Levels,0))</f>
        <v>1.15</v>
      </c>
      <c r="J59" s="3" t="n">
        <f aca="false">IF(ISNUMBER(H59),MAX(H59,IFERROR(INDEX(MW_Floor,MATCH(G59,MW_Key,0)),0))*I59,"")</f>
        <v>2070</v>
      </c>
      <c r="K59" s="3" t="n">
        <f aca="false">IF(ISNUMBER(J59),F59+J59,"")</f>
        <v>2478.2</v>
      </c>
      <c r="L59" s="3" t="n">
        <f aca="false">IF(ISNUMBER(H59),MAX(H59,IFERROR(INDEX(MW_Floor,MATCH(G59,MW_Key,0)),0))*I59,"")</f>
        <v>2070</v>
      </c>
      <c r="M59" s="2" t="str">
        <f aca="false">IFERROR(INDEX(LR_Flag,MATCH(G59,LR_Key,0)),"")</f>
        <v>none</v>
      </c>
      <c r="N59" s="2" t="str">
        <f aca="false">IFERROR(INDEX(MW_Check,MATCH(G59,MW_Key,0)),"")</f>
        <v>OK</v>
      </c>
      <c r="O59" s="0" t="str">
        <f aca="false">IF(NOT(ISNUMBER(H59)),"LABOR QUOTE NEEDED – total incomplete",IF(N59="BELOW FLOOR","CHECK: typical labor below wage floor – payout and customer labor raised to floor",IF(M59&lt;&gt;"none","Labor rate flagged: "&amp;M59,"OK")))</f>
        <v>OK</v>
      </c>
      <c r="P59" s="0" t="s">
        <v>1091</v>
      </c>
      <c r="Q59" s="8" t="s">
        <v>1092</v>
      </c>
      <c r="R59" s="2" t="str">
        <f aca="false">IF(OR(M59="regulated",COUNTIFS(Tasks_TaskID,A59,Tasks_Tier,D59,Tasks_Review,"base")&gt;0),"PENDING REVIEW – priced, not bookable until human approval",IF(COUNTIFS(Tasks_TaskID,A59,Tasks_Tier,D59,Tasks_Review,"as-needed")&gt;0,"Bookable (re-evaluate if regulated as-needed line selected)","Bookable"))</f>
        <v>Bookable (re-evaluate if regulated as-needed line selected)</v>
      </c>
    </row>
    <row r="60" customFormat="false" ht="17.15" hidden="false" customHeight="false" outlineLevel="0" collapsed="false">
      <c r="A60" s="2" t="s">
        <v>1088</v>
      </c>
      <c r="B60" s="2" t="s">
        <v>107</v>
      </c>
      <c r="C60" s="2" t="s">
        <v>1089</v>
      </c>
      <c r="D60" s="2" t="s">
        <v>1042</v>
      </c>
      <c r="E60" s="2" t="s">
        <v>1897</v>
      </c>
      <c r="F60" s="3" t="n">
        <f aca="false">INDEX(Sum_Base,MATCH(A60,Sum_BaseTasks,0),MATCH(D60,Sum_BaseTiers,0))</f>
        <v>408.2</v>
      </c>
      <c r="G60" s="2" t="str">
        <f aca="false">IF(ISNUMBER(MATCH(A60&amp;"|"&amp;D60,LR_Key,0)),A60&amp;"|"&amp;D60,A60&amp;"|All")</f>
        <v>FIXX-PLM-004|All</v>
      </c>
      <c r="H60" s="3" t="n">
        <f aca="false">IFERROR(INDEX(LR_TypLabor,MATCH(G60,LR_Key,0)),"")</f>
        <v>1800</v>
      </c>
      <c r="I60" s="12" t="n">
        <f aca="false">INDEX(Urg_Mult,MATCH(E60,Urg_Levels,0))</f>
        <v>1.3</v>
      </c>
      <c r="J60" s="3" t="n">
        <f aca="false">IF(ISNUMBER(H60),MAX(H60,IFERROR(INDEX(MW_Floor,MATCH(G60,MW_Key,0)),0))*I60,"")</f>
        <v>2340</v>
      </c>
      <c r="K60" s="3" t="n">
        <f aca="false">IF(ISNUMBER(J60),F60+J60,"")</f>
        <v>2748.2</v>
      </c>
      <c r="L60" s="3" t="n">
        <f aca="false">IF(ISNUMBER(H60),MAX(H60,IFERROR(INDEX(MW_Floor,MATCH(G60,MW_Key,0)),0))*I60,"")</f>
        <v>2340</v>
      </c>
      <c r="M60" s="2" t="str">
        <f aca="false">IFERROR(INDEX(LR_Flag,MATCH(G60,LR_Key,0)),"")</f>
        <v>none</v>
      </c>
      <c r="N60" s="2" t="str">
        <f aca="false">IFERROR(INDEX(MW_Check,MATCH(G60,MW_Key,0)),"")</f>
        <v>OK</v>
      </c>
      <c r="O60" s="0" t="str">
        <f aca="false">IF(NOT(ISNUMBER(H60)),"LABOR QUOTE NEEDED – total incomplete",IF(N60="BELOW FLOOR","CHECK: typical labor below wage floor – payout and customer labor raised to floor",IF(M60&lt;&gt;"none","Labor rate flagged: "&amp;M60,"OK")))</f>
        <v>OK</v>
      </c>
      <c r="P60" s="0" t="s">
        <v>1091</v>
      </c>
      <c r="Q60" s="8" t="s">
        <v>1092</v>
      </c>
      <c r="R60" s="2" t="str">
        <f aca="false">IF(OR(M60="regulated",COUNTIFS(Tasks_TaskID,A60,Tasks_Tier,D60,Tasks_Review,"base")&gt;0),"PENDING REVIEW – priced, not bookable until human approval",IF(COUNTIFS(Tasks_TaskID,A60,Tasks_Tier,D60,Tasks_Review,"as-needed")&gt;0,"Bookable (re-evaluate if regulated as-needed line selected)","Bookable"))</f>
        <v>Bookable (re-evaluate if regulated as-needed line selected)</v>
      </c>
    </row>
    <row r="61" customFormat="false" ht="17.15" hidden="false" customHeight="false" outlineLevel="0" collapsed="false">
      <c r="A61" s="2" t="s">
        <v>1088</v>
      </c>
      <c r="B61" s="2" t="s">
        <v>107</v>
      </c>
      <c r="C61" s="2" t="s">
        <v>1089</v>
      </c>
      <c r="D61" s="2" t="s">
        <v>1042</v>
      </c>
      <c r="E61" s="2" t="s">
        <v>1898</v>
      </c>
      <c r="F61" s="3" t="n">
        <f aca="false">INDEX(Sum_Base,MATCH(A61,Sum_BaseTasks,0),MATCH(D61,Sum_BaseTiers,0))</f>
        <v>408.2</v>
      </c>
      <c r="G61" s="2" t="str">
        <f aca="false">IF(ISNUMBER(MATCH(A61&amp;"|"&amp;D61,LR_Key,0)),A61&amp;"|"&amp;D61,A61&amp;"|All")</f>
        <v>FIXX-PLM-004|All</v>
      </c>
      <c r="H61" s="3" t="n">
        <f aca="false">IFERROR(INDEX(LR_TypLabor,MATCH(G61,LR_Key,0)),"")</f>
        <v>1800</v>
      </c>
      <c r="I61" s="12" t="n">
        <f aca="false">INDEX(Urg_Mult,MATCH(E61,Urg_Levels,0))</f>
        <v>1.5</v>
      </c>
      <c r="J61" s="3" t="n">
        <f aca="false">IF(ISNUMBER(H61),MAX(H61,IFERROR(INDEX(MW_Floor,MATCH(G61,MW_Key,0)),0))*I61,"")</f>
        <v>2700</v>
      </c>
      <c r="K61" s="3" t="n">
        <f aca="false">IF(ISNUMBER(J61),F61+J61,"")</f>
        <v>3108.2</v>
      </c>
      <c r="L61" s="3" t="n">
        <f aca="false">IF(ISNUMBER(H61),MAX(H61,IFERROR(INDEX(MW_Floor,MATCH(G61,MW_Key,0)),0))*I61,"")</f>
        <v>2700</v>
      </c>
      <c r="M61" s="2" t="str">
        <f aca="false">IFERROR(INDEX(LR_Flag,MATCH(G61,LR_Key,0)),"")</f>
        <v>none</v>
      </c>
      <c r="N61" s="2" t="str">
        <f aca="false">IFERROR(INDEX(MW_Check,MATCH(G61,MW_Key,0)),"")</f>
        <v>OK</v>
      </c>
      <c r="O61" s="0" t="str">
        <f aca="false">IF(NOT(ISNUMBER(H61)),"LABOR QUOTE NEEDED – total incomplete",IF(N61="BELOW FLOOR","CHECK: typical labor below wage floor – payout and customer labor raised to floor",IF(M61&lt;&gt;"none","Labor rate flagged: "&amp;M61,"OK")))</f>
        <v>OK</v>
      </c>
      <c r="P61" s="0" t="s">
        <v>1091</v>
      </c>
      <c r="Q61" s="8" t="s">
        <v>1092</v>
      </c>
      <c r="R61" s="2" t="str">
        <f aca="false">IF(OR(M61="regulated",COUNTIFS(Tasks_TaskID,A61,Tasks_Tier,D61,Tasks_Review,"base")&gt;0),"PENDING REVIEW – priced, not bookable until human approval",IF(COUNTIFS(Tasks_TaskID,A61,Tasks_Tier,D61,Tasks_Review,"as-needed")&gt;0,"Bookable (re-evaluate if regulated as-needed line selected)","Bookable"))</f>
        <v>Bookable (re-evaluate if regulated as-needed line selected)</v>
      </c>
    </row>
    <row r="62" customFormat="false" ht="17.15" hidden="false" customHeight="false" outlineLevel="0" collapsed="false">
      <c r="A62" s="2" t="s">
        <v>1088</v>
      </c>
      <c r="B62" s="2" t="s">
        <v>107</v>
      </c>
      <c r="C62" s="2" t="s">
        <v>1089</v>
      </c>
      <c r="D62" s="2" t="s">
        <v>1049</v>
      </c>
      <c r="E62" s="2" t="s">
        <v>1895</v>
      </c>
      <c r="F62" s="3" t="n">
        <f aca="false">INDEX(Sum_Base,MATCH(A62,Sum_BaseTasks,0),MATCH(D62,Sum_BaseTiers,0))</f>
        <v>408.2</v>
      </c>
      <c r="G62" s="2" t="str">
        <f aca="false">IF(ISNUMBER(MATCH(A62&amp;"|"&amp;D62,LR_Key,0)),A62&amp;"|"&amp;D62,A62&amp;"|All")</f>
        <v>FIXX-PLM-004|All</v>
      </c>
      <c r="H62" s="3" t="n">
        <f aca="false">IFERROR(INDEX(LR_TypLabor,MATCH(G62,LR_Key,0)),"")</f>
        <v>1800</v>
      </c>
      <c r="I62" s="12" t="n">
        <f aca="false">INDEX(Urg_Mult,MATCH(E62,Urg_Levels,0))</f>
        <v>1</v>
      </c>
      <c r="J62" s="3" t="n">
        <f aca="false">IF(ISNUMBER(H62),MAX(H62,IFERROR(INDEX(MW_Floor,MATCH(G62,MW_Key,0)),0))*I62,"")</f>
        <v>1800</v>
      </c>
      <c r="K62" s="3" t="n">
        <f aca="false">IF(ISNUMBER(J62),F62+J62,"")</f>
        <v>2208.2</v>
      </c>
      <c r="L62" s="3" t="n">
        <f aca="false">IF(ISNUMBER(H62),MAX(H62,IFERROR(INDEX(MW_Floor,MATCH(G62,MW_Key,0)),0))*I62,"")</f>
        <v>1800</v>
      </c>
      <c r="M62" s="2" t="str">
        <f aca="false">IFERROR(INDEX(LR_Flag,MATCH(G62,LR_Key,0)),"")</f>
        <v>none</v>
      </c>
      <c r="N62" s="2" t="str">
        <f aca="false">IFERROR(INDEX(MW_Check,MATCH(G62,MW_Key,0)),"")</f>
        <v>OK</v>
      </c>
      <c r="O62" s="0" t="str">
        <f aca="false">IF(NOT(ISNUMBER(H62)),"LABOR QUOTE NEEDED – total incomplete",IF(N62="BELOW FLOOR","CHECK: typical labor below wage floor – payout and customer labor raised to floor",IF(M62&lt;&gt;"none","Labor rate flagged: "&amp;M62,"OK")))</f>
        <v>OK</v>
      </c>
      <c r="P62" s="0" t="s">
        <v>1091</v>
      </c>
      <c r="Q62" s="8" t="s">
        <v>1092</v>
      </c>
      <c r="R62" s="2" t="str">
        <f aca="false">IF(OR(M62="regulated",COUNTIFS(Tasks_TaskID,A62,Tasks_Tier,D62,Tasks_Review,"base")&gt;0),"PENDING REVIEW – priced, not bookable until human approval",IF(COUNTIFS(Tasks_TaskID,A62,Tasks_Tier,D62,Tasks_Review,"as-needed")&gt;0,"Bookable (re-evaluate if regulated as-needed line selected)","Bookable"))</f>
        <v>Bookable (re-evaluate if regulated as-needed line selected)</v>
      </c>
    </row>
    <row r="63" customFormat="false" ht="17.15" hidden="false" customHeight="false" outlineLevel="0" collapsed="false">
      <c r="A63" s="2" t="s">
        <v>1088</v>
      </c>
      <c r="B63" s="2" t="s">
        <v>107</v>
      </c>
      <c r="C63" s="2" t="s">
        <v>1089</v>
      </c>
      <c r="D63" s="2" t="s">
        <v>1049</v>
      </c>
      <c r="E63" s="2" t="s">
        <v>1896</v>
      </c>
      <c r="F63" s="3" t="n">
        <f aca="false">INDEX(Sum_Base,MATCH(A63,Sum_BaseTasks,0),MATCH(D63,Sum_BaseTiers,0))</f>
        <v>408.2</v>
      </c>
      <c r="G63" s="2" t="str">
        <f aca="false">IF(ISNUMBER(MATCH(A63&amp;"|"&amp;D63,LR_Key,0)),A63&amp;"|"&amp;D63,A63&amp;"|All")</f>
        <v>FIXX-PLM-004|All</v>
      </c>
      <c r="H63" s="3" t="n">
        <f aca="false">IFERROR(INDEX(LR_TypLabor,MATCH(G63,LR_Key,0)),"")</f>
        <v>1800</v>
      </c>
      <c r="I63" s="12" t="n">
        <f aca="false">INDEX(Urg_Mult,MATCH(E63,Urg_Levels,0))</f>
        <v>1.15</v>
      </c>
      <c r="J63" s="3" t="n">
        <f aca="false">IF(ISNUMBER(H63),MAX(H63,IFERROR(INDEX(MW_Floor,MATCH(G63,MW_Key,0)),0))*I63,"")</f>
        <v>2070</v>
      </c>
      <c r="K63" s="3" t="n">
        <f aca="false">IF(ISNUMBER(J63),F63+J63,"")</f>
        <v>2478.2</v>
      </c>
      <c r="L63" s="3" t="n">
        <f aca="false">IF(ISNUMBER(H63),MAX(H63,IFERROR(INDEX(MW_Floor,MATCH(G63,MW_Key,0)),0))*I63,"")</f>
        <v>2070</v>
      </c>
      <c r="M63" s="2" t="str">
        <f aca="false">IFERROR(INDEX(LR_Flag,MATCH(G63,LR_Key,0)),"")</f>
        <v>none</v>
      </c>
      <c r="N63" s="2" t="str">
        <f aca="false">IFERROR(INDEX(MW_Check,MATCH(G63,MW_Key,0)),"")</f>
        <v>OK</v>
      </c>
      <c r="O63" s="0" t="str">
        <f aca="false">IF(NOT(ISNUMBER(H63)),"LABOR QUOTE NEEDED – total incomplete",IF(N63="BELOW FLOOR","CHECK: typical labor below wage floor – payout and customer labor raised to floor",IF(M63&lt;&gt;"none","Labor rate flagged: "&amp;M63,"OK")))</f>
        <v>OK</v>
      </c>
      <c r="P63" s="0" t="s">
        <v>1091</v>
      </c>
      <c r="Q63" s="8" t="s">
        <v>1092</v>
      </c>
      <c r="R63" s="2" t="str">
        <f aca="false">IF(OR(M63="regulated",COUNTIFS(Tasks_TaskID,A63,Tasks_Tier,D63,Tasks_Review,"base")&gt;0),"PENDING REVIEW – priced, not bookable until human approval",IF(COUNTIFS(Tasks_TaskID,A63,Tasks_Tier,D63,Tasks_Review,"as-needed")&gt;0,"Bookable (re-evaluate if regulated as-needed line selected)","Bookable"))</f>
        <v>Bookable (re-evaluate if regulated as-needed line selected)</v>
      </c>
    </row>
    <row r="64" customFormat="false" ht="17.15" hidden="false" customHeight="false" outlineLevel="0" collapsed="false">
      <c r="A64" s="2" t="s">
        <v>1088</v>
      </c>
      <c r="B64" s="2" t="s">
        <v>107</v>
      </c>
      <c r="C64" s="2" t="s">
        <v>1089</v>
      </c>
      <c r="D64" s="2" t="s">
        <v>1049</v>
      </c>
      <c r="E64" s="2" t="s">
        <v>1897</v>
      </c>
      <c r="F64" s="3" t="n">
        <f aca="false">INDEX(Sum_Base,MATCH(A64,Sum_BaseTasks,0),MATCH(D64,Sum_BaseTiers,0))</f>
        <v>408.2</v>
      </c>
      <c r="G64" s="2" t="str">
        <f aca="false">IF(ISNUMBER(MATCH(A64&amp;"|"&amp;D64,LR_Key,0)),A64&amp;"|"&amp;D64,A64&amp;"|All")</f>
        <v>FIXX-PLM-004|All</v>
      </c>
      <c r="H64" s="3" t="n">
        <f aca="false">IFERROR(INDEX(LR_TypLabor,MATCH(G64,LR_Key,0)),"")</f>
        <v>1800</v>
      </c>
      <c r="I64" s="12" t="n">
        <f aca="false">INDEX(Urg_Mult,MATCH(E64,Urg_Levels,0))</f>
        <v>1.3</v>
      </c>
      <c r="J64" s="3" t="n">
        <f aca="false">IF(ISNUMBER(H64),MAX(H64,IFERROR(INDEX(MW_Floor,MATCH(G64,MW_Key,0)),0))*I64,"")</f>
        <v>2340</v>
      </c>
      <c r="K64" s="3" t="n">
        <f aca="false">IF(ISNUMBER(J64),F64+J64,"")</f>
        <v>2748.2</v>
      </c>
      <c r="L64" s="3" t="n">
        <f aca="false">IF(ISNUMBER(H64),MAX(H64,IFERROR(INDEX(MW_Floor,MATCH(G64,MW_Key,0)),0))*I64,"")</f>
        <v>2340</v>
      </c>
      <c r="M64" s="2" t="str">
        <f aca="false">IFERROR(INDEX(LR_Flag,MATCH(G64,LR_Key,0)),"")</f>
        <v>none</v>
      </c>
      <c r="N64" s="2" t="str">
        <f aca="false">IFERROR(INDEX(MW_Check,MATCH(G64,MW_Key,0)),"")</f>
        <v>OK</v>
      </c>
      <c r="O64" s="0" t="str">
        <f aca="false">IF(NOT(ISNUMBER(H64)),"LABOR QUOTE NEEDED – total incomplete",IF(N64="BELOW FLOOR","CHECK: typical labor below wage floor – payout and customer labor raised to floor",IF(M64&lt;&gt;"none","Labor rate flagged: "&amp;M64,"OK")))</f>
        <v>OK</v>
      </c>
      <c r="P64" s="0" t="s">
        <v>1091</v>
      </c>
      <c r="Q64" s="8" t="s">
        <v>1092</v>
      </c>
      <c r="R64" s="2" t="str">
        <f aca="false">IF(OR(M64="regulated",COUNTIFS(Tasks_TaskID,A64,Tasks_Tier,D64,Tasks_Review,"base")&gt;0),"PENDING REVIEW – priced, not bookable until human approval",IF(COUNTIFS(Tasks_TaskID,A64,Tasks_Tier,D64,Tasks_Review,"as-needed")&gt;0,"Bookable (re-evaluate if regulated as-needed line selected)","Bookable"))</f>
        <v>Bookable (re-evaluate if regulated as-needed line selected)</v>
      </c>
    </row>
    <row r="65" customFormat="false" ht="17.15" hidden="false" customHeight="false" outlineLevel="0" collapsed="false">
      <c r="A65" s="2" t="s">
        <v>1088</v>
      </c>
      <c r="B65" s="2" t="s">
        <v>107</v>
      </c>
      <c r="C65" s="2" t="s">
        <v>1089</v>
      </c>
      <c r="D65" s="2" t="s">
        <v>1049</v>
      </c>
      <c r="E65" s="2" t="s">
        <v>1898</v>
      </c>
      <c r="F65" s="3" t="n">
        <f aca="false">INDEX(Sum_Base,MATCH(A65,Sum_BaseTasks,0),MATCH(D65,Sum_BaseTiers,0))</f>
        <v>408.2</v>
      </c>
      <c r="G65" s="2" t="str">
        <f aca="false">IF(ISNUMBER(MATCH(A65&amp;"|"&amp;D65,LR_Key,0)),A65&amp;"|"&amp;D65,A65&amp;"|All")</f>
        <v>FIXX-PLM-004|All</v>
      </c>
      <c r="H65" s="3" t="n">
        <f aca="false">IFERROR(INDEX(LR_TypLabor,MATCH(G65,LR_Key,0)),"")</f>
        <v>1800</v>
      </c>
      <c r="I65" s="12" t="n">
        <f aca="false">INDEX(Urg_Mult,MATCH(E65,Urg_Levels,0))</f>
        <v>1.5</v>
      </c>
      <c r="J65" s="3" t="n">
        <f aca="false">IF(ISNUMBER(H65),MAX(H65,IFERROR(INDEX(MW_Floor,MATCH(G65,MW_Key,0)),0))*I65,"")</f>
        <v>2700</v>
      </c>
      <c r="K65" s="3" t="n">
        <f aca="false">IF(ISNUMBER(J65),F65+J65,"")</f>
        <v>3108.2</v>
      </c>
      <c r="L65" s="3" t="n">
        <f aca="false">IF(ISNUMBER(H65),MAX(H65,IFERROR(INDEX(MW_Floor,MATCH(G65,MW_Key,0)),0))*I65,"")</f>
        <v>2700</v>
      </c>
      <c r="M65" s="2" t="str">
        <f aca="false">IFERROR(INDEX(LR_Flag,MATCH(G65,LR_Key,0)),"")</f>
        <v>none</v>
      </c>
      <c r="N65" s="2" t="str">
        <f aca="false">IFERROR(INDEX(MW_Check,MATCH(G65,MW_Key,0)),"")</f>
        <v>OK</v>
      </c>
      <c r="O65" s="0" t="str">
        <f aca="false">IF(NOT(ISNUMBER(H65)),"LABOR QUOTE NEEDED – total incomplete",IF(N65="BELOW FLOOR","CHECK: typical labor below wage floor – payout and customer labor raised to floor",IF(M65&lt;&gt;"none","Labor rate flagged: "&amp;M65,"OK")))</f>
        <v>OK</v>
      </c>
      <c r="P65" s="0" t="s">
        <v>1091</v>
      </c>
      <c r="Q65" s="8" t="s">
        <v>1092</v>
      </c>
      <c r="R65" s="2" t="str">
        <f aca="false">IF(OR(M65="regulated",COUNTIFS(Tasks_TaskID,A65,Tasks_Tier,D65,Tasks_Review,"base")&gt;0),"PENDING REVIEW – priced, not bookable until human approval",IF(COUNTIFS(Tasks_TaskID,A65,Tasks_Tier,D65,Tasks_Review,"as-needed")&gt;0,"Bookable (re-evaluate if regulated as-needed line selected)","Bookable"))</f>
        <v>Bookable (re-evaluate if regulated as-needed line selected)</v>
      </c>
    </row>
    <row r="66" customFormat="false" ht="17.15" hidden="false" customHeight="false" outlineLevel="0" collapsed="false">
      <c r="A66" s="2" t="s">
        <v>1088</v>
      </c>
      <c r="B66" s="2" t="s">
        <v>107</v>
      </c>
      <c r="C66" s="2" t="s">
        <v>1089</v>
      </c>
      <c r="D66" s="2" t="s">
        <v>1051</v>
      </c>
      <c r="E66" s="2" t="s">
        <v>1895</v>
      </c>
      <c r="F66" s="3" t="n">
        <f aca="false">INDEX(Sum_Base,MATCH(A66,Sum_BaseTasks,0),MATCH(D66,Sum_BaseTiers,0))</f>
        <v>408.2</v>
      </c>
      <c r="G66" s="2" t="str">
        <f aca="false">IF(ISNUMBER(MATCH(A66&amp;"|"&amp;D66,LR_Key,0)),A66&amp;"|"&amp;D66,A66&amp;"|All")</f>
        <v>FIXX-PLM-004|All</v>
      </c>
      <c r="H66" s="3" t="n">
        <f aca="false">IFERROR(INDEX(LR_TypLabor,MATCH(G66,LR_Key,0)),"")</f>
        <v>1800</v>
      </c>
      <c r="I66" s="12" t="n">
        <f aca="false">INDEX(Urg_Mult,MATCH(E66,Urg_Levels,0))</f>
        <v>1</v>
      </c>
      <c r="J66" s="3" t="n">
        <f aca="false">IF(ISNUMBER(H66),MAX(H66,IFERROR(INDEX(MW_Floor,MATCH(G66,MW_Key,0)),0))*I66,"")</f>
        <v>1800</v>
      </c>
      <c r="K66" s="3" t="n">
        <f aca="false">IF(ISNUMBER(J66),F66+J66,"")</f>
        <v>2208.2</v>
      </c>
      <c r="L66" s="3" t="n">
        <f aca="false">IF(ISNUMBER(H66),MAX(H66,IFERROR(INDEX(MW_Floor,MATCH(G66,MW_Key,0)),0))*I66,"")</f>
        <v>1800</v>
      </c>
      <c r="M66" s="2" t="str">
        <f aca="false">IFERROR(INDEX(LR_Flag,MATCH(G66,LR_Key,0)),"")</f>
        <v>none</v>
      </c>
      <c r="N66" s="2" t="str">
        <f aca="false">IFERROR(INDEX(MW_Check,MATCH(G66,MW_Key,0)),"")</f>
        <v>OK</v>
      </c>
      <c r="O66" s="0" t="str">
        <f aca="false">IF(NOT(ISNUMBER(H66)),"LABOR QUOTE NEEDED – total incomplete",IF(N66="BELOW FLOOR","CHECK: typical labor below wage floor – payout and customer labor raised to floor",IF(M66&lt;&gt;"none","Labor rate flagged: "&amp;M66,"OK")))</f>
        <v>OK</v>
      </c>
      <c r="P66" s="0" t="s">
        <v>1091</v>
      </c>
      <c r="Q66" s="8" t="s">
        <v>1092</v>
      </c>
      <c r="R66" s="2" t="str">
        <f aca="false">IF(OR(M66="regulated",COUNTIFS(Tasks_TaskID,A66,Tasks_Tier,D66,Tasks_Review,"base")&gt;0),"PENDING REVIEW – priced, not bookable until human approval",IF(COUNTIFS(Tasks_TaskID,A66,Tasks_Tier,D66,Tasks_Review,"as-needed")&gt;0,"Bookable (re-evaluate if regulated as-needed line selected)","Bookable"))</f>
        <v>Bookable (re-evaluate if regulated as-needed line selected)</v>
      </c>
    </row>
    <row r="67" customFormat="false" ht="17.15" hidden="false" customHeight="false" outlineLevel="0" collapsed="false">
      <c r="A67" s="2" t="s">
        <v>1088</v>
      </c>
      <c r="B67" s="2" t="s">
        <v>107</v>
      </c>
      <c r="C67" s="2" t="s">
        <v>1089</v>
      </c>
      <c r="D67" s="2" t="s">
        <v>1051</v>
      </c>
      <c r="E67" s="2" t="s">
        <v>1896</v>
      </c>
      <c r="F67" s="3" t="n">
        <f aca="false">INDEX(Sum_Base,MATCH(A67,Sum_BaseTasks,0),MATCH(D67,Sum_BaseTiers,0))</f>
        <v>408.2</v>
      </c>
      <c r="G67" s="2" t="str">
        <f aca="false">IF(ISNUMBER(MATCH(A67&amp;"|"&amp;D67,LR_Key,0)),A67&amp;"|"&amp;D67,A67&amp;"|All")</f>
        <v>FIXX-PLM-004|All</v>
      </c>
      <c r="H67" s="3" t="n">
        <f aca="false">IFERROR(INDEX(LR_TypLabor,MATCH(G67,LR_Key,0)),"")</f>
        <v>1800</v>
      </c>
      <c r="I67" s="12" t="n">
        <f aca="false">INDEX(Urg_Mult,MATCH(E67,Urg_Levels,0))</f>
        <v>1.15</v>
      </c>
      <c r="J67" s="3" t="n">
        <f aca="false">IF(ISNUMBER(H67),MAX(H67,IFERROR(INDEX(MW_Floor,MATCH(G67,MW_Key,0)),0))*I67,"")</f>
        <v>2070</v>
      </c>
      <c r="K67" s="3" t="n">
        <f aca="false">IF(ISNUMBER(J67),F67+J67,"")</f>
        <v>2478.2</v>
      </c>
      <c r="L67" s="3" t="n">
        <f aca="false">IF(ISNUMBER(H67),MAX(H67,IFERROR(INDEX(MW_Floor,MATCH(G67,MW_Key,0)),0))*I67,"")</f>
        <v>2070</v>
      </c>
      <c r="M67" s="2" t="str">
        <f aca="false">IFERROR(INDEX(LR_Flag,MATCH(G67,LR_Key,0)),"")</f>
        <v>none</v>
      </c>
      <c r="N67" s="2" t="str">
        <f aca="false">IFERROR(INDEX(MW_Check,MATCH(G67,MW_Key,0)),"")</f>
        <v>OK</v>
      </c>
      <c r="O67" s="0" t="str">
        <f aca="false">IF(NOT(ISNUMBER(H67)),"LABOR QUOTE NEEDED – total incomplete",IF(N67="BELOW FLOOR","CHECK: typical labor below wage floor – payout and customer labor raised to floor",IF(M67&lt;&gt;"none","Labor rate flagged: "&amp;M67,"OK")))</f>
        <v>OK</v>
      </c>
      <c r="P67" s="0" t="s">
        <v>1091</v>
      </c>
      <c r="Q67" s="8" t="s">
        <v>1092</v>
      </c>
      <c r="R67" s="2" t="str">
        <f aca="false">IF(OR(M67="regulated",COUNTIFS(Tasks_TaskID,A67,Tasks_Tier,D67,Tasks_Review,"base")&gt;0),"PENDING REVIEW – priced, not bookable until human approval",IF(COUNTIFS(Tasks_TaskID,A67,Tasks_Tier,D67,Tasks_Review,"as-needed")&gt;0,"Bookable (re-evaluate if regulated as-needed line selected)","Bookable"))</f>
        <v>Bookable (re-evaluate if regulated as-needed line selected)</v>
      </c>
    </row>
    <row r="68" customFormat="false" ht="17.15" hidden="false" customHeight="false" outlineLevel="0" collapsed="false">
      <c r="A68" s="2" t="s">
        <v>1088</v>
      </c>
      <c r="B68" s="2" t="s">
        <v>107</v>
      </c>
      <c r="C68" s="2" t="s">
        <v>1089</v>
      </c>
      <c r="D68" s="2" t="s">
        <v>1051</v>
      </c>
      <c r="E68" s="2" t="s">
        <v>1897</v>
      </c>
      <c r="F68" s="3" t="n">
        <f aca="false">INDEX(Sum_Base,MATCH(A68,Sum_BaseTasks,0),MATCH(D68,Sum_BaseTiers,0))</f>
        <v>408.2</v>
      </c>
      <c r="G68" s="2" t="str">
        <f aca="false">IF(ISNUMBER(MATCH(A68&amp;"|"&amp;D68,LR_Key,0)),A68&amp;"|"&amp;D68,A68&amp;"|All")</f>
        <v>FIXX-PLM-004|All</v>
      </c>
      <c r="H68" s="3" t="n">
        <f aca="false">IFERROR(INDEX(LR_TypLabor,MATCH(G68,LR_Key,0)),"")</f>
        <v>1800</v>
      </c>
      <c r="I68" s="12" t="n">
        <f aca="false">INDEX(Urg_Mult,MATCH(E68,Urg_Levels,0))</f>
        <v>1.3</v>
      </c>
      <c r="J68" s="3" t="n">
        <f aca="false">IF(ISNUMBER(H68),MAX(H68,IFERROR(INDEX(MW_Floor,MATCH(G68,MW_Key,0)),0))*I68,"")</f>
        <v>2340</v>
      </c>
      <c r="K68" s="3" t="n">
        <f aca="false">IF(ISNUMBER(J68),F68+J68,"")</f>
        <v>2748.2</v>
      </c>
      <c r="L68" s="3" t="n">
        <f aca="false">IF(ISNUMBER(H68),MAX(H68,IFERROR(INDEX(MW_Floor,MATCH(G68,MW_Key,0)),0))*I68,"")</f>
        <v>2340</v>
      </c>
      <c r="M68" s="2" t="str">
        <f aca="false">IFERROR(INDEX(LR_Flag,MATCH(G68,LR_Key,0)),"")</f>
        <v>none</v>
      </c>
      <c r="N68" s="2" t="str">
        <f aca="false">IFERROR(INDEX(MW_Check,MATCH(G68,MW_Key,0)),"")</f>
        <v>OK</v>
      </c>
      <c r="O68" s="0" t="str">
        <f aca="false">IF(NOT(ISNUMBER(H68)),"LABOR QUOTE NEEDED – total incomplete",IF(N68="BELOW FLOOR","CHECK: typical labor below wage floor – payout and customer labor raised to floor",IF(M68&lt;&gt;"none","Labor rate flagged: "&amp;M68,"OK")))</f>
        <v>OK</v>
      </c>
      <c r="P68" s="0" t="s">
        <v>1091</v>
      </c>
      <c r="Q68" s="8" t="s">
        <v>1092</v>
      </c>
      <c r="R68" s="2" t="str">
        <f aca="false">IF(OR(M68="regulated",COUNTIFS(Tasks_TaskID,A68,Tasks_Tier,D68,Tasks_Review,"base")&gt;0),"PENDING REVIEW – priced, not bookable until human approval",IF(COUNTIFS(Tasks_TaskID,A68,Tasks_Tier,D68,Tasks_Review,"as-needed")&gt;0,"Bookable (re-evaluate if regulated as-needed line selected)","Bookable"))</f>
        <v>Bookable (re-evaluate if regulated as-needed line selected)</v>
      </c>
    </row>
    <row r="69" customFormat="false" ht="17.15" hidden="false" customHeight="false" outlineLevel="0" collapsed="false">
      <c r="A69" s="2" t="s">
        <v>1088</v>
      </c>
      <c r="B69" s="2" t="s">
        <v>107</v>
      </c>
      <c r="C69" s="2" t="s">
        <v>1089</v>
      </c>
      <c r="D69" s="2" t="s">
        <v>1051</v>
      </c>
      <c r="E69" s="2" t="s">
        <v>1898</v>
      </c>
      <c r="F69" s="3" t="n">
        <f aca="false">INDEX(Sum_Base,MATCH(A69,Sum_BaseTasks,0),MATCH(D69,Sum_BaseTiers,0))</f>
        <v>408.2</v>
      </c>
      <c r="G69" s="2" t="str">
        <f aca="false">IF(ISNUMBER(MATCH(A69&amp;"|"&amp;D69,LR_Key,0)),A69&amp;"|"&amp;D69,A69&amp;"|All")</f>
        <v>FIXX-PLM-004|All</v>
      </c>
      <c r="H69" s="3" t="n">
        <f aca="false">IFERROR(INDEX(LR_TypLabor,MATCH(G69,LR_Key,0)),"")</f>
        <v>1800</v>
      </c>
      <c r="I69" s="12" t="n">
        <f aca="false">INDEX(Urg_Mult,MATCH(E69,Urg_Levels,0))</f>
        <v>1.5</v>
      </c>
      <c r="J69" s="3" t="n">
        <f aca="false">IF(ISNUMBER(H69),MAX(H69,IFERROR(INDEX(MW_Floor,MATCH(G69,MW_Key,0)),0))*I69,"")</f>
        <v>2700</v>
      </c>
      <c r="K69" s="3" t="n">
        <f aca="false">IF(ISNUMBER(J69),F69+J69,"")</f>
        <v>3108.2</v>
      </c>
      <c r="L69" s="3" t="n">
        <f aca="false">IF(ISNUMBER(H69),MAX(H69,IFERROR(INDEX(MW_Floor,MATCH(G69,MW_Key,0)),0))*I69,"")</f>
        <v>2700</v>
      </c>
      <c r="M69" s="2" t="str">
        <f aca="false">IFERROR(INDEX(LR_Flag,MATCH(G69,LR_Key,0)),"")</f>
        <v>none</v>
      </c>
      <c r="N69" s="2" t="str">
        <f aca="false">IFERROR(INDEX(MW_Check,MATCH(G69,MW_Key,0)),"")</f>
        <v>OK</v>
      </c>
      <c r="O69" s="0" t="str">
        <f aca="false">IF(NOT(ISNUMBER(H69)),"LABOR QUOTE NEEDED – total incomplete",IF(N69="BELOW FLOOR","CHECK: typical labor below wage floor – payout and customer labor raised to floor",IF(M69&lt;&gt;"none","Labor rate flagged: "&amp;M69,"OK")))</f>
        <v>OK</v>
      </c>
      <c r="P69" s="0" t="s">
        <v>1091</v>
      </c>
      <c r="Q69" s="8" t="s">
        <v>1092</v>
      </c>
      <c r="R69" s="2" t="str">
        <f aca="false">IF(OR(M69="regulated",COUNTIFS(Tasks_TaskID,A69,Tasks_Tier,D69,Tasks_Review,"base")&gt;0),"PENDING REVIEW – priced, not bookable until human approval",IF(COUNTIFS(Tasks_TaskID,A69,Tasks_Tier,D69,Tasks_Review,"as-needed")&gt;0,"Bookable (re-evaluate if regulated as-needed line selected)","Bookable"))</f>
        <v>Bookable (re-evaluate if regulated as-needed line selected)</v>
      </c>
    </row>
    <row r="70" customFormat="false" ht="15" hidden="false" customHeight="false" outlineLevel="0" collapsed="false">
      <c r="A70" s="2" t="s">
        <v>1097</v>
      </c>
      <c r="B70" s="2" t="s">
        <v>107</v>
      </c>
      <c r="C70" s="2" t="s">
        <v>1098</v>
      </c>
      <c r="D70" s="2" t="s">
        <v>1042</v>
      </c>
      <c r="E70" s="2" t="s">
        <v>1895</v>
      </c>
      <c r="F70" s="3" t="n">
        <f aca="false">INDEX(Sum_Base,MATCH(A70,Sum_BaseTasks,0),MATCH(D70,Sum_BaseTiers,0))</f>
        <v>189</v>
      </c>
      <c r="G70" s="2" t="str">
        <f aca="false">IF(ISNUMBER(MATCH(A70&amp;"|"&amp;D70,LR_Key,0)),A70&amp;"|"&amp;D70,A70&amp;"|All")</f>
        <v>FIXX-PLM-006|All</v>
      </c>
      <c r="H70" s="3" t="n">
        <f aca="false">IFERROR(INDEX(LR_TypLabor,MATCH(G70,LR_Key,0)),"")</f>
        <v>1150</v>
      </c>
      <c r="I70" s="12" t="n">
        <f aca="false">INDEX(Urg_Mult,MATCH(E70,Urg_Levels,0))</f>
        <v>1</v>
      </c>
      <c r="J70" s="3" t="n">
        <f aca="false">IF(ISNUMBER(H70),MAX(H70,IFERROR(INDEX(MW_Floor,MATCH(G70,MW_Key,0)),0))*I70,"")</f>
        <v>1150</v>
      </c>
      <c r="K70" s="3" t="n">
        <f aca="false">IF(ISNUMBER(J70),F70+J70,"")</f>
        <v>1339</v>
      </c>
      <c r="L70" s="3" t="n">
        <f aca="false">IF(ISNUMBER(H70),MAX(H70,IFERROR(INDEX(MW_Floor,MATCH(G70,MW_Key,0)),0))*I70,"")</f>
        <v>1150</v>
      </c>
      <c r="M70" s="2" t="str">
        <f aca="false">IFERROR(INDEX(LR_Flag,MATCH(G70,LR_Key,0)),"")</f>
        <v>none</v>
      </c>
      <c r="N70" s="2" t="str">
        <f aca="false">IFERROR(INDEX(MW_Check,MATCH(G70,MW_Key,0)),"")</f>
        <v>OK</v>
      </c>
      <c r="O70" s="0" t="str">
        <f aca="false">IF(NOT(ISNUMBER(H70)),"LABOR QUOTE NEEDED – total incomplete",IF(N70="BELOW FLOOR","CHECK: typical labor below wage floor – payout and customer labor raised to floor",IF(M70&lt;&gt;"none","Labor rate flagged: "&amp;M70,"OK")))</f>
        <v>OK</v>
      </c>
      <c r="P70" s="0" t="s">
        <v>1101</v>
      </c>
      <c r="Q70" s="8" t="s">
        <v>1102</v>
      </c>
      <c r="R70" s="2" t="str">
        <f aca="false">IF(OR(M70="regulated",COUNTIFS(Tasks_TaskID,A70,Tasks_Tier,D70,Tasks_Review,"base")&gt;0),"PENDING REVIEW – priced, not bookable until human approval",IF(COUNTIFS(Tasks_TaskID,A70,Tasks_Tier,D70,Tasks_Review,"as-needed")&gt;0,"Bookable (re-evaluate if regulated as-needed line selected)","Bookable"))</f>
        <v>Bookable</v>
      </c>
    </row>
    <row r="71" customFormat="false" ht="15" hidden="false" customHeight="false" outlineLevel="0" collapsed="false">
      <c r="A71" s="2" t="s">
        <v>1097</v>
      </c>
      <c r="B71" s="2" t="s">
        <v>107</v>
      </c>
      <c r="C71" s="2" t="s">
        <v>1098</v>
      </c>
      <c r="D71" s="2" t="s">
        <v>1042</v>
      </c>
      <c r="E71" s="2" t="s">
        <v>1896</v>
      </c>
      <c r="F71" s="3" t="n">
        <f aca="false">INDEX(Sum_Base,MATCH(A71,Sum_BaseTasks,0),MATCH(D71,Sum_BaseTiers,0))</f>
        <v>189</v>
      </c>
      <c r="G71" s="2" t="str">
        <f aca="false">IF(ISNUMBER(MATCH(A71&amp;"|"&amp;D71,LR_Key,0)),A71&amp;"|"&amp;D71,A71&amp;"|All")</f>
        <v>FIXX-PLM-006|All</v>
      </c>
      <c r="H71" s="3" t="n">
        <f aca="false">IFERROR(INDEX(LR_TypLabor,MATCH(G71,LR_Key,0)),"")</f>
        <v>1150</v>
      </c>
      <c r="I71" s="12" t="n">
        <f aca="false">INDEX(Urg_Mult,MATCH(E71,Urg_Levels,0))</f>
        <v>1.15</v>
      </c>
      <c r="J71" s="3" t="n">
        <f aca="false">IF(ISNUMBER(H71),MAX(H71,IFERROR(INDEX(MW_Floor,MATCH(G71,MW_Key,0)),0))*I71,"")</f>
        <v>1322.5</v>
      </c>
      <c r="K71" s="3" t="n">
        <f aca="false">IF(ISNUMBER(J71),F71+J71,"")</f>
        <v>1511.5</v>
      </c>
      <c r="L71" s="3" t="n">
        <f aca="false">IF(ISNUMBER(H71),MAX(H71,IFERROR(INDEX(MW_Floor,MATCH(G71,MW_Key,0)),0))*I71,"")</f>
        <v>1322.5</v>
      </c>
      <c r="M71" s="2" t="str">
        <f aca="false">IFERROR(INDEX(LR_Flag,MATCH(G71,LR_Key,0)),"")</f>
        <v>none</v>
      </c>
      <c r="N71" s="2" t="str">
        <f aca="false">IFERROR(INDEX(MW_Check,MATCH(G71,MW_Key,0)),"")</f>
        <v>OK</v>
      </c>
      <c r="O71" s="0" t="str">
        <f aca="false">IF(NOT(ISNUMBER(H71)),"LABOR QUOTE NEEDED – total incomplete",IF(N71="BELOW FLOOR","CHECK: typical labor below wage floor – payout and customer labor raised to floor",IF(M71&lt;&gt;"none","Labor rate flagged: "&amp;M71,"OK")))</f>
        <v>OK</v>
      </c>
      <c r="P71" s="0" t="s">
        <v>1101</v>
      </c>
      <c r="Q71" s="8" t="s">
        <v>1102</v>
      </c>
      <c r="R71" s="2" t="str">
        <f aca="false">IF(OR(M71="regulated",COUNTIFS(Tasks_TaskID,A71,Tasks_Tier,D71,Tasks_Review,"base")&gt;0),"PENDING REVIEW – priced, not bookable until human approval",IF(COUNTIFS(Tasks_TaskID,A71,Tasks_Tier,D71,Tasks_Review,"as-needed")&gt;0,"Bookable (re-evaluate if regulated as-needed line selected)","Bookable"))</f>
        <v>Bookable</v>
      </c>
    </row>
    <row r="72" customFormat="false" ht="15" hidden="false" customHeight="false" outlineLevel="0" collapsed="false">
      <c r="A72" s="2" t="s">
        <v>1097</v>
      </c>
      <c r="B72" s="2" t="s">
        <v>107</v>
      </c>
      <c r="C72" s="2" t="s">
        <v>1098</v>
      </c>
      <c r="D72" s="2" t="s">
        <v>1042</v>
      </c>
      <c r="E72" s="2" t="s">
        <v>1897</v>
      </c>
      <c r="F72" s="3" t="n">
        <f aca="false">INDEX(Sum_Base,MATCH(A72,Sum_BaseTasks,0),MATCH(D72,Sum_BaseTiers,0))</f>
        <v>189</v>
      </c>
      <c r="G72" s="2" t="str">
        <f aca="false">IF(ISNUMBER(MATCH(A72&amp;"|"&amp;D72,LR_Key,0)),A72&amp;"|"&amp;D72,A72&amp;"|All")</f>
        <v>FIXX-PLM-006|All</v>
      </c>
      <c r="H72" s="3" t="n">
        <f aca="false">IFERROR(INDEX(LR_TypLabor,MATCH(G72,LR_Key,0)),"")</f>
        <v>1150</v>
      </c>
      <c r="I72" s="12" t="n">
        <f aca="false">INDEX(Urg_Mult,MATCH(E72,Urg_Levels,0))</f>
        <v>1.3</v>
      </c>
      <c r="J72" s="3" t="n">
        <f aca="false">IF(ISNUMBER(H72),MAX(H72,IFERROR(INDEX(MW_Floor,MATCH(G72,MW_Key,0)),0))*I72,"")</f>
        <v>1495</v>
      </c>
      <c r="K72" s="3" t="n">
        <f aca="false">IF(ISNUMBER(J72),F72+J72,"")</f>
        <v>1684</v>
      </c>
      <c r="L72" s="3" t="n">
        <f aca="false">IF(ISNUMBER(H72),MAX(H72,IFERROR(INDEX(MW_Floor,MATCH(G72,MW_Key,0)),0))*I72,"")</f>
        <v>1495</v>
      </c>
      <c r="M72" s="2" t="str">
        <f aca="false">IFERROR(INDEX(LR_Flag,MATCH(G72,LR_Key,0)),"")</f>
        <v>none</v>
      </c>
      <c r="N72" s="2" t="str">
        <f aca="false">IFERROR(INDEX(MW_Check,MATCH(G72,MW_Key,0)),"")</f>
        <v>OK</v>
      </c>
      <c r="O72" s="0" t="str">
        <f aca="false">IF(NOT(ISNUMBER(H72)),"LABOR QUOTE NEEDED – total incomplete",IF(N72="BELOW FLOOR","CHECK: typical labor below wage floor – payout and customer labor raised to floor",IF(M72&lt;&gt;"none","Labor rate flagged: "&amp;M72,"OK")))</f>
        <v>OK</v>
      </c>
      <c r="P72" s="0" t="s">
        <v>1101</v>
      </c>
      <c r="Q72" s="8" t="s">
        <v>1102</v>
      </c>
      <c r="R72" s="2" t="str">
        <f aca="false">IF(OR(M72="regulated",COUNTIFS(Tasks_TaskID,A72,Tasks_Tier,D72,Tasks_Review,"base")&gt;0),"PENDING REVIEW – priced, not bookable until human approval",IF(COUNTIFS(Tasks_TaskID,A72,Tasks_Tier,D72,Tasks_Review,"as-needed")&gt;0,"Bookable (re-evaluate if regulated as-needed line selected)","Bookable"))</f>
        <v>Bookable</v>
      </c>
    </row>
    <row r="73" customFormat="false" ht="15" hidden="false" customHeight="false" outlineLevel="0" collapsed="false">
      <c r="A73" s="2" t="s">
        <v>1097</v>
      </c>
      <c r="B73" s="2" t="s">
        <v>107</v>
      </c>
      <c r="C73" s="2" t="s">
        <v>1098</v>
      </c>
      <c r="D73" s="2" t="s">
        <v>1042</v>
      </c>
      <c r="E73" s="2" t="s">
        <v>1898</v>
      </c>
      <c r="F73" s="3" t="n">
        <f aca="false">INDEX(Sum_Base,MATCH(A73,Sum_BaseTasks,0),MATCH(D73,Sum_BaseTiers,0))</f>
        <v>189</v>
      </c>
      <c r="G73" s="2" t="str">
        <f aca="false">IF(ISNUMBER(MATCH(A73&amp;"|"&amp;D73,LR_Key,0)),A73&amp;"|"&amp;D73,A73&amp;"|All")</f>
        <v>FIXX-PLM-006|All</v>
      </c>
      <c r="H73" s="3" t="n">
        <f aca="false">IFERROR(INDEX(LR_TypLabor,MATCH(G73,LR_Key,0)),"")</f>
        <v>1150</v>
      </c>
      <c r="I73" s="12" t="n">
        <f aca="false">INDEX(Urg_Mult,MATCH(E73,Urg_Levels,0))</f>
        <v>1.5</v>
      </c>
      <c r="J73" s="3" t="n">
        <f aca="false">IF(ISNUMBER(H73),MAX(H73,IFERROR(INDEX(MW_Floor,MATCH(G73,MW_Key,0)),0))*I73,"")</f>
        <v>1725</v>
      </c>
      <c r="K73" s="3" t="n">
        <f aca="false">IF(ISNUMBER(J73),F73+J73,"")</f>
        <v>1914</v>
      </c>
      <c r="L73" s="3" t="n">
        <f aca="false">IF(ISNUMBER(H73),MAX(H73,IFERROR(INDEX(MW_Floor,MATCH(G73,MW_Key,0)),0))*I73,"")</f>
        <v>1725</v>
      </c>
      <c r="M73" s="2" t="str">
        <f aca="false">IFERROR(INDEX(LR_Flag,MATCH(G73,LR_Key,0)),"")</f>
        <v>none</v>
      </c>
      <c r="N73" s="2" t="str">
        <f aca="false">IFERROR(INDEX(MW_Check,MATCH(G73,MW_Key,0)),"")</f>
        <v>OK</v>
      </c>
      <c r="O73" s="0" t="str">
        <f aca="false">IF(NOT(ISNUMBER(H73)),"LABOR QUOTE NEEDED – total incomplete",IF(N73="BELOW FLOOR","CHECK: typical labor below wage floor – payout and customer labor raised to floor",IF(M73&lt;&gt;"none","Labor rate flagged: "&amp;M73,"OK")))</f>
        <v>OK</v>
      </c>
      <c r="P73" s="0" t="s">
        <v>1101</v>
      </c>
      <c r="Q73" s="8" t="s">
        <v>1102</v>
      </c>
      <c r="R73" s="2" t="str">
        <f aca="false">IF(OR(M73="regulated",COUNTIFS(Tasks_TaskID,A73,Tasks_Tier,D73,Tasks_Review,"base")&gt;0),"PENDING REVIEW – priced, not bookable until human approval",IF(COUNTIFS(Tasks_TaskID,A73,Tasks_Tier,D73,Tasks_Review,"as-needed")&gt;0,"Bookable (re-evaluate if regulated as-needed line selected)","Bookable"))</f>
        <v>Bookable</v>
      </c>
    </row>
    <row r="74" customFormat="false" ht="15" hidden="false" customHeight="false" outlineLevel="0" collapsed="false">
      <c r="A74" s="2" t="s">
        <v>1097</v>
      </c>
      <c r="B74" s="2" t="s">
        <v>107</v>
      </c>
      <c r="C74" s="2" t="s">
        <v>1098</v>
      </c>
      <c r="D74" s="2" t="s">
        <v>1049</v>
      </c>
      <c r="E74" s="2" t="s">
        <v>1895</v>
      </c>
      <c r="F74" s="3" t="n">
        <f aca="false">INDEX(Sum_Base,MATCH(A74,Sum_BaseTasks,0),MATCH(D74,Sum_BaseTiers,0))</f>
        <v>189</v>
      </c>
      <c r="G74" s="2" t="str">
        <f aca="false">IF(ISNUMBER(MATCH(A74&amp;"|"&amp;D74,LR_Key,0)),A74&amp;"|"&amp;D74,A74&amp;"|All")</f>
        <v>FIXX-PLM-006|All</v>
      </c>
      <c r="H74" s="3" t="n">
        <f aca="false">IFERROR(INDEX(LR_TypLabor,MATCH(G74,LR_Key,0)),"")</f>
        <v>1150</v>
      </c>
      <c r="I74" s="12" t="n">
        <f aca="false">INDEX(Urg_Mult,MATCH(E74,Urg_Levels,0))</f>
        <v>1</v>
      </c>
      <c r="J74" s="3" t="n">
        <f aca="false">IF(ISNUMBER(H74),MAX(H74,IFERROR(INDEX(MW_Floor,MATCH(G74,MW_Key,0)),0))*I74,"")</f>
        <v>1150</v>
      </c>
      <c r="K74" s="3" t="n">
        <f aca="false">IF(ISNUMBER(J74),F74+J74,"")</f>
        <v>1339</v>
      </c>
      <c r="L74" s="3" t="n">
        <f aca="false">IF(ISNUMBER(H74),MAX(H74,IFERROR(INDEX(MW_Floor,MATCH(G74,MW_Key,0)),0))*I74,"")</f>
        <v>1150</v>
      </c>
      <c r="M74" s="2" t="str">
        <f aca="false">IFERROR(INDEX(LR_Flag,MATCH(G74,LR_Key,0)),"")</f>
        <v>none</v>
      </c>
      <c r="N74" s="2" t="str">
        <f aca="false">IFERROR(INDEX(MW_Check,MATCH(G74,MW_Key,0)),"")</f>
        <v>OK</v>
      </c>
      <c r="O74" s="0" t="str">
        <f aca="false">IF(NOT(ISNUMBER(H74)),"LABOR QUOTE NEEDED – total incomplete",IF(N74="BELOW FLOOR","CHECK: typical labor below wage floor – payout and customer labor raised to floor",IF(M74&lt;&gt;"none","Labor rate flagged: "&amp;M74,"OK")))</f>
        <v>OK</v>
      </c>
      <c r="P74" s="0" t="s">
        <v>1101</v>
      </c>
      <c r="Q74" s="8" t="s">
        <v>1102</v>
      </c>
      <c r="R74" s="2" t="str">
        <f aca="false">IF(OR(M74="regulated",COUNTIFS(Tasks_TaskID,A74,Tasks_Tier,D74,Tasks_Review,"base")&gt;0),"PENDING REVIEW – priced, not bookable until human approval",IF(COUNTIFS(Tasks_TaskID,A74,Tasks_Tier,D74,Tasks_Review,"as-needed")&gt;0,"Bookable (re-evaluate if regulated as-needed line selected)","Bookable"))</f>
        <v>Bookable</v>
      </c>
    </row>
    <row r="75" customFormat="false" ht="15" hidden="false" customHeight="false" outlineLevel="0" collapsed="false">
      <c r="A75" s="2" t="s">
        <v>1097</v>
      </c>
      <c r="B75" s="2" t="s">
        <v>107</v>
      </c>
      <c r="C75" s="2" t="s">
        <v>1098</v>
      </c>
      <c r="D75" s="2" t="s">
        <v>1049</v>
      </c>
      <c r="E75" s="2" t="s">
        <v>1896</v>
      </c>
      <c r="F75" s="3" t="n">
        <f aca="false">INDEX(Sum_Base,MATCH(A75,Sum_BaseTasks,0),MATCH(D75,Sum_BaseTiers,0))</f>
        <v>189</v>
      </c>
      <c r="G75" s="2" t="str">
        <f aca="false">IF(ISNUMBER(MATCH(A75&amp;"|"&amp;D75,LR_Key,0)),A75&amp;"|"&amp;D75,A75&amp;"|All")</f>
        <v>FIXX-PLM-006|All</v>
      </c>
      <c r="H75" s="3" t="n">
        <f aca="false">IFERROR(INDEX(LR_TypLabor,MATCH(G75,LR_Key,0)),"")</f>
        <v>1150</v>
      </c>
      <c r="I75" s="12" t="n">
        <f aca="false">INDEX(Urg_Mult,MATCH(E75,Urg_Levels,0))</f>
        <v>1.15</v>
      </c>
      <c r="J75" s="3" t="n">
        <f aca="false">IF(ISNUMBER(H75),MAX(H75,IFERROR(INDEX(MW_Floor,MATCH(G75,MW_Key,0)),0))*I75,"")</f>
        <v>1322.5</v>
      </c>
      <c r="K75" s="3" t="n">
        <f aca="false">IF(ISNUMBER(J75),F75+J75,"")</f>
        <v>1511.5</v>
      </c>
      <c r="L75" s="3" t="n">
        <f aca="false">IF(ISNUMBER(H75),MAX(H75,IFERROR(INDEX(MW_Floor,MATCH(G75,MW_Key,0)),0))*I75,"")</f>
        <v>1322.5</v>
      </c>
      <c r="M75" s="2" t="str">
        <f aca="false">IFERROR(INDEX(LR_Flag,MATCH(G75,LR_Key,0)),"")</f>
        <v>none</v>
      </c>
      <c r="N75" s="2" t="str">
        <f aca="false">IFERROR(INDEX(MW_Check,MATCH(G75,MW_Key,0)),"")</f>
        <v>OK</v>
      </c>
      <c r="O75" s="0" t="str">
        <f aca="false">IF(NOT(ISNUMBER(H75)),"LABOR QUOTE NEEDED – total incomplete",IF(N75="BELOW FLOOR","CHECK: typical labor below wage floor – payout and customer labor raised to floor",IF(M75&lt;&gt;"none","Labor rate flagged: "&amp;M75,"OK")))</f>
        <v>OK</v>
      </c>
      <c r="P75" s="0" t="s">
        <v>1101</v>
      </c>
      <c r="Q75" s="8" t="s">
        <v>1102</v>
      </c>
      <c r="R75" s="2" t="str">
        <f aca="false">IF(OR(M75="regulated",COUNTIFS(Tasks_TaskID,A75,Tasks_Tier,D75,Tasks_Review,"base")&gt;0),"PENDING REVIEW – priced, not bookable until human approval",IF(COUNTIFS(Tasks_TaskID,A75,Tasks_Tier,D75,Tasks_Review,"as-needed")&gt;0,"Bookable (re-evaluate if regulated as-needed line selected)","Bookable"))</f>
        <v>Bookable</v>
      </c>
    </row>
    <row r="76" customFormat="false" ht="15" hidden="false" customHeight="false" outlineLevel="0" collapsed="false">
      <c r="A76" s="2" t="s">
        <v>1097</v>
      </c>
      <c r="B76" s="2" t="s">
        <v>107</v>
      </c>
      <c r="C76" s="2" t="s">
        <v>1098</v>
      </c>
      <c r="D76" s="2" t="s">
        <v>1049</v>
      </c>
      <c r="E76" s="2" t="s">
        <v>1897</v>
      </c>
      <c r="F76" s="3" t="n">
        <f aca="false">INDEX(Sum_Base,MATCH(A76,Sum_BaseTasks,0),MATCH(D76,Sum_BaseTiers,0))</f>
        <v>189</v>
      </c>
      <c r="G76" s="2" t="str">
        <f aca="false">IF(ISNUMBER(MATCH(A76&amp;"|"&amp;D76,LR_Key,0)),A76&amp;"|"&amp;D76,A76&amp;"|All")</f>
        <v>FIXX-PLM-006|All</v>
      </c>
      <c r="H76" s="3" t="n">
        <f aca="false">IFERROR(INDEX(LR_TypLabor,MATCH(G76,LR_Key,0)),"")</f>
        <v>1150</v>
      </c>
      <c r="I76" s="12" t="n">
        <f aca="false">INDEX(Urg_Mult,MATCH(E76,Urg_Levels,0))</f>
        <v>1.3</v>
      </c>
      <c r="J76" s="3" t="n">
        <f aca="false">IF(ISNUMBER(H76),MAX(H76,IFERROR(INDEX(MW_Floor,MATCH(G76,MW_Key,0)),0))*I76,"")</f>
        <v>1495</v>
      </c>
      <c r="K76" s="3" t="n">
        <f aca="false">IF(ISNUMBER(J76),F76+J76,"")</f>
        <v>1684</v>
      </c>
      <c r="L76" s="3" t="n">
        <f aca="false">IF(ISNUMBER(H76),MAX(H76,IFERROR(INDEX(MW_Floor,MATCH(G76,MW_Key,0)),0))*I76,"")</f>
        <v>1495</v>
      </c>
      <c r="M76" s="2" t="str">
        <f aca="false">IFERROR(INDEX(LR_Flag,MATCH(G76,LR_Key,0)),"")</f>
        <v>none</v>
      </c>
      <c r="N76" s="2" t="str">
        <f aca="false">IFERROR(INDEX(MW_Check,MATCH(G76,MW_Key,0)),"")</f>
        <v>OK</v>
      </c>
      <c r="O76" s="0" t="str">
        <f aca="false">IF(NOT(ISNUMBER(H76)),"LABOR QUOTE NEEDED – total incomplete",IF(N76="BELOW FLOOR","CHECK: typical labor below wage floor – payout and customer labor raised to floor",IF(M76&lt;&gt;"none","Labor rate flagged: "&amp;M76,"OK")))</f>
        <v>OK</v>
      </c>
      <c r="P76" s="0" t="s">
        <v>1101</v>
      </c>
      <c r="Q76" s="8" t="s">
        <v>1102</v>
      </c>
      <c r="R76" s="2" t="str">
        <f aca="false">IF(OR(M76="regulated",COUNTIFS(Tasks_TaskID,A76,Tasks_Tier,D76,Tasks_Review,"base")&gt;0),"PENDING REVIEW – priced, not bookable until human approval",IF(COUNTIFS(Tasks_TaskID,A76,Tasks_Tier,D76,Tasks_Review,"as-needed")&gt;0,"Bookable (re-evaluate if regulated as-needed line selected)","Bookable"))</f>
        <v>Bookable</v>
      </c>
    </row>
    <row r="77" customFormat="false" ht="15" hidden="false" customHeight="false" outlineLevel="0" collapsed="false">
      <c r="A77" s="2" t="s">
        <v>1097</v>
      </c>
      <c r="B77" s="2" t="s">
        <v>107</v>
      </c>
      <c r="C77" s="2" t="s">
        <v>1098</v>
      </c>
      <c r="D77" s="2" t="s">
        <v>1049</v>
      </c>
      <c r="E77" s="2" t="s">
        <v>1898</v>
      </c>
      <c r="F77" s="3" t="n">
        <f aca="false">INDEX(Sum_Base,MATCH(A77,Sum_BaseTasks,0),MATCH(D77,Sum_BaseTiers,0))</f>
        <v>189</v>
      </c>
      <c r="G77" s="2" t="str">
        <f aca="false">IF(ISNUMBER(MATCH(A77&amp;"|"&amp;D77,LR_Key,0)),A77&amp;"|"&amp;D77,A77&amp;"|All")</f>
        <v>FIXX-PLM-006|All</v>
      </c>
      <c r="H77" s="3" t="n">
        <f aca="false">IFERROR(INDEX(LR_TypLabor,MATCH(G77,LR_Key,0)),"")</f>
        <v>1150</v>
      </c>
      <c r="I77" s="12" t="n">
        <f aca="false">INDEX(Urg_Mult,MATCH(E77,Urg_Levels,0))</f>
        <v>1.5</v>
      </c>
      <c r="J77" s="3" t="n">
        <f aca="false">IF(ISNUMBER(H77),MAX(H77,IFERROR(INDEX(MW_Floor,MATCH(G77,MW_Key,0)),0))*I77,"")</f>
        <v>1725</v>
      </c>
      <c r="K77" s="3" t="n">
        <f aca="false">IF(ISNUMBER(J77),F77+J77,"")</f>
        <v>1914</v>
      </c>
      <c r="L77" s="3" t="n">
        <f aca="false">IF(ISNUMBER(H77),MAX(H77,IFERROR(INDEX(MW_Floor,MATCH(G77,MW_Key,0)),0))*I77,"")</f>
        <v>1725</v>
      </c>
      <c r="M77" s="2" t="str">
        <f aca="false">IFERROR(INDEX(LR_Flag,MATCH(G77,LR_Key,0)),"")</f>
        <v>none</v>
      </c>
      <c r="N77" s="2" t="str">
        <f aca="false">IFERROR(INDEX(MW_Check,MATCH(G77,MW_Key,0)),"")</f>
        <v>OK</v>
      </c>
      <c r="O77" s="0" t="str">
        <f aca="false">IF(NOT(ISNUMBER(H77)),"LABOR QUOTE NEEDED – total incomplete",IF(N77="BELOW FLOOR","CHECK: typical labor below wage floor – payout and customer labor raised to floor",IF(M77&lt;&gt;"none","Labor rate flagged: "&amp;M77,"OK")))</f>
        <v>OK</v>
      </c>
      <c r="P77" s="0" t="s">
        <v>1101</v>
      </c>
      <c r="Q77" s="8" t="s">
        <v>1102</v>
      </c>
      <c r="R77" s="2" t="str">
        <f aca="false">IF(OR(M77="regulated",COUNTIFS(Tasks_TaskID,A77,Tasks_Tier,D77,Tasks_Review,"base")&gt;0),"PENDING REVIEW – priced, not bookable until human approval",IF(COUNTIFS(Tasks_TaskID,A77,Tasks_Tier,D77,Tasks_Review,"as-needed")&gt;0,"Bookable (re-evaluate if regulated as-needed line selected)","Bookable"))</f>
        <v>Bookable</v>
      </c>
    </row>
    <row r="78" customFormat="false" ht="15" hidden="false" customHeight="false" outlineLevel="0" collapsed="false">
      <c r="A78" s="2" t="s">
        <v>1097</v>
      </c>
      <c r="B78" s="2" t="s">
        <v>107</v>
      </c>
      <c r="C78" s="2" t="s">
        <v>1098</v>
      </c>
      <c r="D78" s="2" t="s">
        <v>1051</v>
      </c>
      <c r="E78" s="2" t="s">
        <v>1895</v>
      </c>
      <c r="F78" s="3" t="n">
        <f aca="false">INDEX(Sum_Base,MATCH(A78,Sum_BaseTasks,0),MATCH(D78,Sum_BaseTiers,0))</f>
        <v>189</v>
      </c>
      <c r="G78" s="2" t="str">
        <f aca="false">IF(ISNUMBER(MATCH(A78&amp;"|"&amp;D78,LR_Key,0)),A78&amp;"|"&amp;D78,A78&amp;"|All")</f>
        <v>FIXX-PLM-006|All</v>
      </c>
      <c r="H78" s="3" t="n">
        <f aca="false">IFERROR(INDEX(LR_TypLabor,MATCH(G78,LR_Key,0)),"")</f>
        <v>1150</v>
      </c>
      <c r="I78" s="12" t="n">
        <f aca="false">INDEX(Urg_Mult,MATCH(E78,Urg_Levels,0))</f>
        <v>1</v>
      </c>
      <c r="J78" s="3" t="n">
        <f aca="false">IF(ISNUMBER(H78),MAX(H78,IFERROR(INDEX(MW_Floor,MATCH(G78,MW_Key,0)),0))*I78,"")</f>
        <v>1150</v>
      </c>
      <c r="K78" s="3" t="n">
        <f aca="false">IF(ISNUMBER(J78),F78+J78,"")</f>
        <v>1339</v>
      </c>
      <c r="L78" s="3" t="n">
        <f aca="false">IF(ISNUMBER(H78),MAX(H78,IFERROR(INDEX(MW_Floor,MATCH(G78,MW_Key,0)),0))*I78,"")</f>
        <v>1150</v>
      </c>
      <c r="M78" s="2" t="str">
        <f aca="false">IFERROR(INDEX(LR_Flag,MATCH(G78,LR_Key,0)),"")</f>
        <v>none</v>
      </c>
      <c r="N78" s="2" t="str">
        <f aca="false">IFERROR(INDEX(MW_Check,MATCH(G78,MW_Key,0)),"")</f>
        <v>OK</v>
      </c>
      <c r="O78" s="0" t="str">
        <f aca="false">IF(NOT(ISNUMBER(H78)),"LABOR QUOTE NEEDED – total incomplete",IF(N78="BELOW FLOOR","CHECK: typical labor below wage floor – payout and customer labor raised to floor",IF(M78&lt;&gt;"none","Labor rate flagged: "&amp;M78,"OK")))</f>
        <v>OK</v>
      </c>
      <c r="P78" s="0" t="s">
        <v>1101</v>
      </c>
      <c r="Q78" s="8" t="s">
        <v>1102</v>
      </c>
      <c r="R78" s="2" t="str">
        <f aca="false">IF(OR(M78="regulated",COUNTIFS(Tasks_TaskID,A78,Tasks_Tier,D78,Tasks_Review,"base")&gt;0),"PENDING REVIEW – priced, not bookable until human approval",IF(COUNTIFS(Tasks_TaskID,A78,Tasks_Tier,D78,Tasks_Review,"as-needed")&gt;0,"Bookable (re-evaluate if regulated as-needed line selected)","Bookable"))</f>
        <v>Bookable</v>
      </c>
    </row>
    <row r="79" customFormat="false" ht="15" hidden="false" customHeight="false" outlineLevel="0" collapsed="false">
      <c r="A79" s="2" t="s">
        <v>1097</v>
      </c>
      <c r="B79" s="2" t="s">
        <v>107</v>
      </c>
      <c r="C79" s="2" t="s">
        <v>1098</v>
      </c>
      <c r="D79" s="2" t="s">
        <v>1051</v>
      </c>
      <c r="E79" s="2" t="s">
        <v>1896</v>
      </c>
      <c r="F79" s="3" t="n">
        <f aca="false">INDEX(Sum_Base,MATCH(A79,Sum_BaseTasks,0),MATCH(D79,Sum_BaseTiers,0))</f>
        <v>189</v>
      </c>
      <c r="G79" s="2" t="str">
        <f aca="false">IF(ISNUMBER(MATCH(A79&amp;"|"&amp;D79,LR_Key,0)),A79&amp;"|"&amp;D79,A79&amp;"|All")</f>
        <v>FIXX-PLM-006|All</v>
      </c>
      <c r="H79" s="3" t="n">
        <f aca="false">IFERROR(INDEX(LR_TypLabor,MATCH(G79,LR_Key,0)),"")</f>
        <v>1150</v>
      </c>
      <c r="I79" s="12" t="n">
        <f aca="false">INDEX(Urg_Mult,MATCH(E79,Urg_Levels,0))</f>
        <v>1.15</v>
      </c>
      <c r="J79" s="3" t="n">
        <f aca="false">IF(ISNUMBER(H79),MAX(H79,IFERROR(INDEX(MW_Floor,MATCH(G79,MW_Key,0)),0))*I79,"")</f>
        <v>1322.5</v>
      </c>
      <c r="K79" s="3" t="n">
        <f aca="false">IF(ISNUMBER(J79),F79+J79,"")</f>
        <v>1511.5</v>
      </c>
      <c r="L79" s="3" t="n">
        <f aca="false">IF(ISNUMBER(H79),MAX(H79,IFERROR(INDEX(MW_Floor,MATCH(G79,MW_Key,0)),0))*I79,"")</f>
        <v>1322.5</v>
      </c>
      <c r="M79" s="2" t="str">
        <f aca="false">IFERROR(INDEX(LR_Flag,MATCH(G79,LR_Key,0)),"")</f>
        <v>none</v>
      </c>
      <c r="N79" s="2" t="str">
        <f aca="false">IFERROR(INDEX(MW_Check,MATCH(G79,MW_Key,0)),"")</f>
        <v>OK</v>
      </c>
      <c r="O79" s="0" t="str">
        <f aca="false">IF(NOT(ISNUMBER(H79)),"LABOR QUOTE NEEDED – total incomplete",IF(N79="BELOW FLOOR","CHECK: typical labor below wage floor – payout and customer labor raised to floor",IF(M79&lt;&gt;"none","Labor rate flagged: "&amp;M79,"OK")))</f>
        <v>OK</v>
      </c>
      <c r="P79" s="0" t="s">
        <v>1101</v>
      </c>
      <c r="Q79" s="8" t="s">
        <v>1102</v>
      </c>
      <c r="R79" s="2" t="str">
        <f aca="false">IF(OR(M79="regulated",COUNTIFS(Tasks_TaskID,A79,Tasks_Tier,D79,Tasks_Review,"base")&gt;0),"PENDING REVIEW – priced, not bookable until human approval",IF(COUNTIFS(Tasks_TaskID,A79,Tasks_Tier,D79,Tasks_Review,"as-needed")&gt;0,"Bookable (re-evaluate if regulated as-needed line selected)","Bookable"))</f>
        <v>Bookable</v>
      </c>
    </row>
    <row r="80" customFormat="false" ht="15" hidden="false" customHeight="false" outlineLevel="0" collapsed="false">
      <c r="A80" s="2" t="s">
        <v>1097</v>
      </c>
      <c r="B80" s="2" t="s">
        <v>107</v>
      </c>
      <c r="C80" s="2" t="s">
        <v>1098</v>
      </c>
      <c r="D80" s="2" t="s">
        <v>1051</v>
      </c>
      <c r="E80" s="2" t="s">
        <v>1897</v>
      </c>
      <c r="F80" s="3" t="n">
        <f aca="false">INDEX(Sum_Base,MATCH(A80,Sum_BaseTasks,0),MATCH(D80,Sum_BaseTiers,0))</f>
        <v>189</v>
      </c>
      <c r="G80" s="2" t="str">
        <f aca="false">IF(ISNUMBER(MATCH(A80&amp;"|"&amp;D80,LR_Key,0)),A80&amp;"|"&amp;D80,A80&amp;"|All")</f>
        <v>FIXX-PLM-006|All</v>
      </c>
      <c r="H80" s="3" t="n">
        <f aca="false">IFERROR(INDEX(LR_TypLabor,MATCH(G80,LR_Key,0)),"")</f>
        <v>1150</v>
      </c>
      <c r="I80" s="12" t="n">
        <f aca="false">INDEX(Urg_Mult,MATCH(E80,Urg_Levels,0))</f>
        <v>1.3</v>
      </c>
      <c r="J80" s="3" t="n">
        <f aca="false">IF(ISNUMBER(H80),MAX(H80,IFERROR(INDEX(MW_Floor,MATCH(G80,MW_Key,0)),0))*I80,"")</f>
        <v>1495</v>
      </c>
      <c r="K80" s="3" t="n">
        <f aca="false">IF(ISNUMBER(J80),F80+J80,"")</f>
        <v>1684</v>
      </c>
      <c r="L80" s="3" t="n">
        <f aca="false">IF(ISNUMBER(H80),MAX(H80,IFERROR(INDEX(MW_Floor,MATCH(G80,MW_Key,0)),0))*I80,"")</f>
        <v>1495</v>
      </c>
      <c r="M80" s="2" t="str">
        <f aca="false">IFERROR(INDEX(LR_Flag,MATCH(G80,LR_Key,0)),"")</f>
        <v>none</v>
      </c>
      <c r="N80" s="2" t="str">
        <f aca="false">IFERROR(INDEX(MW_Check,MATCH(G80,MW_Key,0)),"")</f>
        <v>OK</v>
      </c>
      <c r="O80" s="0" t="str">
        <f aca="false">IF(NOT(ISNUMBER(H80)),"LABOR QUOTE NEEDED – total incomplete",IF(N80="BELOW FLOOR","CHECK: typical labor below wage floor – payout and customer labor raised to floor",IF(M80&lt;&gt;"none","Labor rate flagged: "&amp;M80,"OK")))</f>
        <v>OK</v>
      </c>
      <c r="P80" s="0" t="s">
        <v>1101</v>
      </c>
      <c r="Q80" s="8" t="s">
        <v>1102</v>
      </c>
      <c r="R80" s="2" t="str">
        <f aca="false">IF(OR(M80="regulated",COUNTIFS(Tasks_TaskID,A80,Tasks_Tier,D80,Tasks_Review,"base")&gt;0),"PENDING REVIEW – priced, not bookable until human approval",IF(COUNTIFS(Tasks_TaskID,A80,Tasks_Tier,D80,Tasks_Review,"as-needed")&gt;0,"Bookable (re-evaluate if regulated as-needed line selected)","Bookable"))</f>
        <v>Bookable</v>
      </c>
    </row>
    <row r="81" customFormat="false" ht="15" hidden="false" customHeight="false" outlineLevel="0" collapsed="false">
      <c r="A81" s="2" t="s">
        <v>1097</v>
      </c>
      <c r="B81" s="2" t="s">
        <v>107</v>
      </c>
      <c r="C81" s="2" t="s">
        <v>1098</v>
      </c>
      <c r="D81" s="2" t="s">
        <v>1051</v>
      </c>
      <c r="E81" s="2" t="s">
        <v>1898</v>
      </c>
      <c r="F81" s="3" t="n">
        <f aca="false">INDEX(Sum_Base,MATCH(A81,Sum_BaseTasks,0),MATCH(D81,Sum_BaseTiers,0))</f>
        <v>189</v>
      </c>
      <c r="G81" s="2" t="str">
        <f aca="false">IF(ISNUMBER(MATCH(A81&amp;"|"&amp;D81,LR_Key,0)),A81&amp;"|"&amp;D81,A81&amp;"|All")</f>
        <v>FIXX-PLM-006|All</v>
      </c>
      <c r="H81" s="3" t="n">
        <f aca="false">IFERROR(INDEX(LR_TypLabor,MATCH(G81,LR_Key,0)),"")</f>
        <v>1150</v>
      </c>
      <c r="I81" s="12" t="n">
        <f aca="false">INDEX(Urg_Mult,MATCH(E81,Urg_Levels,0))</f>
        <v>1.5</v>
      </c>
      <c r="J81" s="3" t="n">
        <f aca="false">IF(ISNUMBER(H81),MAX(H81,IFERROR(INDEX(MW_Floor,MATCH(G81,MW_Key,0)),0))*I81,"")</f>
        <v>1725</v>
      </c>
      <c r="K81" s="3" t="n">
        <f aca="false">IF(ISNUMBER(J81),F81+J81,"")</f>
        <v>1914</v>
      </c>
      <c r="L81" s="3" t="n">
        <f aca="false">IF(ISNUMBER(H81),MAX(H81,IFERROR(INDEX(MW_Floor,MATCH(G81,MW_Key,0)),0))*I81,"")</f>
        <v>1725</v>
      </c>
      <c r="M81" s="2" t="str">
        <f aca="false">IFERROR(INDEX(LR_Flag,MATCH(G81,LR_Key,0)),"")</f>
        <v>none</v>
      </c>
      <c r="N81" s="2" t="str">
        <f aca="false">IFERROR(INDEX(MW_Check,MATCH(G81,MW_Key,0)),"")</f>
        <v>OK</v>
      </c>
      <c r="O81" s="0" t="str">
        <f aca="false">IF(NOT(ISNUMBER(H81)),"LABOR QUOTE NEEDED – total incomplete",IF(N81="BELOW FLOOR","CHECK: typical labor below wage floor – payout and customer labor raised to floor",IF(M81&lt;&gt;"none","Labor rate flagged: "&amp;M81,"OK")))</f>
        <v>OK</v>
      </c>
      <c r="P81" s="0" t="s">
        <v>1101</v>
      </c>
      <c r="Q81" s="8" t="s">
        <v>1102</v>
      </c>
      <c r="R81" s="2" t="str">
        <f aca="false">IF(OR(M81="regulated",COUNTIFS(Tasks_TaskID,A81,Tasks_Tier,D81,Tasks_Review,"base")&gt;0),"PENDING REVIEW – priced, not bookable until human approval",IF(COUNTIFS(Tasks_TaskID,A81,Tasks_Tier,D81,Tasks_Review,"as-needed")&gt;0,"Bookable (re-evaluate if regulated as-needed line selected)","Bookable"))</f>
        <v>Bookable</v>
      </c>
    </row>
    <row r="82" customFormat="false" ht="17.15" hidden="false" customHeight="false" outlineLevel="0" collapsed="false">
      <c r="A82" s="2" t="s">
        <v>1117</v>
      </c>
      <c r="B82" s="2" t="s">
        <v>107</v>
      </c>
      <c r="C82" s="2" t="s">
        <v>1118</v>
      </c>
      <c r="D82" s="2" t="s">
        <v>1042</v>
      </c>
      <c r="E82" s="2" t="s">
        <v>1895</v>
      </c>
      <c r="F82" s="3" t="n">
        <f aca="false">INDEX(Sum_Base,MATCH(A82,Sum_BaseTasks,0),MATCH(D82,Sum_BaseTiers,0))</f>
        <v>521.1</v>
      </c>
      <c r="G82" s="2" t="str">
        <f aca="false">IF(ISNUMBER(MATCH(A82&amp;"|"&amp;D82,LR_Key,0)),A82&amp;"|"&amp;D82,A82&amp;"|All")</f>
        <v>FIXX-PLM-005|All</v>
      </c>
      <c r="H82" s="3" t="n">
        <f aca="false">IFERROR(INDEX(LR_TypLabor,MATCH(G82,LR_Key,0)),"")</f>
        <v>965</v>
      </c>
      <c r="I82" s="12" t="n">
        <f aca="false">INDEX(Urg_Mult,MATCH(E82,Urg_Levels,0))</f>
        <v>1</v>
      </c>
      <c r="J82" s="3" t="n">
        <f aca="false">IF(ISNUMBER(H82),MAX(H82,IFERROR(INDEX(MW_Floor,MATCH(G82,MW_Key,0)),0))*I82,"")</f>
        <v>965</v>
      </c>
      <c r="K82" s="3" t="n">
        <f aca="false">IF(ISNUMBER(J82),F82+J82,"")</f>
        <v>1486.1</v>
      </c>
      <c r="L82" s="3" t="n">
        <f aca="false">IF(ISNUMBER(H82),MAX(H82,IFERROR(INDEX(MW_Floor,MATCH(G82,MW_Key,0)),0))*I82,"")</f>
        <v>965</v>
      </c>
      <c r="M82" s="2" t="str">
        <f aca="false">IFERROR(INDEX(LR_Flag,MATCH(G82,LR_Key,0)),"")</f>
        <v>none</v>
      </c>
      <c r="N82" s="2" t="str">
        <f aca="false">IFERROR(INDEX(MW_Check,MATCH(G82,MW_Key,0)),"")</f>
        <v>OK</v>
      </c>
      <c r="O82" s="0" t="str">
        <f aca="false">IF(NOT(ISNUMBER(H82)),"LABOR QUOTE NEEDED – total incomplete",IF(N82="BELOW FLOOR","CHECK: typical labor below wage floor – payout and customer labor raised to floor",IF(M82&lt;&gt;"none","Labor rate flagged: "&amp;M82,"OK")))</f>
        <v>OK</v>
      </c>
      <c r="P82" s="0" t="s">
        <v>1120</v>
      </c>
      <c r="Q82" s="8" t="s">
        <v>1121</v>
      </c>
      <c r="R82" s="2" t="str">
        <f aca="false">IF(OR(M82="regulated",COUNTIFS(Tasks_TaskID,A82,Tasks_Tier,D82,Tasks_Review,"base")&gt;0),"PENDING REVIEW – priced, not bookable until human approval",IF(COUNTIFS(Tasks_TaskID,A82,Tasks_Tier,D82,Tasks_Review,"as-needed")&gt;0,"Bookable (re-evaluate if regulated as-needed line selected)","Bookable"))</f>
        <v>Bookable</v>
      </c>
    </row>
    <row r="83" customFormat="false" ht="17.15" hidden="false" customHeight="false" outlineLevel="0" collapsed="false">
      <c r="A83" s="2" t="s">
        <v>1117</v>
      </c>
      <c r="B83" s="2" t="s">
        <v>107</v>
      </c>
      <c r="C83" s="2" t="s">
        <v>1118</v>
      </c>
      <c r="D83" s="2" t="s">
        <v>1042</v>
      </c>
      <c r="E83" s="2" t="s">
        <v>1896</v>
      </c>
      <c r="F83" s="3" t="n">
        <f aca="false">INDEX(Sum_Base,MATCH(A83,Sum_BaseTasks,0),MATCH(D83,Sum_BaseTiers,0))</f>
        <v>521.1</v>
      </c>
      <c r="G83" s="2" t="str">
        <f aca="false">IF(ISNUMBER(MATCH(A83&amp;"|"&amp;D83,LR_Key,0)),A83&amp;"|"&amp;D83,A83&amp;"|All")</f>
        <v>FIXX-PLM-005|All</v>
      </c>
      <c r="H83" s="3" t="n">
        <f aca="false">IFERROR(INDEX(LR_TypLabor,MATCH(G83,LR_Key,0)),"")</f>
        <v>965</v>
      </c>
      <c r="I83" s="12" t="n">
        <f aca="false">INDEX(Urg_Mult,MATCH(E83,Urg_Levels,0))</f>
        <v>1.15</v>
      </c>
      <c r="J83" s="3" t="n">
        <f aca="false">IF(ISNUMBER(H83),MAX(H83,IFERROR(INDEX(MW_Floor,MATCH(G83,MW_Key,0)),0))*I83,"")</f>
        <v>1109.75</v>
      </c>
      <c r="K83" s="3" t="n">
        <f aca="false">IF(ISNUMBER(J83),F83+J83,"")</f>
        <v>1630.85</v>
      </c>
      <c r="L83" s="3" t="n">
        <f aca="false">IF(ISNUMBER(H83),MAX(H83,IFERROR(INDEX(MW_Floor,MATCH(G83,MW_Key,0)),0))*I83,"")</f>
        <v>1109.75</v>
      </c>
      <c r="M83" s="2" t="str">
        <f aca="false">IFERROR(INDEX(LR_Flag,MATCH(G83,LR_Key,0)),"")</f>
        <v>none</v>
      </c>
      <c r="N83" s="2" t="str">
        <f aca="false">IFERROR(INDEX(MW_Check,MATCH(G83,MW_Key,0)),"")</f>
        <v>OK</v>
      </c>
      <c r="O83" s="0" t="str">
        <f aca="false">IF(NOT(ISNUMBER(H83)),"LABOR QUOTE NEEDED – total incomplete",IF(N83="BELOW FLOOR","CHECK: typical labor below wage floor – payout and customer labor raised to floor",IF(M83&lt;&gt;"none","Labor rate flagged: "&amp;M83,"OK")))</f>
        <v>OK</v>
      </c>
      <c r="P83" s="0" t="s">
        <v>1120</v>
      </c>
      <c r="Q83" s="8" t="s">
        <v>1121</v>
      </c>
      <c r="R83" s="2" t="str">
        <f aca="false">IF(OR(M83="regulated",COUNTIFS(Tasks_TaskID,A83,Tasks_Tier,D83,Tasks_Review,"base")&gt;0),"PENDING REVIEW – priced, not bookable until human approval",IF(COUNTIFS(Tasks_TaskID,A83,Tasks_Tier,D83,Tasks_Review,"as-needed")&gt;0,"Bookable (re-evaluate if regulated as-needed line selected)","Bookable"))</f>
        <v>Bookable</v>
      </c>
    </row>
    <row r="84" customFormat="false" ht="17.15" hidden="false" customHeight="false" outlineLevel="0" collapsed="false">
      <c r="A84" s="2" t="s">
        <v>1117</v>
      </c>
      <c r="B84" s="2" t="s">
        <v>107</v>
      </c>
      <c r="C84" s="2" t="s">
        <v>1118</v>
      </c>
      <c r="D84" s="2" t="s">
        <v>1042</v>
      </c>
      <c r="E84" s="2" t="s">
        <v>1897</v>
      </c>
      <c r="F84" s="3" t="n">
        <f aca="false">INDEX(Sum_Base,MATCH(A84,Sum_BaseTasks,0),MATCH(D84,Sum_BaseTiers,0))</f>
        <v>521.1</v>
      </c>
      <c r="G84" s="2" t="str">
        <f aca="false">IF(ISNUMBER(MATCH(A84&amp;"|"&amp;D84,LR_Key,0)),A84&amp;"|"&amp;D84,A84&amp;"|All")</f>
        <v>FIXX-PLM-005|All</v>
      </c>
      <c r="H84" s="3" t="n">
        <f aca="false">IFERROR(INDEX(LR_TypLabor,MATCH(G84,LR_Key,0)),"")</f>
        <v>965</v>
      </c>
      <c r="I84" s="12" t="n">
        <f aca="false">INDEX(Urg_Mult,MATCH(E84,Urg_Levels,0))</f>
        <v>1.3</v>
      </c>
      <c r="J84" s="3" t="n">
        <f aca="false">IF(ISNUMBER(H84),MAX(H84,IFERROR(INDEX(MW_Floor,MATCH(G84,MW_Key,0)),0))*I84,"")</f>
        <v>1254.5</v>
      </c>
      <c r="K84" s="3" t="n">
        <f aca="false">IF(ISNUMBER(J84),F84+J84,"")</f>
        <v>1775.6</v>
      </c>
      <c r="L84" s="3" t="n">
        <f aca="false">IF(ISNUMBER(H84),MAX(H84,IFERROR(INDEX(MW_Floor,MATCH(G84,MW_Key,0)),0))*I84,"")</f>
        <v>1254.5</v>
      </c>
      <c r="M84" s="2" t="str">
        <f aca="false">IFERROR(INDEX(LR_Flag,MATCH(G84,LR_Key,0)),"")</f>
        <v>none</v>
      </c>
      <c r="N84" s="2" t="str">
        <f aca="false">IFERROR(INDEX(MW_Check,MATCH(G84,MW_Key,0)),"")</f>
        <v>OK</v>
      </c>
      <c r="O84" s="0" t="str">
        <f aca="false">IF(NOT(ISNUMBER(H84)),"LABOR QUOTE NEEDED – total incomplete",IF(N84="BELOW FLOOR","CHECK: typical labor below wage floor – payout and customer labor raised to floor",IF(M84&lt;&gt;"none","Labor rate flagged: "&amp;M84,"OK")))</f>
        <v>OK</v>
      </c>
      <c r="P84" s="0" t="s">
        <v>1120</v>
      </c>
      <c r="Q84" s="8" t="s">
        <v>1121</v>
      </c>
      <c r="R84" s="2" t="str">
        <f aca="false">IF(OR(M84="regulated",COUNTIFS(Tasks_TaskID,A84,Tasks_Tier,D84,Tasks_Review,"base")&gt;0),"PENDING REVIEW – priced, not bookable until human approval",IF(COUNTIFS(Tasks_TaskID,A84,Tasks_Tier,D84,Tasks_Review,"as-needed")&gt;0,"Bookable (re-evaluate if regulated as-needed line selected)","Bookable"))</f>
        <v>Bookable</v>
      </c>
    </row>
    <row r="85" customFormat="false" ht="17.15" hidden="false" customHeight="false" outlineLevel="0" collapsed="false">
      <c r="A85" s="2" t="s">
        <v>1117</v>
      </c>
      <c r="B85" s="2" t="s">
        <v>107</v>
      </c>
      <c r="C85" s="2" t="s">
        <v>1118</v>
      </c>
      <c r="D85" s="2" t="s">
        <v>1042</v>
      </c>
      <c r="E85" s="2" t="s">
        <v>1898</v>
      </c>
      <c r="F85" s="3" t="n">
        <f aca="false">INDEX(Sum_Base,MATCH(A85,Sum_BaseTasks,0),MATCH(D85,Sum_BaseTiers,0))</f>
        <v>521.1</v>
      </c>
      <c r="G85" s="2" t="str">
        <f aca="false">IF(ISNUMBER(MATCH(A85&amp;"|"&amp;D85,LR_Key,0)),A85&amp;"|"&amp;D85,A85&amp;"|All")</f>
        <v>FIXX-PLM-005|All</v>
      </c>
      <c r="H85" s="3" t="n">
        <f aca="false">IFERROR(INDEX(LR_TypLabor,MATCH(G85,LR_Key,0)),"")</f>
        <v>965</v>
      </c>
      <c r="I85" s="12" t="n">
        <f aca="false">INDEX(Urg_Mult,MATCH(E85,Urg_Levels,0))</f>
        <v>1.5</v>
      </c>
      <c r="J85" s="3" t="n">
        <f aca="false">IF(ISNUMBER(H85),MAX(H85,IFERROR(INDEX(MW_Floor,MATCH(G85,MW_Key,0)),0))*I85,"")</f>
        <v>1447.5</v>
      </c>
      <c r="K85" s="3" t="n">
        <f aca="false">IF(ISNUMBER(J85),F85+J85,"")</f>
        <v>1968.6</v>
      </c>
      <c r="L85" s="3" t="n">
        <f aca="false">IF(ISNUMBER(H85),MAX(H85,IFERROR(INDEX(MW_Floor,MATCH(G85,MW_Key,0)),0))*I85,"")</f>
        <v>1447.5</v>
      </c>
      <c r="M85" s="2" t="str">
        <f aca="false">IFERROR(INDEX(LR_Flag,MATCH(G85,LR_Key,0)),"")</f>
        <v>none</v>
      </c>
      <c r="N85" s="2" t="str">
        <f aca="false">IFERROR(INDEX(MW_Check,MATCH(G85,MW_Key,0)),"")</f>
        <v>OK</v>
      </c>
      <c r="O85" s="0" t="str">
        <f aca="false">IF(NOT(ISNUMBER(H85)),"LABOR QUOTE NEEDED – total incomplete",IF(N85="BELOW FLOOR","CHECK: typical labor below wage floor – payout and customer labor raised to floor",IF(M85&lt;&gt;"none","Labor rate flagged: "&amp;M85,"OK")))</f>
        <v>OK</v>
      </c>
      <c r="P85" s="0" t="s">
        <v>1120</v>
      </c>
      <c r="Q85" s="8" t="s">
        <v>1121</v>
      </c>
      <c r="R85" s="2" t="str">
        <f aca="false">IF(OR(M85="regulated",COUNTIFS(Tasks_TaskID,A85,Tasks_Tier,D85,Tasks_Review,"base")&gt;0),"PENDING REVIEW – priced, not bookable until human approval",IF(COUNTIFS(Tasks_TaskID,A85,Tasks_Tier,D85,Tasks_Review,"as-needed")&gt;0,"Bookable (re-evaluate if regulated as-needed line selected)","Bookable"))</f>
        <v>Bookable</v>
      </c>
    </row>
    <row r="86" customFormat="false" ht="17.15" hidden="false" customHeight="false" outlineLevel="0" collapsed="false">
      <c r="A86" s="2" t="s">
        <v>1117</v>
      </c>
      <c r="B86" s="2" t="s">
        <v>107</v>
      </c>
      <c r="C86" s="2" t="s">
        <v>1118</v>
      </c>
      <c r="D86" s="2" t="s">
        <v>1049</v>
      </c>
      <c r="E86" s="2" t="s">
        <v>1895</v>
      </c>
      <c r="F86" s="3" t="n">
        <f aca="false">INDEX(Sum_Base,MATCH(A86,Sum_BaseTasks,0),MATCH(D86,Sum_BaseTiers,0))</f>
        <v>640.1</v>
      </c>
      <c r="G86" s="2" t="str">
        <f aca="false">IF(ISNUMBER(MATCH(A86&amp;"|"&amp;D86,LR_Key,0)),A86&amp;"|"&amp;D86,A86&amp;"|All")</f>
        <v>FIXX-PLM-005|All</v>
      </c>
      <c r="H86" s="3" t="n">
        <f aca="false">IFERROR(INDEX(LR_TypLabor,MATCH(G86,LR_Key,0)),"")</f>
        <v>965</v>
      </c>
      <c r="I86" s="12" t="n">
        <f aca="false">INDEX(Urg_Mult,MATCH(E86,Urg_Levels,0))</f>
        <v>1</v>
      </c>
      <c r="J86" s="3" t="n">
        <f aca="false">IF(ISNUMBER(H86),MAX(H86,IFERROR(INDEX(MW_Floor,MATCH(G86,MW_Key,0)),0))*I86,"")</f>
        <v>965</v>
      </c>
      <c r="K86" s="3" t="n">
        <f aca="false">IF(ISNUMBER(J86),F86+J86,"")</f>
        <v>1605.1</v>
      </c>
      <c r="L86" s="3" t="n">
        <f aca="false">IF(ISNUMBER(H86),MAX(H86,IFERROR(INDEX(MW_Floor,MATCH(G86,MW_Key,0)),0))*I86,"")</f>
        <v>965</v>
      </c>
      <c r="M86" s="2" t="str">
        <f aca="false">IFERROR(INDEX(LR_Flag,MATCH(G86,LR_Key,0)),"")</f>
        <v>none</v>
      </c>
      <c r="N86" s="2" t="str">
        <f aca="false">IFERROR(INDEX(MW_Check,MATCH(G86,MW_Key,0)),"")</f>
        <v>OK</v>
      </c>
      <c r="O86" s="0" t="str">
        <f aca="false">IF(NOT(ISNUMBER(H86)),"LABOR QUOTE NEEDED – total incomplete",IF(N86="BELOW FLOOR","CHECK: typical labor below wage floor – payout and customer labor raised to floor",IF(M86&lt;&gt;"none","Labor rate flagged: "&amp;M86,"OK")))</f>
        <v>OK</v>
      </c>
      <c r="P86" s="0" t="s">
        <v>1120</v>
      </c>
      <c r="Q86" s="8" t="s">
        <v>1121</v>
      </c>
      <c r="R86" s="2" t="str">
        <f aca="false">IF(OR(M86="regulated",COUNTIFS(Tasks_TaskID,A86,Tasks_Tier,D86,Tasks_Review,"base")&gt;0),"PENDING REVIEW – priced, not bookable until human approval",IF(COUNTIFS(Tasks_TaskID,A86,Tasks_Tier,D86,Tasks_Review,"as-needed")&gt;0,"Bookable (re-evaluate if regulated as-needed line selected)","Bookable"))</f>
        <v>Bookable</v>
      </c>
    </row>
    <row r="87" customFormat="false" ht="17.15" hidden="false" customHeight="false" outlineLevel="0" collapsed="false">
      <c r="A87" s="2" t="s">
        <v>1117</v>
      </c>
      <c r="B87" s="2" t="s">
        <v>107</v>
      </c>
      <c r="C87" s="2" t="s">
        <v>1118</v>
      </c>
      <c r="D87" s="2" t="s">
        <v>1049</v>
      </c>
      <c r="E87" s="2" t="s">
        <v>1896</v>
      </c>
      <c r="F87" s="3" t="n">
        <f aca="false">INDEX(Sum_Base,MATCH(A87,Sum_BaseTasks,0),MATCH(D87,Sum_BaseTiers,0))</f>
        <v>640.1</v>
      </c>
      <c r="G87" s="2" t="str">
        <f aca="false">IF(ISNUMBER(MATCH(A87&amp;"|"&amp;D87,LR_Key,0)),A87&amp;"|"&amp;D87,A87&amp;"|All")</f>
        <v>FIXX-PLM-005|All</v>
      </c>
      <c r="H87" s="3" t="n">
        <f aca="false">IFERROR(INDEX(LR_TypLabor,MATCH(G87,LR_Key,0)),"")</f>
        <v>965</v>
      </c>
      <c r="I87" s="12" t="n">
        <f aca="false">INDEX(Urg_Mult,MATCH(E87,Urg_Levels,0))</f>
        <v>1.15</v>
      </c>
      <c r="J87" s="3" t="n">
        <f aca="false">IF(ISNUMBER(H87),MAX(H87,IFERROR(INDEX(MW_Floor,MATCH(G87,MW_Key,0)),0))*I87,"")</f>
        <v>1109.75</v>
      </c>
      <c r="K87" s="3" t="n">
        <f aca="false">IF(ISNUMBER(J87),F87+J87,"")</f>
        <v>1749.85</v>
      </c>
      <c r="L87" s="3" t="n">
        <f aca="false">IF(ISNUMBER(H87),MAX(H87,IFERROR(INDEX(MW_Floor,MATCH(G87,MW_Key,0)),0))*I87,"")</f>
        <v>1109.75</v>
      </c>
      <c r="M87" s="2" t="str">
        <f aca="false">IFERROR(INDEX(LR_Flag,MATCH(G87,LR_Key,0)),"")</f>
        <v>none</v>
      </c>
      <c r="N87" s="2" t="str">
        <f aca="false">IFERROR(INDEX(MW_Check,MATCH(G87,MW_Key,0)),"")</f>
        <v>OK</v>
      </c>
      <c r="O87" s="0" t="str">
        <f aca="false">IF(NOT(ISNUMBER(H87)),"LABOR QUOTE NEEDED – total incomplete",IF(N87="BELOW FLOOR","CHECK: typical labor below wage floor – payout and customer labor raised to floor",IF(M87&lt;&gt;"none","Labor rate flagged: "&amp;M87,"OK")))</f>
        <v>OK</v>
      </c>
      <c r="P87" s="0" t="s">
        <v>1120</v>
      </c>
      <c r="Q87" s="8" t="s">
        <v>1121</v>
      </c>
      <c r="R87" s="2" t="str">
        <f aca="false">IF(OR(M87="regulated",COUNTIFS(Tasks_TaskID,A87,Tasks_Tier,D87,Tasks_Review,"base")&gt;0),"PENDING REVIEW – priced, not bookable until human approval",IF(COUNTIFS(Tasks_TaskID,A87,Tasks_Tier,D87,Tasks_Review,"as-needed")&gt;0,"Bookable (re-evaluate if regulated as-needed line selected)","Bookable"))</f>
        <v>Bookable</v>
      </c>
    </row>
    <row r="88" customFormat="false" ht="17.15" hidden="false" customHeight="false" outlineLevel="0" collapsed="false">
      <c r="A88" s="2" t="s">
        <v>1117</v>
      </c>
      <c r="B88" s="2" t="s">
        <v>107</v>
      </c>
      <c r="C88" s="2" t="s">
        <v>1118</v>
      </c>
      <c r="D88" s="2" t="s">
        <v>1049</v>
      </c>
      <c r="E88" s="2" t="s">
        <v>1897</v>
      </c>
      <c r="F88" s="3" t="n">
        <f aca="false">INDEX(Sum_Base,MATCH(A88,Sum_BaseTasks,0),MATCH(D88,Sum_BaseTiers,0))</f>
        <v>640.1</v>
      </c>
      <c r="G88" s="2" t="str">
        <f aca="false">IF(ISNUMBER(MATCH(A88&amp;"|"&amp;D88,LR_Key,0)),A88&amp;"|"&amp;D88,A88&amp;"|All")</f>
        <v>FIXX-PLM-005|All</v>
      </c>
      <c r="H88" s="3" t="n">
        <f aca="false">IFERROR(INDEX(LR_TypLabor,MATCH(G88,LR_Key,0)),"")</f>
        <v>965</v>
      </c>
      <c r="I88" s="12" t="n">
        <f aca="false">INDEX(Urg_Mult,MATCH(E88,Urg_Levels,0))</f>
        <v>1.3</v>
      </c>
      <c r="J88" s="3" t="n">
        <f aca="false">IF(ISNUMBER(H88),MAX(H88,IFERROR(INDEX(MW_Floor,MATCH(G88,MW_Key,0)),0))*I88,"")</f>
        <v>1254.5</v>
      </c>
      <c r="K88" s="3" t="n">
        <f aca="false">IF(ISNUMBER(J88),F88+J88,"")</f>
        <v>1894.6</v>
      </c>
      <c r="L88" s="3" t="n">
        <f aca="false">IF(ISNUMBER(H88),MAX(H88,IFERROR(INDEX(MW_Floor,MATCH(G88,MW_Key,0)),0))*I88,"")</f>
        <v>1254.5</v>
      </c>
      <c r="M88" s="2" t="str">
        <f aca="false">IFERROR(INDEX(LR_Flag,MATCH(G88,LR_Key,0)),"")</f>
        <v>none</v>
      </c>
      <c r="N88" s="2" t="str">
        <f aca="false">IFERROR(INDEX(MW_Check,MATCH(G88,MW_Key,0)),"")</f>
        <v>OK</v>
      </c>
      <c r="O88" s="0" t="str">
        <f aca="false">IF(NOT(ISNUMBER(H88)),"LABOR QUOTE NEEDED – total incomplete",IF(N88="BELOW FLOOR","CHECK: typical labor below wage floor – payout and customer labor raised to floor",IF(M88&lt;&gt;"none","Labor rate flagged: "&amp;M88,"OK")))</f>
        <v>OK</v>
      </c>
      <c r="P88" s="0" t="s">
        <v>1120</v>
      </c>
      <c r="Q88" s="8" t="s">
        <v>1121</v>
      </c>
      <c r="R88" s="2" t="str">
        <f aca="false">IF(OR(M88="regulated",COUNTIFS(Tasks_TaskID,A88,Tasks_Tier,D88,Tasks_Review,"base")&gt;0),"PENDING REVIEW – priced, not bookable until human approval",IF(COUNTIFS(Tasks_TaskID,A88,Tasks_Tier,D88,Tasks_Review,"as-needed")&gt;0,"Bookable (re-evaluate if regulated as-needed line selected)","Bookable"))</f>
        <v>Bookable</v>
      </c>
    </row>
    <row r="89" customFormat="false" ht="17.15" hidden="false" customHeight="false" outlineLevel="0" collapsed="false">
      <c r="A89" s="2" t="s">
        <v>1117</v>
      </c>
      <c r="B89" s="2" t="s">
        <v>107</v>
      </c>
      <c r="C89" s="2" t="s">
        <v>1118</v>
      </c>
      <c r="D89" s="2" t="s">
        <v>1049</v>
      </c>
      <c r="E89" s="2" t="s">
        <v>1898</v>
      </c>
      <c r="F89" s="3" t="n">
        <f aca="false">INDEX(Sum_Base,MATCH(A89,Sum_BaseTasks,0),MATCH(D89,Sum_BaseTiers,0))</f>
        <v>640.1</v>
      </c>
      <c r="G89" s="2" t="str">
        <f aca="false">IF(ISNUMBER(MATCH(A89&amp;"|"&amp;D89,LR_Key,0)),A89&amp;"|"&amp;D89,A89&amp;"|All")</f>
        <v>FIXX-PLM-005|All</v>
      </c>
      <c r="H89" s="3" t="n">
        <f aca="false">IFERROR(INDEX(LR_TypLabor,MATCH(G89,LR_Key,0)),"")</f>
        <v>965</v>
      </c>
      <c r="I89" s="12" t="n">
        <f aca="false">INDEX(Urg_Mult,MATCH(E89,Urg_Levels,0))</f>
        <v>1.5</v>
      </c>
      <c r="J89" s="3" t="n">
        <f aca="false">IF(ISNUMBER(H89),MAX(H89,IFERROR(INDEX(MW_Floor,MATCH(G89,MW_Key,0)),0))*I89,"")</f>
        <v>1447.5</v>
      </c>
      <c r="K89" s="3" t="n">
        <f aca="false">IF(ISNUMBER(J89),F89+J89,"")</f>
        <v>2087.6</v>
      </c>
      <c r="L89" s="3" t="n">
        <f aca="false">IF(ISNUMBER(H89),MAX(H89,IFERROR(INDEX(MW_Floor,MATCH(G89,MW_Key,0)),0))*I89,"")</f>
        <v>1447.5</v>
      </c>
      <c r="M89" s="2" t="str">
        <f aca="false">IFERROR(INDEX(LR_Flag,MATCH(G89,LR_Key,0)),"")</f>
        <v>none</v>
      </c>
      <c r="N89" s="2" t="str">
        <f aca="false">IFERROR(INDEX(MW_Check,MATCH(G89,MW_Key,0)),"")</f>
        <v>OK</v>
      </c>
      <c r="O89" s="0" t="str">
        <f aca="false">IF(NOT(ISNUMBER(H89)),"LABOR QUOTE NEEDED – total incomplete",IF(N89="BELOW FLOOR","CHECK: typical labor below wage floor – payout and customer labor raised to floor",IF(M89&lt;&gt;"none","Labor rate flagged: "&amp;M89,"OK")))</f>
        <v>OK</v>
      </c>
      <c r="P89" s="0" t="s">
        <v>1120</v>
      </c>
      <c r="Q89" s="8" t="s">
        <v>1121</v>
      </c>
      <c r="R89" s="2" t="str">
        <f aca="false">IF(OR(M89="regulated",COUNTIFS(Tasks_TaskID,A89,Tasks_Tier,D89,Tasks_Review,"base")&gt;0),"PENDING REVIEW – priced, not bookable until human approval",IF(COUNTIFS(Tasks_TaskID,A89,Tasks_Tier,D89,Tasks_Review,"as-needed")&gt;0,"Bookable (re-evaluate if regulated as-needed line selected)","Bookable"))</f>
        <v>Bookable</v>
      </c>
    </row>
    <row r="90" customFormat="false" ht="17.15" hidden="false" customHeight="false" outlineLevel="0" collapsed="false">
      <c r="A90" s="2" t="s">
        <v>1117</v>
      </c>
      <c r="B90" s="2" t="s">
        <v>107</v>
      </c>
      <c r="C90" s="2" t="s">
        <v>1118</v>
      </c>
      <c r="D90" s="2" t="s">
        <v>1051</v>
      </c>
      <c r="E90" s="2" t="s">
        <v>1895</v>
      </c>
      <c r="F90" s="3" t="n">
        <f aca="false">INDEX(Sum_Base,MATCH(A90,Sum_BaseTasks,0),MATCH(D90,Sum_BaseTiers,0))</f>
        <v>552.1</v>
      </c>
      <c r="G90" s="2" t="str">
        <f aca="false">IF(ISNUMBER(MATCH(A90&amp;"|"&amp;D90,LR_Key,0)),A90&amp;"|"&amp;D90,A90&amp;"|All")</f>
        <v>FIXX-PLM-005|All</v>
      </c>
      <c r="H90" s="3" t="n">
        <f aca="false">IFERROR(INDEX(LR_TypLabor,MATCH(G90,LR_Key,0)),"")</f>
        <v>965</v>
      </c>
      <c r="I90" s="12" t="n">
        <f aca="false">INDEX(Urg_Mult,MATCH(E90,Urg_Levels,0))</f>
        <v>1</v>
      </c>
      <c r="J90" s="3" t="n">
        <f aca="false">IF(ISNUMBER(H90),MAX(H90,IFERROR(INDEX(MW_Floor,MATCH(G90,MW_Key,0)),0))*I90,"")</f>
        <v>965</v>
      </c>
      <c r="K90" s="3" t="n">
        <f aca="false">IF(ISNUMBER(J90),F90+J90,"")</f>
        <v>1517.1</v>
      </c>
      <c r="L90" s="3" t="n">
        <f aca="false">IF(ISNUMBER(H90),MAX(H90,IFERROR(INDEX(MW_Floor,MATCH(G90,MW_Key,0)),0))*I90,"")</f>
        <v>965</v>
      </c>
      <c r="M90" s="2" t="str">
        <f aca="false">IFERROR(INDEX(LR_Flag,MATCH(G90,LR_Key,0)),"")</f>
        <v>none</v>
      </c>
      <c r="N90" s="2" t="str">
        <f aca="false">IFERROR(INDEX(MW_Check,MATCH(G90,MW_Key,0)),"")</f>
        <v>OK</v>
      </c>
      <c r="O90" s="0" t="str">
        <f aca="false">IF(NOT(ISNUMBER(H90)),"LABOR QUOTE NEEDED – total incomplete",IF(N90="BELOW FLOOR","CHECK: typical labor below wage floor – payout and customer labor raised to floor",IF(M90&lt;&gt;"none","Labor rate flagged: "&amp;M90,"OK")))</f>
        <v>OK</v>
      </c>
      <c r="P90" s="0" t="s">
        <v>1120</v>
      </c>
      <c r="Q90" s="8" t="s">
        <v>1121</v>
      </c>
      <c r="R90" s="2" t="str">
        <f aca="false">IF(OR(M90="regulated",COUNTIFS(Tasks_TaskID,A90,Tasks_Tier,D90,Tasks_Review,"base")&gt;0),"PENDING REVIEW – priced, not bookable until human approval",IF(COUNTIFS(Tasks_TaskID,A90,Tasks_Tier,D90,Tasks_Review,"as-needed")&gt;0,"Bookable (re-evaluate if regulated as-needed line selected)","Bookable"))</f>
        <v>Bookable</v>
      </c>
    </row>
    <row r="91" customFormat="false" ht="17.15" hidden="false" customHeight="false" outlineLevel="0" collapsed="false">
      <c r="A91" s="2" t="s">
        <v>1117</v>
      </c>
      <c r="B91" s="2" t="s">
        <v>107</v>
      </c>
      <c r="C91" s="2" t="s">
        <v>1118</v>
      </c>
      <c r="D91" s="2" t="s">
        <v>1051</v>
      </c>
      <c r="E91" s="2" t="s">
        <v>1896</v>
      </c>
      <c r="F91" s="3" t="n">
        <f aca="false">INDEX(Sum_Base,MATCH(A91,Sum_BaseTasks,0),MATCH(D91,Sum_BaseTiers,0))</f>
        <v>552.1</v>
      </c>
      <c r="G91" s="2" t="str">
        <f aca="false">IF(ISNUMBER(MATCH(A91&amp;"|"&amp;D91,LR_Key,0)),A91&amp;"|"&amp;D91,A91&amp;"|All")</f>
        <v>FIXX-PLM-005|All</v>
      </c>
      <c r="H91" s="3" t="n">
        <f aca="false">IFERROR(INDEX(LR_TypLabor,MATCH(G91,LR_Key,0)),"")</f>
        <v>965</v>
      </c>
      <c r="I91" s="12" t="n">
        <f aca="false">INDEX(Urg_Mult,MATCH(E91,Urg_Levels,0))</f>
        <v>1.15</v>
      </c>
      <c r="J91" s="3" t="n">
        <f aca="false">IF(ISNUMBER(H91),MAX(H91,IFERROR(INDEX(MW_Floor,MATCH(G91,MW_Key,0)),0))*I91,"")</f>
        <v>1109.75</v>
      </c>
      <c r="K91" s="3" t="n">
        <f aca="false">IF(ISNUMBER(J91),F91+J91,"")</f>
        <v>1661.85</v>
      </c>
      <c r="L91" s="3" t="n">
        <f aca="false">IF(ISNUMBER(H91),MAX(H91,IFERROR(INDEX(MW_Floor,MATCH(G91,MW_Key,0)),0))*I91,"")</f>
        <v>1109.75</v>
      </c>
      <c r="M91" s="2" t="str">
        <f aca="false">IFERROR(INDEX(LR_Flag,MATCH(G91,LR_Key,0)),"")</f>
        <v>none</v>
      </c>
      <c r="N91" s="2" t="str">
        <f aca="false">IFERROR(INDEX(MW_Check,MATCH(G91,MW_Key,0)),"")</f>
        <v>OK</v>
      </c>
      <c r="O91" s="0" t="str">
        <f aca="false">IF(NOT(ISNUMBER(H91)),"LABOR QUOTE NEEDED – total incomplete",IF(N91="BELOW FLOOR","CHECK: typical labor below wage floor – payout and customer labor raised to floor",IF(M91&lt;&gt;"none","Labor rate flagged: "&amp;M91,"OK")))</f>
        <v>OK</v>
      </c>
      <c r="P91" s="0" t="s">
        <v>1120</v>
      </c>
      <c r="Q91" s="8" t="s">
        <v>1121</v>
      </c>
      <c r="R91" s="2" t="str">
        <f aca="false">IF(OR(M91="regulated",COUNTIFS(Tasks_TaskID,A91,Tasks_Tier,D91,Tasks_Review,"base")&gt;0),"PENDING REVIEW – priced, not bookable until human approval",IF(COUNTIFS(Tasks_TaskID,A91,Tasks_Tier,D91,Tasks_Review,"as-needed")&gt;0,"Bookable (re-evaluate if regulated as-needed line selected)","Bookable"))</f>
        <v>Bookable</v>
      </c>
    </row>
    <row r="92" customFormat="false" ht="17.15" hidden="false" customHeight="false" outlineLevel="0" collapsed="false">
      <c r="A92" s="2" t="s">
        <v>1117</v>
      </c>
      <c r="B92" s="2" t="s">
        <v>107</v>
      </c>
      <c r="C92" s="2" t="s">
        <v>1118</v>
      </c>
      <c r="D92" s="2" t="s">
        <v>1051</v>
      </c>
      <c r="E92" s="2" t="s">
        <v>1897</v>
      </c>
      <c r="F92" s="3" t="n">
        <f aca="false">INDEX(Sum_Base,MATCH(A92,Sum_BaseTasks,0),MATCH(D92,Sum_BaseTiers,0))</f>
        <v>552.1</v>
      </c>
      <c r="G92" s="2" t="str">
        <f aca="false">IF(ISNUMBER(MATCH(A92&amp;"|"&amp;D92,LR_Key,0)),A92&amp;"|"&amp;D92,A92&amp;"|All")</f>
        <v>FIXX-PLM-005|All</v>
      </c>
      <c r="H92" s="3" t="n">
        <f aca="false">IFERROR(INDEX(LR_TypLabor,MATCH(G92,LR_Key,0)),"")</f>
        <v>965</v>
      </c>
      <c r="I92" s="12" t="n">
        <f aca="false">INDEX(Urg_Mult,MATCH(E92,Urg_Levels,0))</f>
        <v>1.3</v>
      </c>
      <c r="J92" s="3" t="n">
        <f aca="false">IF(ISNUMBER(H92),MAX(H92,IFERROR(INDEX(MW_Floor,MATCH(G92,MW_Key,0)),0))*I92,"")</f>
        <v>1254.5</v>
      </c>
      <c r="K92" s="3" t="n">
        <f aca="false">IF(ISNUMBER(J92),F92+J92,"")</f>
        <v>1806.6</v>
      </c>
      <c r="L92" s="3" t="n">
        <f aca="false">IF(ISNUMBER(H92),MAX(H92,IFERROR(INDEX(MW_Floor,MATCH(G92,MW_Key,0)),0))*I92,"")</f>
        <v>1254.5</v>
      </c>
      <c r="M92" s="2" t="str">
        <f aca="false">IFERROR(INDEX(LR_Flag,MATCH(G92,LR_Key,0)),"")</f>
        <v>none</v>
      </c>
      <c r="N92" s="2" t="str">
        <f aca="false">IFERROR(INDEX(MW_Check,MATCH(G92,MW_Key,0)),"")</f>
        <v>OK</v>
      </c>
      <c r="O92" s="0" t="str">
        <f aca="false">IF(NOT(ISNUMBER(H92)),"LABOR QUOTE NEEDED – total incomplete",IF(N92="BELOW FLOOR","CHECK: typical labor below wage floor – payout and customer labor raised to floor",IF(M92&lt;&gt;"none","Labor rate flagged: "&amp;M92,"OK")))</f>
        <v>OK</v>
      </c>
      <c r="P92" s="0" t="s">
        <v>1120</v>
      </c>
      <c r="Q92" s="8" t="s">
        <v>1121</v>
      </c>
      <c r="R92" s="2" t="str">
        <f aca="false">IF(OR(M92="regulated",COUNTIFS(Tasks_TaskID,A92,Tasks_Tier,D92,Tasks_Review,"base")&gt;0),"PENDING REVIEW – priced, not bookable until human approval",IF(COUNTIFS(Tasks_TaskID,A92,Tasks_Tier,D92,Tasks_Review,"as-needed")&gt;0,"Bookable (re-evaluate if regulated as-needed line selected)","Bookable"))</f>
        <v>Bookable</v>
      </c>
    </row>
    <row r="93" customFormat="false" ht="17.15" hidden="false" customHeight="false" outlineLevel="0" collapsed="false">
      <c r="A93" s="2" t="s">
        <v>1117</v>
      </c>
      <c r="B93" s="2" t="s">
        <v>107</v>
      </c>
      <c r="C93" s="2" t="s">
        <v>1118</v>
      </c>
      <c r="D93" s="2" t="s">
        <v>1051</v>
      </c>
      <c r="E93" s="2" t="s">
        <v>1898</v>
      </c>
      <c r="F93" s="3" t="n">
        <f aca="false">INDEX(Sum_Base,MATCH(A93,Sum_BaseTasks,0),MATCH(D93,Sum_BaseTiers,0))</f>
        <v>552.1</v>
      </c>
      <c r="G93" s="2" t="str">
        <f aca="false">IF(ISNUMBER(MATCH(A93&amp;"|"&amp;D93,LR_Key,0)),A93&amp;"|"&amp;D93,A93&amp;"|All")</f>
        <v>FIXX-PLM-005|All</v>
      </c>
      <c r="H93" s="3" t="n">
        <f aca="false">IFERROR(INDEX(LR_TypLabor,MATCH(G93,LR_Key,0)),"")</f>
        <v>965</v>
      </c>
      <c r="I93" s="12" t="n">
        <f aca="false">INDEX(Urg_Mult,MATCH(E93,Urg_Levels,0))</f>
        <v>1.5</v>
      </c>
      <c r="J93" s="3" t="n">
        <f aca="false">IF(ISNUMBER(H93),MAX(H93,IFERROR(INDEX(MW_Floor,MATCH(G93,MW_Key,0)),0))*I93,"")</f>
        <v>1447.5</v>
      </c>
      <c r="K93" s="3" t="n">
        <f aca="false">IF(ISNUMBER(J93),F93+J93,"")</f>
        <v>1999.6</v>
      </c>
      <c r="L93" s="3" t="n">
        <f aca="false">IF(ISNUMBER(H93),MAX(H93,IFERROR(INDEX(MW_Floor,MATCH(G93,MW_Key,0)),0))*I93,"")</f>
        <v>1447.5</v>
      </c>
      <c r="M93" s="2" t="str">
        <f aca="false">IFERROR(INDEX(LR_Flag,MATCH(G93,LR_Key,0)),"")</f>
        <v>none</v>
      </c>
      <c r="N93" s="2" t="str">
        <f aca="false">IFERROR(INDEX(MW_Check,MATCH(G93,MW_Key,0)),"")</f>
        <v>OK</v>
      </c>
      <c r="O93" s="0" t="str">
        <f aca="false">IF(NOT(ISNUMBER(H93)),"LABOR QUOTE NEEDED – total incomplete",IF(N93="BELOW FLOOR","CHECK: typical labor below wage floor – payout and customer labor raised to floor",IF(M93&lt;&gt;"none","Labor rate flagged: "&amp;M93,"OK")))</f>
        <v>OK</v>
      </c>
      <c r="P93" s="0" t="s">
        <v>1120</v>
      </c>
      <c r="Q93" s="8" t="s">
        <v>1121</v>
      </c>
      <c r="R93" s="2" t="str">
        <f aca="false">IF(OR(M93="regulated",COUNTIFS(Tasks_TaskID,A93,Tasks_Tier,D93,Tasks_Review,"base")&gt;0),"PENDING REVIEW – priced, not bookable until human approval",IF(COUNTIFS(Tasks_TaskID,A93,Tasks_Tier,D93,Tasks_Review,"as-needed")&gt;0,"Bookable (re-evaluate if regulated as-needed line selected)","Bookable"))</f>
        <v>Bookable</v>
      </c>
    </row>
    <row r="94" customFormat="false" ht="17.15" hidden="false" customHeight="false" outlineLevel="0" collapsed="false">
      <c r="A94" s="2" t="s">
        <v>1126</v>
      </c>
      <c r="B94" s="2" t="s">
        <v>176</v>
      </c>
      <c r="C94" s="2" t="s">
        <v>1127</v>
      </c>
      <c r="D94" s="2" t="s">
        <v>1042</v>
      </c>
      <c r="E94" s="2" t="s">
        <v>1895</v>
      </c>
      <c r="F94" s="3" t="n">
        <f aca="false">INDEX(Sum_Base,MATCH(A94,Sum_BaseTasks,0),MATCH(D94,Sum_BaseTiers,0))</f>
        <v>11.5</v>
      </c>
      <c r="G94" s="2" t="str">
        <f aca="false">IF(ISNUMBER(MATCH(A94&amp;"|"&amp;D94,LR_Key,0)),A94&amp;"|"&amp;D94,A94&amp;"|All")</f>
        <v>FIXX-ELC-003|All</v>
      </c>
      <c r="H94" s="3" t="n">
        <f aca="false">IFERROR(INDEX(LR_TypLabor,MATCH(G94,LR_Key,0)),"")</f>
        <v>800</v>
      </c>
      <c r="I94" s="12" t="n">
        <f aca="false">INDEX(Urg_Mult,MATCH(E94,Urg_Levels,0))</f>
        <v>1</v>
      </c>
      <c r="J94" s="3" t="n">
        <f aca="false">IF(ISNUMBER(H94),MAX(H94,IFERROR(INDEX(MW_Floor,MATCH(G94,MW_Key,0)),0))*I94,"")</f>
        <v>800</v>
      </c>
      <c r="K94" s="3" t="n">
        <f aca="false">IF(ISNUMBER(J94),F94+J94,"")</f>
        <v>811.5</v>
      </c>
      <c r="L94" s="3" t="n">
        <f aca="false">IF(ISNUMBER(H94),MAX(H94,IFERROR(INDEX(MW_Floor,MATCH(G94,MW_Key,0)),0))*I94,"")</f>
        <v>800</v>
      </c>
      <c r="M94" s="2" t="str">
        <f aca="false">IFERROR(INDEX(LR_Flag,MATCH(G94,LR_Key,0)),"")</f>
        <v>none</v>
      </c>
      <c r="N94" s="2" t="str">
        <f aca="false">IFERROR(INDEX(MW_Check,MATCH(G94,MW_Key,0)),"")</f>
        <v>OK</v>
      </c>
      <c r="O94" s="0" t="str">
        <f aca="false">IF(NOT(ISNUMBER(H94)),"LABOR QUOTE NEEDED – total incomplete",IF(N94="BELOW FLOOR","CHECK: typical labor below wage floor – payout and customer labor raised to floor",IF(M94&lt;&gt;"none","Labor rate flagged: "&amp;M94,"OK")))</f>
        <v>OK</v>
      </c>
      <c r="P94" s="0" t="s">
        <v>1130</v>
      </c>
      <c r="Q94" s="8" t="s">
        <v>1131</v>
      </c>
      <c r="R94" s="2" t="str">
        <f aca="false">IF(OR(M94="regulated",COUNTIFS(Tasks_TaskID,A94,Tasks_Tier,D94,Tasks_Review,"base")&gt;0),"PENDING REVIEW – priced, not bookable until human approval",IF(COUNTIFS(Tasks_TaskID,A94,Tasks_Tier,D94,Tasks_Review,"as-needed")&gt;0,"Bookable (re-evaluate if regulated as-needed line selected)","Bookable"))</f>
        <v>PENDING REVIEW – priced, not bookable until human approval</v>
      </c>
    </row>
    <row r="95" customFormat="false" ht="17.15" hidden="false" customHeight="false" outlineLevel="0" collapsed="false">
      <c r="A95" s="2" t="s">
        <v>1126</v>
      </c>
      <c r="B95" s="2" t="s">
        <v>176</v>
      </c>
      <c r="C95" s="2" t="s">
        <v>1127</v>
      </c>
      <c r="D95" s="2" t="s">
        <v>1042</v>
      </c>
      <c r="E95" s="2" t="s">
        <v>1896</v>
      </c>
      <c r="F95" s="3" t="n">
        <f aca="false">INDEX(Sum_Base,MATCH(A95,Sum_BaseTasks,0),MATCH(D95,Sum_BaseTiers,0))</f>
        <v>11.5</v>
      </c>
      <c r="G95" s="2" t="str">
        <f aca="false">IF(ISNUMBER(MATCH(A95&amp;"|"&amp;D95,LR_Key,0)),A95&amp;"|"&amp;D95,A95&amp;"|All")</f>
        <v>FIXX-ELC-003|All</v>
      </c>
      <c r="H95" s="3" t="n">
        <f aca="false">IFERROR(INDEX(LR_TypLabor,MATCH(G95,LR_Key,0)),"")</f>
        <v>800</v>
      </c>
      <c r="I95" s="12" t="n">
        <f aca="false">INDEX(Urg_Mult,MATCH(E95,Urg_Levels,0))</f>
        <v>1.15</v>
      </c>
      <c r="J95" s="3" t="n">
        <f aca="false">IF(ISNUMBER(H95),MAX(H95,IFERROR(INDEX(MW_Floor,MATCH(G95,MW_Key,0)),0))*I95,"")</f>
        <v>920</v>
      </c>
      <c r="K95" s="3" t="n">
        <f aca="false">IF(ISNUMBER(J95),F95+J95,"")</f>
        <v>931.5</v>
      </c>
      <c r="L95" s="3" t="n">
        <f aca="false">IF(ISNUMBER(H95),MAX(H95,IFERROR(INDEX(MW_Floor,MATCH(G95,MW_Key,0)),0))*I95,"")</f>
        <v>920</v>
      </c>
      <c r="M95" s="2" t="str">
        <f aca="false">IFERROR(INDEX(LR_Flag,MATCH(G95,LR_Key,0)),"")</f>
        <v>none</v>
      </c>
      <c r="N95" s="2" t="str">
        <f aca="false">IFERROR(INDEX(MW_Check,MATCH(G95,MW_Key,0)),"")</f>
        <v>OK</v>
      </c>
      <c r="O95" s="0" t="str">
        <f aca="false">IF(NOT(ISNUMBER(H95)),"LABOR QUOTE NEEDED – total incomplete",IF(N95="BELOW FLOOR","CHECK: typical labor below wage floor – payout and customer labor raised to floor",IF(M95&lt;&gt;"none","Labor rate flagged: "&amp;M95,"OK")))</f>
        <v>OK</v>
      </c>
      <c r="P95" s="0" t="s">
        <v>1130</v>
      </c>
      <c r="Q95" s="8" t="s">
        <v>1131</v>
      </c>
      <c r="R95" s="2" t="str">
        <f aca="false">IF(OR(M95="regulated",COUNTIFS(Tasks_TaskID,A95,Tasks_Tier,D95,Tasks_Review,"base")&gt;0),"PENDING REVIEW – priced, not bookable until human approval",IF(COUNTIFS(Tasks_TaskID,A95,Tasks_Tier,D95,Tasks_Review,"as-needed")&gt;0,"Bookable (re-evaluate if regulated as-needed line selected)","Bookable"))</f>
        <v>PENDING REVIEW – priced, not bookable until human approval</v>
      </c>
    </row>
    <row r="96" customFormat="false" ht="17.15" hidden="false" customHeight="false" outlineLevel="0" collapsed="false">
      <c r="A96" s="2" t="s">
        <v>1126</v>
      </c>
      <c r="B96" s="2" t="s">
        <v>176</v>
      </c>
      <c r="C96" s="2" t="s">
        <v>1127</v>
      </c>
      <c r="D96" s="2" t="s">
        <v>1042</v>
      </c>
      <c r="E96" s="2" t="s">
        <v>1897</v>
      </c>
      <c r="F96" s="3" t="n">
        <f aca="false">INDEX(Sum_Base,MATCH(A96,Sum_BaseTasks,0),MATCH(D96,Sum_BaseTiers,0))</f>
        <v>11.5</v>
      </c>
      <c r="G96" s="2" t="str">
        <f aca="false">IF(ISNUMBER(MATCH(A96&amp;"|"&amp;D96,LR_Key,0)),A96&amp;"|"&amp;D96,A96&amp;"|All")</f>
        <v>FIXX-ELC-003|All</v>
      </c>
      <c r="H96" s="3" t="n">
        <f aca="false">IFERROR(INDEX(LR_TypLabor,MATCH(G96,LR_Key,0)),"")</f>
        <v>800</v>
      </c>
      <c r="I96" s="12" t="n">
        <f aca="false">INDEX(Urg_Mult,MATCH(E96,Urg_Levels,0))</f>
        <v>1.3</v>
      </c>
      <c r="J96" s="3" t="n">
        <f aca="false">IF(ISNUMBER(H96),MAX(H96,IFERROR(INDEX(MW_Floor,MATCH(G96,MW_Key,0)),0))*I96,"")</f>
        <v>1040</v>
      </c>
      <c r="K96" s="3" t="n">
        <f aca="false">IF(ISNUMBER(J96),F96+J96,"")</f>
        <v>1051.5</v>
      </c>
      <c r="L96" s="3" t="n">
        <f aca="false">IF(ISNUMBER(H96),MAX(H96,IFERROR(INDEX(MW_Floor,MATCH(G96,MW_Key,0)),0))*I96,"")</f>
        <v>1040</v>
      </c>
      <c r="M96" s="2" t="str">
        <f aca="false">IFERROR(INDEX(LR_Flag,MATCH(G96,LR_Key,0)),"")</f>
        <v>none</v>
      </c>
      <c r="N96" s="2" t="str">
        <f aca="false">IFERROR(INDEX(MW_Check,MATCH(G96,MW_Key,0)),"")</f>
        <v>OK</v>
      </c>
      <c r="O96" s="0" t="str">
        <f aca="false">IF(NOT(ISNUMBER(H96)),"LABOR QUOTE NEEDED – total incomplete",IF(N96="BELOW FLOOR","CHECK: typical labor below wage floor – payout and customer labor raised to floor",IF(M96&lt;&gt;"none","Labor rate flagged: "&amp;M96,"OK")))</f>
        <v>OK</v>
      </c>
      <c r="P96" s="0" t="s">
        <v>1130</v>
      </c>
      <c r="Q96" s="8" t="s">
        <v>1131</v>
      </c>
      <c r="R96" s="2" t="str">
        <f aca="false">IF(OR(M96="regulated",COUNTIFS(Tasks_TaskID,A96,Tasks_Tier,D96,Tasks_Review,"base")&gt;0),"PENDING REVIEW – priced, not bookable until human approval",IF(COUNTIFS(Tasks_TaskID,A96,Tasks_Tier,D96,Tasks_Review,"as-needed")&gt;0,"Bookable (re-evaluate if regulated as-needed line selected)","Bookable"))</f>
        <v>PENDING REVIEW – priced, not bookable until human approval</v>
      </c>
    </row>
    <row r="97" customFormat="false" ht="17.15" hidden="false" customHeight="false" outlineLevel="0" collapsed="false">
      <c r="A97" s="2" t="s">
        <v>1126</v>
      </c>
      <c r="B97" s="2" t="s">
        <v>176</v>
      </c>
      <c r="C97" s="2" t="s">
        <v>1127</v>
      </c>
      <c r="D97" s="2" t="s">
        <v>1042</v>
      </c>
      <c r="E97" s="2" t="s">
        <v>1898</v>
      </c>
      <c r="F97" s="3" t="n">
        <f aca="false">INDEX(Sum_Base,MATCH(A97,Sum_BaseTasks,0),MATCH(D97,Sum_BaseTiers,0))</f>
        <v>11.5</v>
      </c>
      <c r="G97" s="2" t="str">
        <f aca="false">IF(ISNUMBER(MATCH(A97&amp;"|"&amp;D97,LR_Key,0)),A97&amp;"|"&amp;D97,A97&amp;"|All")</f>
        <v>FIXX-ELC-003|All</v>
      </c>
      <c r="H97" s="3" t="n">
        <f aca="false">IFERROR(INDEX(LR_TypLabor,MATCH(G97,LR_Key,0)),"")</f>
        <v>800</v>
      </c>
      <c r="I97" s="12" t="n">
        <f aca="false">INDEX(Urg_Mult,MATCH(E97,Urg_Levels,0))</f>
        <v>1.5</v>
      </c>
      <c r="J97" s="3" t="n">
        <f aca="false">IF(ISNUMBER(H97),MAX(H97,IFERROR(INDEX(MW_Floor,MATCH(G97,MW_Key,0)),0))*I97,"")</f>
        <v>1200</v>
      </c>
      <c r="K97" s="3" t="n">
        <f aca="false">IF(ISNUMBER(J97),F97+J97,"")</f>
        <v>1211.5</v>
      </c>
      <c r="L97" s="3" t="n">
        <f aca="false">IF(ISNUMBER(H97),MAX(H97,IFERROR(INDEX(MW_Floor,MATCH(G97,MW_Key,0)),0))*I97,"")</f>
        <v>1200</v>
      </c>
      <c r="M97" s="2" t="str">
        <f aca="false">IFERROR(INDEX(LR_Flag,MATCH(G97,LR_Key,0)),"")</f>
        <v>none</v>
      </c>
      <c r="N97" s="2" t="str">
        <f aca="false">IFERROR(INDEX(MW_Check,MATCH(G97,MW_Key,0)),"")</f>
        <v>OK</v>
      </c>
      <c r="O97" s="0" t="str">
        <f aca="false">IF(NOT(ISNUMBER(H97)),"LABOR QUOTE NEEDED – total incomplete",IF(N97="BELOW FLOOR","CHECK: typical labor below wage floor – payout and customer labor raised to floor",IF(M97&lt;&gt;"none","Labor rate flagged: "&amp;M97,"OK")))</f>
        <v>OK</v>
      </c>
      <c r="P97" s="0" t="s">
        <v>1130</v>
      </c>
      <c r="Q97" s="8" t="s">
        <v>1131</v>
      </c>
      <c r="R97" s="2" t="str">
        <f aca="false">IF(OR(M97="regulated",COUNTIFS(Tasks_TaskID,A97,Tasks_Tier,D97,Tasks_Review,"base")&gt;0),"PENDING REVIEW – priced, not bookable until human approval",IF(COUNTIFS(Tasks_TaskID,A97,Tasks_Tier,D97,Tasks_Review,"as-needed")&gt;0,"Bookable (re-evaluate if regulated as-needed line selected)","Bookable"))</f>
        <v>PENDING REVIEW – priced, not bookable until human approval</v>
      </c>
    </row>
    <row r="98" customFormat="false" ht="17.15" hidden="false" customHeight="false" outlineLevel="0" collapsed="false">
      <c r="A98" s="2" t="s">
        <v>1126</v>
      </c>
      <c r="B98" s="2" t="s">
        <v>176</v>
      </c>
      <c r="C98" s="2" t="s">
        <v>1127</v>
      </c>
      <c r="D98" s="2" t="s">
        <v>1049</v>
      </c>
      <c r="E98" s="2" t="s">
        <v>1895</v>
      </c>
      <c r="F98" s="3" t="n">
        <f aca="false">INDEX(Sum_Base,MATCH(A98,Sum_BaseTasks,0),MATCH(D98,Sum_BaseTiers,0))</f>
        <v>11.5</v>
      </c>
      <c r="G98" s="2" t="str">
        <f aca="false">IF(ISNUMBER(MATCH(A98&amp;"|"&amp;D98,LR_Key,0)),A98&amp;"|"&amp;D98,A98&amp;"|All")</f>
        <v>FIXX-ELC-003|All</v>
      </c>
      <c r="H98" s="3" t="n">
        <f aca="false">IFERROR(INDEX(LR_TypLabor,MATCH(G98,LR_Key,0)),"")</f>
        <v>800</v>
      </c>
      <c r="I98" s="12" t="n">
        <f aca="false">INDEX(Urg_Mult,MATCH(E98,Urg_Levels,0))</f>
        <v>1</v>
      </c>
      <c r="J98" s="3" t="n">
        <f aca="false">IF(ISNUMBER(H98),MAX(H98,IFERROR(INDEX(MW_Floor,MATCH(G98,MW_Key,0)),0))*I98,"")</f>
        <v>800</v>
      </c>
      <c r="K98" s="3" t="n">
        <f aca="false">IF(ISNUMBER(J98),F98+J98,"")</f>
        <v>811.5</v>
      </c>
      <c r="L98" s="3" t="n">
        <f aca="false">IF(ISNUMBER(H98),MAX(H98,IFERROR(INDEX(MW_Floor,MATCH(G98,MW_Key,0)),0))*I98,"")</f>
        <v>800</v>
      </c>
      <c r="M98" s="2" t="str">
        <f aca="false">IFERROR(INDEX(LR_Flag,MATCH(G98,LR_Key,0)),"")</f>
        <v>none</v>
      </c>
      <c r="N98" s="2" t="str">
        <f aca="false">IFERROR(INDEX(MW_Check,MATCH(G98,MW_Key,0)),"")</f>
        <v>OK</v>
      </c>
      <c r="O98" s="0" t="str">
        <f aca="false">IF(NOT(ISNUMBER(H98)),"LABOR QUOTE NEEDED – total incomplete",IF(N98="BELOW FLOOR","CHECK: typical labor below wage floor – payout and customer labor raised to floor",IF(M98&lt;&gt;"none","Labor rate flagged: "&amp;M98,"OK")))</f>
        <v>OK</v>
      </c>
      <c r="P98" s="0" t="s">
        <v>1130</v>
      </c>
      <c r="Q98" s="8" t="s">
        <v>1131</v>
      </c>
      <c r="R98" s="2" t="str">
        <f aca="false">IF(OR(M98="regulated",COUNTIFS(Tasks_TaskID,A98,Tasks_Tier,D98,Tasks_Review,"base")&gt;0),"PENDING REVIEW – priced, not bookable until human approval",IF(COUNTIFS(Tasks_TaskID,A98,Tasks_Tier,D98,Tasks_Review,"as-needed")&gt;0,"Bookable (re-evaluate if regulated as-needed line selected)","Bookable"))</f>
        <v>PENDING REVIEW – priced, not bookable until human approval</v>
      </c>
    </row>
    <row r="99" customFormat="false" ht="17.15" hidden="false" customHeight="false" outlineLevel="0" collapsed="false">
      <c r="A99" s="2" t="s">
        <v>1126</v>
      </c>
      <c r="B99" s="2" t="s">
        <v>176</v>
      </c>
      <c r="C99" s="2" t="s">
        <v>1127</v>
      </c>
      <c r="D99" s="2" t="s">
        <v>1049</v>
      </c>
      <c r="E99" s="2" t="s">
        <v>1896</v>
      </c>
      <c r="F99" s="3" t="n">
        <f aca="false">INDEX(Sum_Base,MATCH(A99,Sum_BaseTasks,0),MATCH(D99,Sum_BaseTiers,0))</f>
        <v>11.5</v>
      </c>
      <c r="G99" s="2" t="str">
        <f aca="false">IF(ISNUMBER(MATCH(A99&amp;"|"&amp;D99,LR_Key,0)),A99&amp;"|"&amp;D99,A99&amp;"|All")</f>
        <v>FIXX-ELC-003|All</v>
      </c>
      <c r="H99" s="3" t="n">
        <f aca="false">IFERROR(INDEX(LR_TypLabor,MATCH(G99,LR_Key,0)),"")</f>
        <v>800</v>
      </c>
      <c r="I99" s="12" t="n">
        <f aca="false">INDEX(Urg_Mult,MATCH(E99,Urg_Levels,0))</f>
        <v>1.15</v>
      </c>
      <c r="J99" s="3" t="n">
        <f aca="false">IF(ISNUMBER(H99),MAX(H99,IFERROR(INDEX(MW_Floor,MATCH(G99,MW_Key,0)),0))*I99,"")</f>
        <v>920</v>
      </c>
      <c r="K99" s="3" t="n">
        <f aca="false">IF(ISNUMBER(J99),F99+J99,"")</f>
        <v>931.5</v>
      </c>
      <c r="L99" s="3" t="n">
        <f aca="false">IF(ISNUMBER(H99),MAX(H99,IFERROR(INDEX(MW_Floor,MATCH(G99,MW_Key,0)),0))*I99,"")</f>
        <v>920</v>
      </c>
      <c r="M99" s="2" t="str">
        <f aca="false">IFERROR(INDEX(LR_Flag,MATCH(G99,LR_Key,0)),"")</f>
        <v>none</v>
      </c>
      <c r="N99" s="2" t="str">
        <f aca="false">IFERROR(INDEX(MW_Check,MATCH(G99,MW_Key,0)),"")</f>
        <v>OK</v>
      </c>
      <c r="O99" s="0" t="str">
        <f aca="false">IF(NOT(ISNUMBER(H99)),"LABOR QUOTE NEEDED – total incomplete",IF(N99="BELOW FLOOR","CHECK: typical labor below wage floor – payout and customer labor raised to floor",IF(M99&lt;&gt;"none","Labor rate flagged: "&amp;M99,"OK")))</f>
        <v>OK</v>
      </c>
      <c r="P99" s="0" t="s">
        <v>1130</v>
      </c>
      <c r="Q99" s="8" t="s">
        <v>1131</v>
      </c>
      <c r="R99" s="2" t="str">
        <f aca="false">IF(OR(M99="regulated",COUNTIFS(Tasks_TaskID,A99,Tasks_Tier,D99,Tasks_Review,"base")&gt;0),"PENDING REVIEW – priced, not bookable until human approval",IF(COUNTIFS(Tasks_TaskID,A99,Tasks_Tier,D99,Tasks_Review,"as-needed")&gt;0,"Bookable (re-evaluate if regulated as-needed line selected)","Bookable"))</f>
        <v>PENDING REVIEW – priced, not bookable until human approval</v>
      </c>
    </row>
    <row r="100" customFormat="false" ht="17.15" hidden="false" customHeight="false" outlineLevel="0" collapsed="false">
      <c r="A100" s="2" t="s">
        <v>1126</v>
      </c>
      <c r="B100" s="2" t="s">
        <v>176</v>
      </c>
      <c r="C100" s="2" t="s">
        <v>1127</v>
      </c>
      <c r="D100" s="2" t="s">
        <v>1049</v>
      </c>
      <c r="E100" s="2" t="s">
        <v>1897</v>
      </c>
      <c r="F100" s="3" t="n">
        <f aca="false">INDEX(Sum_Base,MATCH(A100,Sum_BaseTasks,0),MATCH(D100,Sum_BaseTiers,0))</f>
        <v>11.5</v>
      </c>
      <c r="G100" s="2" t="str">
        <f aca="false">IF(ISNUMBER(MATCH(A100&amp;"|"&amp;D100,LR_Key,0)),A100&amp;"|"&amp;D100,A100&amp;"|All")</f>
        <v>FIXX-ELC-003|All</v>
      </c>
      <c r="H100" s="3" t="n">
        <f aca="false">IFERROR(INDEX(LR_TypLabor,MATCH(G100,LR_Key,0)),"")</f>
        <v>800</v>
      </c>
      <c r="I100" s="12" t="n">
        <f aca="false">INDEX(Urg_Mult,MATCH(E100,Urg_Levels,0))</f>
        <v>1.3</v>
      </c>
      <c r="J100" s="3" t="n">
        <f aca="false">IF(ISNUMBER(H100),MAX(H100,IFERROR(INDEX(MW_Floor,MATCH(G100,MW_Key,0)),0))*I100,"")</f>
        <v>1040</v>
      </c>
      <c r="K100" s="3" t="n">
        <f aca="false">IF(ISNUMBER(J100),F100+J100,"")</f>
        <v>1051.5</v>
      </c>
      <c r="L100" s="3" t="n">
        <f aca="false">IF(ISNUMBER(H100),MAX(H100,IFERROR(INDEX(MW_Floor,MATCH(G100,MW_Key,0)),0))*I100,"")</f>
        <v>1040</v>
      </c>
      <c r="M100" s="2" t="str">
        <f aca="false">IFERROR(INDEX(LR_Flag,MATCH(G100,LR_Key,0)),"")</f>
        <v>none</v>
      </c>
      <c r="N100" s="2" t="str">
        <f aca="false">IFERROR(INDEX(MW_Check,MATCH(G100,MW_Key,0)),"")</f>
        <v>OK</v>
      </c>
      <c r="O100" s="0" t="str">
        <f aca="false">IF(NOT(ISNUMBER(H100)),"LABOR QUOTE NEEDED – total incomplete",IF(N100="BELOW FLOOR","CHECK: typical labor below wage floor – payout and customer labor raised to floor",IF(M100&lt;&gt;"none","Labor rate flagged: "&amp;M100,"OK")))</f>
        <v>OK</v>
      </c>
      <c r="P100" s="0" t="s">
        <v>1130</v>
      </c>
      <c r="Q100" s="8" t="s">
        <v>1131</v>
      </c>
      <c r="R100" s="2" t="str">
        <f aca="false">IF(OR(M100="regulated",COUNTIFS(Tasks_TaskID,A100,Tasks_Tier,D100,Tasks_Review,"base")&gt;0),"PENDING REVIEW – priced, not bookable until human approval",IF(COUNTIFS(Tasks_TaskID,A100,Tasks_Tier,D100,Tasks_Review,"as-needed")&gt;0,"Bookable (re-evaluate if regulated as-needed line selected)","Bookable"))</f>
        <v>PENDING REVIEW – priced, not bookable until human approval</v>
      </c>
    </row>
    <row r="101" customFormat="false" ht="17.15" hidden="false" customHeight="false" outlineLevel="0" collapsed="false">
      <c r="A101" s="2" t="s">
        <v>1126</v>
      </c>
      <c r="B101" s="2" t="s">
        <v>176</v>
      </c>
      <c r="C101" s="2" t="s">
        <v>1127</v>
      </c>
      <c r="D101" s="2" t="s">
        <v>1049</v>
      </c>
      <c r="E101" s="2" t="s">
        <v>1898</v>
      </c>
      <c r="F101" s="3" t="n">
        <f aca="false">INDEX(Sum_Base,MATCH(A101,Sum_BaseTasks,0),MATCH(D101,Sum_BaseTiers,0))</f>
        <v>11.5</v>
      </c>
      <c r="G101" s="2" t="str">
        <f aca="false">IF(ISNUMBER(MATCH(A101&amp;"|"&amp;D101,LR_Key,0)),A101&amp;"|"&amp;D101,A101&amp;"|All")</f>
        <v>FIXX-ELC-003|All</v>
      </c>
      <c r="H101" s="3" t="n">
        <f aca="false">IFERROR(INDEX(LR_TypLabor,MATCH(G101,LR_Key,0)),"")</f>
        <v>800</v>
      </c>
      <c r="I101" s="12" t="n">
        <f aca="false">INDEX(Urg_Mult,MATCH(E101,Urg_Levels,0))</f>
        <v>1.5</v>
      </c>
      <c r="J101" s="3" t="n">
        <f aca="false">IF(ISNUMBER(H101),MAX(H101,IFERROR(INDEX(MW_Floor,MATCH(G101,MW_Key,0)),0))*I101,"")</f>
        <v>1200</v>
      </c>
      <c r="K101" s="3" t="n">
        <f aca="false">IF(ISNUMBER(J101),F101+J101,"")</f>
        <v>1211.5</v>
      </c>
      <c r="L101" s="3" t="n">
        <f aca="false">IF(ISNUMBER(H101),MAX(H101,IFERROR(INDEX(MW_Floor,MATCH(G101,MW_Key,0)),0))*I101,"")</f>
        <v>1200</v>
      </c>
      <c r="M101" s="2" t="str">
        <f aca="false">IFERROR(INDEX(LR_Flag,MATCH(G101,LR_Key,0)),"")</f>
        <v>none</v>
      </c>
      <c r="N101" s="2" t="str">
        <f aca="false">IFERROR(INDEX(MW_Check,MATCH(G101,MW_Key,0)),"")</f>
        <v>OK</v>
      </c>
      <c r="O101" s="0" t="str">
        <f aca="false">IF(NOT(ISNUMBER(H101)),"LABOR QUOTE NEEDED – total incomplete",IF(N101="BELOW FLOOR","CHECK: typical labor below wage floor – payout and customer labor raised to floor",IF(M101&lt;&gt;"none","Labor rate flagged: "&amp;M101,"OK")))</f>
        <v>OK</v>
      </c>
      <c r="P101" s="0" t="s">
        <v>1130</v>
      </c>
      <c r="Q101" s="8" t="s">
        <v>1131</v>
      </c>
      <c r="R101" s="2" t="str">
        <f aca="false">IF(OR(M101="regulated",COUNTIFS(Tasks_TaskID,A101,Tasks_Tier,D101,Tasks_Review,"base")&gt;0),"PENDING REVIEW – priced, not bookable until human approval",IF(COUNTIFS(Tasks_TaskID,A101,Tasks_Tier,D101,Tasks_Review,"as-needed")&gt;0,"Bookable (re-evaluate if regulated as-needed line selected)","Bookable"))</f>
        <v>PENDING REVIEW – priced, not bookable until human approval</v>
      </c>
    </row>
    <row r="102" customFormat="false" ht="17.15" hidden="false" customHeight="false" outlineLevel="0" collapsed="false">
      <c r="A102" s="2" t="s">
        <v>1126</v>
      </c>
      <c r="B102" s="2" t="s">
        <v>176</v>
      </c>
      <c r="C102" s="2" t="s">
        <v>1127</v>
      </c>
      <c r="D102" s="2" t="s">
        <v>1051</v>
      </c>
      <c r="E102" s="2" t="s">
        <v>1895</v>
      </c>
      <c r="F102" s="3" t="n">
        <f aca="false">INDEX(Sum_Base,MATCH(A102,Sum_BaseTasks,0),MATCH(D102,Sum_BaseTiers,0))</f>
        <v>11.5</v>
      </c>
      <c r="G102" s="2" t="str">
        <f aca="false">IF(ISNUMBER(MATCH(A102&amp;"|"&amp;D102,LR_Key,0)),A102&amp;"|"&amp;D102,A102&amp;"|All")</f>
        <v>FIXX-ELC-003|All</v>
      </c>
      <c r="H102" s="3" t="n">
        <f aca="false">IFERROR(INDEX(LR_TypLabor,MATCH(G102,LR_Key,0)),"")</f>
        <v>800</v>
      </c>
      <c r="I102" s="12" t="n">
        <f aca="false">INDEX(Urg_Mult,MATCH(E102,Urg_Levels,0))</f>
        <v>1</v>
      </c>
      <c r="J102" s="3" t="n">
        <f aca="false">IF(ISNUMBER(H102),MAX(H102,IFERROR(INDEX(MW_Floor,MATCH(G102,MW_Key,0)),0))*I102,"")</f>
        <v>800</v>
      </c>
      <c r="K102" s="3" t="n">
        <f aca="false">IF(ISNUMBER(J102),F102+J102,"")</f>
        <v>811.5</v>
      </c>
      <c r="L102" s="3" t="n">
        <f aca="false">IF(ISNUMBER(H102),MAX(H102,IFERROR(INDEX(MW_Floor,MATCH(G102,MW_Key,0)),0))*I102,"")</f>
        <v>800</v>
      </c>
      <c r="M102" s="2" t="str">
        <f aca="false">IFERROR(INDEX(LR_Flag,MATCH(G102,LR_Key,0)),"")</f>
        <v>none</v>
      </c>
      <c r="N102" s="2" t="str">
        <f aca="false">IFERROR(INDEX(MW_Check,MATCH(G102,MW_Key,0)),"")</f>
        <v>OK</v>
      </c>
      <c r="O102" s="0" t="str">
        <f aca="false">IF(NOT(ISNUMBER(H102)),"LABOR QUOTE NEEDED – total incomplete",IF(N102="BELOW FLOOR","CHECK: typical labor below wage floor – payout and customer labor raised to floor",IF(M102&lt;&gt;"none","Labor rate flagged: "&amp;M102,"OK")))</f>
        <v>OK</v>
      </c>
      <c r="P102" s="0" t="s">
        <v>1130</v>
      </c>
      <c r="Q102" s="8" t="s">
        <v>1131</v>
      </c>
      <c r="R102" s="2" t="str">
        <f aca="false">IF(OR(M102="regulated",COUNTIFS(Tasks_TaskID,A102,Tasks_Tier,D102,Tasks_Review,"base")&gt;0),"PENDING REVIEW – priced, not bookable until human approval",IF(COUNTIFS(Tasks_TaskID,A102,Tasks_Tier,D102,Tasks_Review,"as-needed")&gt;0,"Bookable (re-evaluate if regulated as-needed line selected)","Bookable"))</f>
        <v>PENDING REVIEW – priced, not bookable until human approval</v>
      </c>
    </row>
    <row r="103" customFormat="false" ht="17.15" hidden="false" customHeight="false" outlineLevel="0" collapsed="false">
      <c r="A103" s="2" t="s">
        <v>1126</v>
      </c>
      <c r="B103" s="2" t="s">
        <v>176</v>
      </c>
      <c r="C103" s="2" t="s">
        <v>1127</v>
      </c>
      <c r="D103" s="2" t="s">
        <v>1051</v>
      </c>
      <c r="E103" s="2" t="s">
        <v>1896</v>
      </c>
      <c r="F103" s="3" t="n">
        <f aca="false">INDEX(Sum_Base,MATCH(A103,Sum_BaseTasks,0),MATCH(D103,Sum_BaseTiers,0))</f>
        <v>11.5</v>
      </c>
      <c r="G103" s="2" t="str">
        <f aca="false">IF(ISNUMBER(MATCH(A103&amp;"|"&amp;D103,LR_Key,0)),A103&amp;"|"&amp;D103,A103&amp;"|All")</f>
        <v>FIXX-ELC-003|All</v>
      </c>
      <c r="H103" s="3" t="n">
        <f aca="false">IFERROR(INDEX(LR_TypLabor,MATCH(G103,LR_Key,0)),"")</f>
        <v>800</v>
      </c>
      <c r="I103" s="12" t="n">
        <f aca="false">INDEX(Urg_Mult,MATCH(E103,Urg_Levels,0))</f>
        <v>1.15</v>
      </c>
      <c r="J103" s="3" t="n">
        <f aca="false">IF(ISNUMBER(H103),MAX(H103,IFERROR(INDEX(MW_Floor,MATCH(G103,MW_Key,0)),0))*I103,"")</f>
        <v>920</v>
      </c>
      <c r="K103" s="3" t="n">
        <f aca="false">IF(ISNUMBER(J103),F103+J103,"")</f>
        <v>931.5</v>
      </c>
      <c r="L103" s="3" t="n">
        <f aca="false">IF(ISNUMBER(H103),MAX(H103,IFERROR(INDEX(MW_Floor,MATCH(G103,MW_Key,0)),0))*I103,"")</f>
        <v>920</v>
      </c>
      <c r="M103" s="2" t="str">
        <f aca="false">IFERROR(INDEX(LR_Flag,MATCH(G103,LR_Key,0)),"")</f>
        <v>none</v>
      </c>
      <c r="N103" s="2" t="str">
        <f aca="false">IFERROR(INDEX(MW_Check,MATCH(G103,MW_Key,0)),"")</f>
        <v>OK</v>
      </c>
      <c r="O103" s="0" t="str">
        <f aca="false">IF(NOT(ISNUMBER(H103)),"LABOR QUOTE NEEDED – total incomplete",IF(N103="BELOW FLOOR","CHECK: typical labor below wage floor – payout and customer labor raised to floor",IF(M103&lt;&gt;"none","Labor rate flagged: "&amp;M103,"OK")))</f>
        <v>OK</v>
      </c>
      <c r="P103" s="0" t="s">
        <v>1130</v>
      </c>
      <c r="Q103" s="8" t="s">
        <v>1131</v>
      </c>
      <c r="R103" s="2" t="str">
        <f aca="false">IF(OR(M103="regulated",COUNTIFS(Tasks_TaskID,A103,Tasks_Tier,D103,Tasks_Review,"base")&gt;0),"PENDING REVIEW – priced, not bookable until human approval",IF(COUNTIFS(Tasks_TaskID,A103,Tasks_Tier,D103,Tasks_Review,"as-needed")&gt;0,"Bookable (re-evaluate if regulated as-needed line selected)","Bookable"))</f>
        <v>PENDING REVIEW – priced, not bookable until human approval</v>
      </c>
    </row>
    <row r="104" customFormat="false" ht="17.15" hidden="false" customHeight="false" outlineLevel="0" collapsed="false">
      <c r="A104" s="2" t="s">
        <v>1126</v>
      </c>
      <c r="B104" s="2" t="s">
        <v>176</v>
      </c>
      <c r="C104" s="2" t="s">
        <v>1127</v>
      </c>
      <c r="D104" s="2" t="s">
        <v>1051</v>
      </c>
      <c r="E104" s="2" t="s">
        <v>1897</v>
      </c>
      <c r="F104" s="3" t="n">
        <f aca="false">INDEX(Sum_Base,MATCH(A104,Sum_BaseTasks,0),MATCH(D104,Sum_BaseTiers,0))</f>
        <v>11.5</v>
      </c>
      <c r="G104" s="2" t="str">
        <f aca="false">IF(ISNUMBER(MATCH(A104&amp;"|"&amp;D104,LR_Key,0)),A104&amp;"|"&amp;D104,A104&amp;"|All")</f>
        <v>FIXX-ELC-003|All</v>
      </c>
      <c r="H104" s="3" t="n">
        <f aca="false">IFERROR(INDEX(LR_TypLabor,MATCH(G104,LR_Key,0)),"")</f>
        <v>800</v>
      </c>
      <c r="I104" s="12" t="n">
        <f aca="false">INDEX(Urg_Mult,MATCH(E104,Urg_Levels,0))</f>
        <v>1.3</v>
      </c>
      <c r="J104" s="3" t="n">
        <f aca="false">IF(ISNUMBER(H104),MAX(H104,IFERROR(INDEX(MW_Floor,MATCH(G104,MW_Key,0)),0))*I104,"")</f>
        <v>1040</v>
      </c>
      <c r="K104" s="3" t="n">
        <f aca="false">IF(ISNUMBER(J104),F104+J104,"")</f>
        <v>1051.5</v>
      </c>
      <c r="L104" s="3" t="n">
        <f aca="false">IF(ISNUMBER(H104),MAX(H104,IFERROR(INDEX(MW_Floor,MATCH(G104,MW_Key,0)),0))*I104,"")</f>
        <v>1040</v>
      </c>
      <c r="M104" s="2" t="str">
        <f aca="false">IFERROR(INDEX(LR_Flag,MATCH(G104,LR_Key,0)),"")</f>
        <v>none</v>
      </c>
      <c r="N104" s="2" t="str">
        <f aca="false">IFERROR(INDEX(MW_Check,MATCH(G104,MW_Key,0)),"")</f>
        <v>OK</v>
      </c>
      <c r="O104" s="0" t="str">
        <f aca="false">IF(NOT(ISNUMBER(H104)),"LABOR QUOTE NEEDED – total incomplete",IF(N104="BELOW FLOOR","CHECK: typical labor below wage floor – payout and customer labor raised to floor",IF(M104&lt;&gt;"none","Labor rate flagged: "&amp;M104,"OK")))</f>
        <v>OK</v>
      </c>
      <c r="P104" s="0" t="s">
        <v>1130</v>
      </c>
      <c r="Q104" s="8" t="s">
        <v>1131</v>
      </c>
      <c r="R104" s="2" t="str">
        <f aca="false">IF(OR(M104="regulated",COUNTIFS(Tasks_TaskID,A104,Tasks_Tier,D104,Tasks_Review,"base")&gt;0),"PENDING REVIEW – priced, not bookable until human approval",IF(COUNTIFS(Tasks_TaskID,A104,Tasks_Tier,D104,Tasks_Review,"as-needed")&gt;0,"Bookable (re-evaluate if regulated as-needed line selected)","Bookable"))</f>
        <v>PENDING REVIEW – priced, not bookable until human approval</v>
      </c>
    </row>
    <row r="105" customFormat="false" ht="17.15" hidden="false" customHeight="false" outlineLevel="0" collapsed="false">
      <c r="A105" s="2" t="s">
        <v>1126</v>
      </c>
      <c r="B105" s="2" t="s">
        <v>176</v>
      </c>
      <c r="C105" s="2" t="s">
        <v>1127</v>
      </c>
      <c r="D105" s="2" t="s">
        <v>1051</v>
      </c>
      <c r="E105" s="2" t="s">
        <v>1898</v>
      </c>
      <c r="F105" s="3" t="n">
        <f aca="false">INDEX(Sum_Base,MATCH(A105,Sum_BaseTasks,0),MATCH(D105,Sum_BaseTiers,0))</f>
        <v>11.5</v>
      </c>
      <c r="G105" s="2" t="str">
        <f aca="false">IF(ISNUMBER(MATCH(A105&amp;"|"&amp;D105,LR_Key,0)),A105&amp;"|"&amp;D105,A105&amp;"|All")</f>
        <v>FIXX-ELC-003|All</v>
      </c>
      <c r="H105" s="3" t="n">
        <f aca="false">IFERROR(INDEX(LR_TypLabor,MATCH(G105,LR_Key,0)),"")</f>
        <v>800</v>
      </c>
      <c r="I105" s="12" t="n">
        <f aca="false">INDEX(Urg_Mult,MATCH(E105,Urg_Levels,0))</f>
        <v>1.5</v>
      </c>
      <c r="J105" s="3" t="n">
        <f aca="false">IF(ISNUMBER(H105),MAX(H105,IFERROR(INDEX(MW_Floor,MATCH(G105,MW_Key,0)),0))*I105,"")</f>
        <v>1200</v>
      </c>
      <c r="K105" s="3" t="n">
        <f aca="false">IF(ISNUMBER(J105),F105+J105,"")</f>
        <v>1211.5</v>
      </c>
      <c r="L105" s="3" t="n">
        <f aca="false">IF(ISNUMBER(H105),MAX(H105,IFERROR(INDEX(MW_Floor,MATCH(G105,MW_Key,0)),0))*I105,"")</f>
        <v>1200</v>
      </c>
      <c r="M105" s="2" t="str">
        <f aca="false">IFERROR(INDEX(LR_Flag,MATCH(G105,LR_Key,0)),"")</f>
        <v>none</v>
      </c>
      <c r="N105" s="2" t="str">
        <f aca="false">IFERROR(INDEX(MW_Check,MATCH(G105,MW_Key,0)),"")</f>
        <v>OK</v>
      </c>
      <c r="O105" s="0" t="str">
        <f aca="false">IF(NOT(ISNUMBER(H105)),"LABOR QUOTE NEEDED – total incomplete",IF(N105="BELOW FLOOR","CHECK: typical labor below wage floor – payout and customer labor raised to floor",IF(M105&lt;&gt;"none","Labor rate flagged: "&amp;M105,"OK")))</f>
        <v>OK</v>
      </c>
      <c r="P105" s="0" t="s">
        <v>1130</v>
      </c>
      <c r="Q105" s="8" t="s">
        <v>1131</v>
      </c>
      <c r="R105" s="2" t="str">
        <f aca="false">IF(OR(M105="regulated",COUNTIFS(Tasks_TaskID,A105,Tasks_Tier,D105,Tasks_Review,"base")&gt;0),"PENDING REVIEW – priced, not bookable until human approval",IF(COUNTIFS(Tasks_TaskID,A105,Tasks_Tier,D105,Tasks_Review,"as-needed")&gt;0,"Bookable (re-evaluate if regulated as-needed line selected)","Bookable"))</f>
        <v>PENDING REVIEW – priced, not bookable until human approval</v>
      </c>
    </row>
    <row r="106" customFormat="false" ht="15" hidden="false" customHeight="false" outlineLevel="0" collapsed="false">
      <c r="A106" s="2" t="s">
        <v>1136</v>
      </c>
      <c r="B106" s="2" t="s">
        <v>176</v>
      </c>
      <c r="C106" s="2" t="s">
        <v>1137</v>
      </c>
      <c r="D106" s="2" t="s">
        <v>1042</v>
      </c>
      <c r="E106" s="2" t="s">
        <v>1895</v>
      </c>
      <c r="F106" s="3" t="n">
        <f aca="false">INDEX(Sum_Base,MATCH(A106,Sum_BaseTasks,0),MATCH(D106,Sum_BaseTiers,0))</f>
        <v>23</v>
      </c>
      <c r="G106" s="2" t="str">
        <f aca="false">IF(ISNUMBER(MATCH(A106&amp;"|"&amp;D106,LR_Key,0)),A106&amp;"|"&amp;D106,A106&amp;"|All")</f>
        <v>FIXX-ELC-005|All</v>
      </c>
      <c r="H106" s="3" t="n">
        <f aca="false">IFERROR(INDEX(LR_TypLabor,MATCH(G106,LR_Key,0)),"")</f>
        <v>500</v>
      </c>
      <c r="I106" s="12" t="n">
        <f aca="false">INDEX(Urg_Mult,MATCH(E106,Urg_Levels,0))</f>
        <v>1</v>
      </c>
      <c r="J106" s="3" t="n">
        <f aca="false">IF(ISNUMBER(H106),MAX(H106,IFERROR(INDEX(MW_Floor,MATCH(G106,MW_Key,0)),0))*I106,"")</f>
        <v>500</v>
      </c>
      <c r="K106" s="3" t="n">
        <f aca="false">IF(ISNUMBER(J106),F106+J106,"")</f>
        <v>523</v>
      </c>
      <c r="L106" s="3" t="n">
        <f aca="false">IF(ISNUMBER(H106),MAX(H106,IFERROR(INDEX(MW_Floor,MATCH(G106,MW_Key,0)),0))*I106,"")</f>
        <v>500</v>
      </c>
      <c r="M106" s="2" t="str">
        <f aca="false">IFERROR(INDEX(LR_Flag,MATCH(G106,LR_Key,0)),"")</f>
        <v>none</v>
      </c>
      <c r="N106" s="2" t="str">
        <f aca="false">IFERROR(INDEX(MW_Check,MATCH(G106,MW_Key,0)),"")</f>
        <v>OK</v>
      </c>
      <c r="O106" s="0" t="str">
        <f aca="false">IF(NOT(ISNUMBER(H106)),"LABOR QUOTE NEEDED – total incomplete",IF(N106="BELOW FLOOR","CHECK: typical labor below wage floor – payout and customer labor raised to floor",IF(M106&lt;&gt;"none","Labor rate flagged: "&amp;M106,"OK")))</f>
        <v>OK</v>
      </c>
      <c r="P106" s="0" t="s">
        <v>1140</v>
      </c>
      <c r="Q106" s="8" t="s">
        <v>1141</v>
      </c>
      <c r="R106" s="2" t="str">
        <f aca="false">IF(OR(M106="regulated",COUNTIFS(Tasks_TaskID,A106,Tasks_Tier,D106,Tasks_Review,"base")&gt;0),"PENDING REVIEW – priced, not bookable until human approval",IF(COUNTIFS(Tasks_TaskID,A106,Tasks_Tier,D106,Tasks_Review,"as-needed")&gt;0,"Bookable (re-evaluate if regulated as-needed line selected)","Bookable"))</f>
        <v>Bookable (re-evaluate if regulated as-needed line selected)</v>
      </c>
    </row>
    <row r="107" customFormat="false" ht="15" hidden="false" customHeight="false" outlineLevel="0" collapsed="false">
      <c r="A107" s="2" t="s">
        <v>1136</v>
      </c>
      <c r="B107" s="2" t="s">
        <v>176</v>
      </c>
      <c r="C107" s="2" t="s">
        <v>1137</v>
      </c>
      <c r="D107" s="2" t="s">
        <v>1042</v>
      </c>
      <c r="E107" s="2" t="s">
        <v>1896</v>
      </c>
      <c r="F107" s="3" t="n">
        <f aca="false">INDEX(Sum_Base,MATCH(A107,Sum_BaseTasks,0),MATCH(D107,Sum_BaseTiers,0))</f>
        <v>23</v>
      </c>
      <c r="G107" s="2" t="str">
        <f aca="false">IF(ISNUMBER(MATCH(A107&amp;"|"&amp;D107,LR_Key,0)),A107&amp;"|"&amp;D107,A107&amp;"|All")</f>
        <v>FIXX-ELC-005|All</v>
      </c>
      <c r="H107" s="3" t="n">
        <f aca="false">IFERROR(INDEX(LR_TypLabor,MATCH(G107,LR_Key,0)),"")</f>
        <v>500</v>
      </c>
      <c r="I107" s="12" t="n">
        <f aca="false">INDEX(Urg_Mult,MATCH(E107,Urg_Levels,0))</f>
        <v>1.15</v>
      </c>
      <c r="J107" s="3" t="n">
        <f aca="false">IF(ISNUMBER(H107),MAX(H107,IFERROR(INDEX(MW_Floor,MATCH(G107,MW_Key,0)),0))*I107,"")</f>
        <v>575</v>
      </c>
      <c r="K107" s="3" t="n">
        <f aca="false">IF(ISNUMBER(J107),F107+J107,"")</f>
        <v>598</v>
      </c>
      <c r="L107" s="3" t="n">
        <f aca="false">IF(ISNUMBER(H107),MAX(H107,IFERROR(INDEX(MW_Floor,MATCH(G107,MW_Key,0)),0))*I107,"")</f>
        <v>575</v>
      </c>
      <c r="M107" s="2" t="str">
        <f aca="false">IFERROR(INDEX(LR_Flag,MATCH(G107,LR_Key,0)),"")</f>
        <v>none</v>
      </c>
      <c r="N107" s="2" t="str">
        <f aca="false">IFERROR(INDEX(MW_Check,MATCH(G107,MW_Key,0)),"")</f>
        <v>OK</v>
      </c>
      <c r="O107" s="0" t="str">
        <f aca="false">IF(NOT(ISNUMBER(H107)),"LABOR QUOTE NEEDED – total incomplete",IF(N107="BELOW FLOOR","CHECK: typical labor below wage floor – payout and customer labor raised to floor",IF(M107&lt;&gt;"none","Labor rate flagged: "&amp;M107,"OK")))</f>
        <v>OK</v>
      </c>
      <c r="P107" s="0" t="s">
        <v>1140</v>
      </c>
      <c r="Q107" s="8" t="s">
        <v>1141</v>
      </c>
      <c r="R107" s="2" t="str">
        <f aca="false">IF(OR(M107="regulated",COUNTIFS(Tasks_TaskID,A107,Tasks_Tier,D107,Tasks_Review,"base")&gt;0),"PENDING REVIEW – priced, not bookable until human approval",IF(COUNTIFS(Tasks_TaskID,A107,Tasks_Tier,D107,Tasks_Review,"as-needed")&gt;0,"Bookable (re-evaluate if regulated as-needed line selected)","Bookable"))</f>
        <v>Bookable (re-evaluate if regulated as-needed line selected)</v>
      </c>
    </row>
    <row r="108" customFormat="false" ht="15" hidden="false" customHeight="false" outlineLevel="0" collapsed="false">
      <c r="A108" s="2" t="s">
        <v>1136</v>
      </c>
      <c r="B108" s="2" t="s">
        <v>176</v>
      </c>
      <c r="C108" s="2" t="s">
        <v>1137</v>
      </c>
      <c r="D108" s="2" t="s">
        <v>1042</v>
      </c>
      <c r="E108" s="2" t="s">
        <v>1897</v>
      </c>
      <c r="F108" s="3" t="n">
        <f aca="false">INDEX(Sum_Base,MATCH(A108,Sum_BaseTasks,0),MATCH(D108,Sum_BaseTiers,0))</f>
        <v>23</v>
      </c>
      <c r="G108" s="2" t="str">
        <f aca="false">IF(ISNUMBER(MATCH(A108&amp;"|"&amp;D108,LR_Key,0)),A108&amp;"|"&amp;D108,A108&amp;"|All")</f>
        <v>FIXX-ELC-005|All</v>
      </c>
      <c r="H108" s="3" t="n">
        <f aca="false">IFERROR(INDEX(LR_TypLabor,MATCH(G108,LR_Key,0)),"")</f>
        <v>500</v>
      </c>
      <c r="I108" s="12" t="n">
        <f aca="false">INDEX(Urg_Mult,MATCH(E108,Urg_Levels,0))</f>
        <v>1.3</v>
      </c>
      <c r="J108" s="3" t="n">
        <f aca="false">IF(ISNUMBER(H108),MAX(H108,IFERROR(INDEX(MW_Floor,MATCH(G108,MW_Key,0)),0))*I108,"")</f>
        <v>650</v>
      </c>
      <c r="K108" s="3" t="n">
        <f aca="false">IF(ISNUMBER(J108),F108+J108,"")</f>
        <v>673</v>
      </c>
      <c r="L108" s="3" t="n">
        <f aca="false">IF(ISNUMBER(H108),MAX(H108,IFERROR(INDEX(MW_Floor,MATCH(G108,MW_Key,0)),0))*I108,"")</f>
        <v>650</v>
      </c>
      <c r="M108" s="2" t="str">
        <f aca="false">IFERROR(INDEX(LR_Flag,MATCH(G108,LR_Key,0)),"")</f>
        <v>none</v>
      </c>
      <c r="N108" s="2" t="str">
        <f aca="false">IFERROR(INDEX(MW_Check,MATCH(G108,MW_Key,0)),"")</f>
        <v>OK</v>
      </c>
      <c r="O108" s="0" t="str">
        <f aca="false">IF(NOT(ISNUMBER(H108)),"LABOR QUOTE NEEDED – total incomplete",IF(N108="BELOW FLOOR","CHECK: typical labor below wage floor – payout and customer labor raised to floor",IF(M108&lt;&gt;"none","Labor rate flagged: "&amp;M108,"OK")))</f>
        <v>OK</v>
      </c>
      <c r="P108" s="0" t="s">
        <v>1140</v>
      </c>
      <c r="Q108" s="8" t="s">
        <v>1141</v>
      </c>
      <c r="R108" s="2" t="str">
        <f aca="false">IF(OR(M108="regulated",COUNTIFS(Tasks_TaskID,A108,Tasks_Tier,D108,Tasks_Review,"base")&gt;0),"PENDING REVIEW – priced, not bookable until human approval",IF(COUNTIFS(Tasks_TaskID,A108,Tasks_Tier,D108,Tasks_Review,"as-needed")&gt;0,"Bookable (re-evaluate if regulated as-needed line selected)","Bookable"))</f>
        <v>Bookable (re-evaluate if regulated as-needed line selected)</v>
      </c>
    </row>
    <row r="109" customFormat="false" ht="15" hidden="false" customHeight="false" outlineLevel="0" collapsed="false">
      <c r="A109" s="2" t="s">
        <v>1136</v>
      </c>
      <c r="B109" s="2" t="s">
        <v>176</v>
      </c>
      <c r="C109" s="2" t="s">
        <v>1137</v>
      </c>
      <c r="D109" s="2" t="s">
        <v>1042</v>
      </c>
      <c r="E109" s="2" t="s">
        <v>1898</v>
      </c>
      <c r="F109" s="3" t="n">
        <f aca="false">INDEX(Sum_Base,MATCH(A109,Sum_BaseTasks,0),MATCH(D109,Sum_BaseTiers,0))</f>
        <v>23</v>
      </c>
      <c r="G109" s="2" t="str">
        <f aca="false">IF(ISNUMBER(MATCH(A109&amp;"|"&amp;D109,LR_Key,0)),A109&amp;"|"&amp;D109,A109&amp;"|All")</f>
        <v>FIXX-ELC-005|All</v>
      </c>
      <c r="H109" s="3" t="n">
        <f aca="false">IFERROR(INDEX(LR_TypLabor,MATCH(G109,LR_Key,0)),"")</f>
        <v>500</v>
      </c>
      <c r="I109" s="12" t="n">
        <f aca="false">INDEX(Urg_Mult,MATCH(E109,Urg_Levels,0))</f>
        <v>1.5</v>
      </c>
      <c r="J109" s="3" t="n">
        <f aca="false">IF(ISNUMBER(H109),MAX(H109,IFERROR(INDEX(MW_Floor,MATCH(G109,MW_Key,0)),0))*I109,"")</f>
        <v>750</v>
      </c>
      <c r="K109" s="3" t="n">
        <f aca="false">IF(ISNUMBER(J109),F109+J109,"")</f>
        <v>773</v>
      </c>
      <c r="L109" s="3" t="n">
        <f aca="false">IF(ISNUMBER(H109),MAX(H109,IFERROR(INDEX(MW_Floor,MATCH(G109,MW_Key,0)),0))*I109,"")</f>
        <v>750</v>
      </c>
      <c r="M109" s="2" t="str">
        <f aca="false">IFERROR(INDEX(LR_Flag,MATCH(G109,LR_Key,0)),"")</f>
        <v>none</v>
      </c>
      <c r="N109" s="2" t="str">
        <f aca="false">IFERROR(INDEX(MW_Check,MATCH(G109,MW_Key,0)),"")</f>
        <v>OK</v>
      </c>
      <c r="O109" s="0" t="str">
        <f aca="false">IF(NOT(ISNUMBER(H109)),"LABOR QUOTE NEEDED – total incomplete",IF(N109="BELOW FLOOR","CHECK: typical labor below wage floor – payout and customer labor raised to floor",IF(M109&lt;&gt;"none","Labor rate flagged: "&amp;M109,"OK")))</f>
        <v>OK</v>
      </c>
      <c r="P109" s="0" t="s">
        <v>1140</v>
      </c>
      <c r="Q109" s="8" t="s">
        <v>1141</v>
      </c>
      <c r="R109" s="2" t="str">
        <f aca="false">IF(OR(M109="regulated",COUNTIFS(Tasks_TaskID,A109,Tasks_Tier,D109,Tasks_Review,"base")&gt;0),"PENDING REVIEW – priced, not bookable until human approval",IF(COUNTIFS(Tasks_TaskID,A109,Tasks_Tier,D109,Tasks_Review,"as-needed")&gt;0,"Bookable (re-evaluate if regulated as-needed line selected)","Bookable"))</f>
        <v>Bookable (re-evaluate if regulated as-needed line selected)</v>
      </c>
    </row>
    <row r="110" customFormat="false" ht="15" hidden="false" customHeight="false" outlineLevel="0" collapsed="false">
      <c r="A110" s="2" t="s">
        <v>1136</v>
      </c>
      <c r="B110" s="2" t="s">
        <v>176</v>
      </c>
      <c r="C110" s="2" t="s">
        <v>1137</v>
      </c>
      <c r="D110" s="2" t="s">
        <v>1049</v>
      </c>
      <c r="E110" s="2" t="s">
        <v>1895</v>
      </c>
      <c r="F110" s="3" t="n">
        <f aca="false">INDEX(Sum_Base,MATCH(A110,Sum_BaseTasks,0),MATCH(D110,Sum_BaseTiers,0))</f>
        <v>23</v>
      </c>
      <c r="G110" s="2" t="str">
        <f aca="false">IF(ISNUMBER(MATCH(A110&amp;"|"&amp;D110,LR_Key,0)),A110&amp;"|"&amp;D110,A110&amp;"|All")</f>
        <v>FIXX-ELC-005|All</v>
      </c>
      <c r="H110" s="3" t="n">
        <f aca="false">IFERROR(INDEX(LR_TypLabor,MATCH(G110,LR_Key,0)),"")</f>
        <v>500</v>
      </c>
      <c r="I110" s="12" t="n">
        <f aca="false">INDEX(Urg_Mult,MATCH(E110,Urg_Levels,0))</f>
        <v>1</v>
      </c>
      <c r="J110" s="3" t="n">
        <f aca="false">IF(ISNUMBER(H110),MAX(H110,IFERROR(INDEX(MW_Floor,MATCH(G110,MW_Key,0)),0))*I110,"")</f>
        <v>500</v>
      </c>
      <c r="K110" s="3" t="n">
        <f aca="false">IF(ISNUMBER(J110),F110+J110,"")</f>
        <v>523</v>
      </c>
      <c r="L110" s="3" t="n">
        <f aca="false">IF(ISNUMBER(H110),MAX(H110,IFERROR(INDEX(MW_Floor,MATCH(G110,MW_Key,0)),0))*I110,"")</f>
        <v>500</v>
      </c>
      <c r="M110" s="2" t="str">
        <f aca="false">IFERROR(INDEX(LR_Flag,MATCH(G110,LR_Key,0)),"")</f>
        <v>none</v>
      </c>
      <c r="N110" s="2" t="str">
        <f aca="false">IFERROR(INDEX(MW_Check,MATCH(G110,MW_Key,0)),"")</f>
        <v>OK</v>
      </c>
      <c r="O110" s="0" t="str">
        <f aca="false">IF(NOT(ISNUMBER(H110)),"LABOR QUOTE NEEDED – total incomplete",IF(N110="BELOW FLOOR","CHECK: typical labor below wage floor – payout and customer labor raised to floor",IF(M110&lt;&gt;"none","Labor rate flagged: "&amp;M110,"OK")))</f>
        <v>OK</v>
      </c>
      <c r="P110" s="0" t="s">
        <v>1140</v>
      </c>
      <c r="Q110" s="8" t="s">
        <v>1141</v>
      </c>
      <c r="R110" s="2" t="str">
        <f aca="false">IF(OR(M110="regulated",COUNTIFS(Tasks_TaskID,A110,Tasks_Tier,D110,Tasks_Review,"base")&gt;0),"PENDING REVIEW – priced, not bookable until human approval",IF(COUNTIFS(Tasks_TaskID,A110,Tasks_Tier,D110,Tasks_Review,"as-needed")&gt;0,"Bookable (re-evaluate if regulated as-needed line selected)","Bookable"))</f>
        <v>Bookable (re-evaluate if regulated as-needed line selected)</v>
      </c>
    </row>
    <row r="111" customFormat="false" ht="15" hidden="false" customHeight="false" outlineLevel="0" collapsed="false">
      <c r="A111" s="2" t="s">
        <v>1136</v>
      </c>
      <c r="B111" s="2" t="s">
        <v>176</v>
      </c>
      <c r="C111" s="2" t="s">
        <v>1137</v>
      </c>
      <c r="D111" s="2" t="s">
        <v>1049</v>
      </c>
      <c r="E111" s="2" t="s">
        <v>1896</v>
      </c>
      <c r="F111" s="3" t="n">
        <f aca="false">INDEX(Sum_Base,MATCH(A111,Sum_BaseTasks,0),MATCH(D111,Sum_BaseTiers,0))</f>
        <v>23</v>
      </c>
      <c r="G111" s="2" t="str">
        <f aca="false">IF(ISNUMBER(MATCH(A111&amp;"|"&amp;D111,LR_Key,0)),A111&amp;"|"&amp;D111,A111&amp;"|All")</f>
        <v>FIXX-ELC-005|All</v>
      </c>
      <c r="H111" s="3" t="n">
        <f aca="false">IFERROR(INDEX(LR_TypLabor,MATCH(G111,LR_Key,0)),"")</f>
        <v>500</v>
      </c>
      <c r="I111" s="12" t="n">
        <f aca="false">INDEX(Urg_Mult,MATCH(E111,Urg_Levels,0))</f>
        <v>1.15</v>
      </c>
      <c r="J111" s="3" t="n">
        <f aca="false">IF(ISNUMBER(H111),MAX(H111,IFERROR(INDEX(MW_Floor,MATCH(G111,MW_Key,0)),0))*I111,"")</f>
        <v>575</v>
      </c>
      <c r="K111" s="3" t="n">
        <f aca="false">IF(ISNUMBER(J111),F111+J111,"")</f>
        <v>598</v>
      </c>
      <c r="L111" s="3" t="n">
        <f aca="false">IF(ISNUMBER(H111),MAX(H111,IFERROR(INDEX(MW_Floor,MATCH(G111,MW_Key,0)),0))*I111,"")</f>
        <v>575</v>
      </c>
      <c r="M111" s="2" t="str">
        <f aca="false">IFERROR(INDEX(LR_Flag,MATCH(G111,LR_Key,0)),"")</f>
        <v>none</v>
      </c>
      <c r="N111" s="2" t="str">
        <f aca="false">IFERROR(INDEX(MW_Check,MATCH(G111,MW_Key,0)),"")</f>
        <v>OK</v>
      </c>
      <c r="O111" s="0" t="str">
        <f aca="false">IF(NOT(ISNUMBER(H111)),"LABOR QUOTE NEEDED – total incomplete",IF(N111="BELOW FLOOR","CHECK: typical labor below wage floor – payout and customer labor raised to floor",IF(M111&lt;&gt;"none","Labor rate flagged: "&amp;M111,"OK")))</f>
        <v>OK</v>
      </c>
      <c r="P111" s="0" t="s">
        <v>1140</v>
      </c>
      <c r="Q111" s="8" t="s">
        <v>1141</v>
      </c>
      <c r="R111" s="2" t="str">
        <f aca="false">IF(OR(M111="regulated",COUNTIFS(Tasks_TaskID,A111,Tasks_Tier,D111,Tasks_Review,"base")&gt;0),"PENDING REVIEW – priced, not bookable until human approval",IF(COUNTIFS(Tasks_TaskID,A111,Tasks_Tier,D111,Tasks_Review,"as-needed")&gt;0,"Bookable (re-evaluate if regulated as-needed line selected)","Bookable"))</f>
        <v>Bookable (re-evaluate if regulated as-needed line selected)</v>
      </c>
    </row>
    <row r="112" customFormat="false" ht="15" hidden="false" customHeight="false" outlineLevel="0" collapsed="false">
      <c r="A112" s="2" t="s">
        <v>1136</v>
      </c>
      <c r="B112" s="2" t="s">
        <v>176</v>
      </c>
      <c r="C112" s="2" t="s">
        <v>1137</v>
      </c>
      <c r="D112" s="2" t="s">
        <v>1049</v>
      </c>
      <c r="E112" s="2" t="s">
        <v>1897</v>
      </c>
      <c r="F112" s="3" t="n">
        <f aca="false">INDEX(Sum_Base,MATCH(A112,Sum_BaseTasks,0),MATCH(D112,Sum_BaseTiers,0))</f>
        <v>23</v>
      </c>
      <c r="G112" s="2" t="str">
        <f aca="false">IF(ISNUMBER(MATCH(A112&amp;"|"&amp;D112,LR_Key,0)),A112&amp;"|"&amp;D112,A112&amp;"|All")</f>
        <v>FIXX-ELC-005|All</v>
      </c>
      <c r="H112" s="3" t="n">
        <f aca="false">IFERROR(INDEX(LR_TypLabor,MATCH(G112,LR_Key,0)),"")</f>
        <v>500</v>
      </c>
      <c r="I112" s="12" t="n">
        <f aca="false">INDEX(Urg_Mult,MATCH(E112,Urg_Levels,0))</f>
        <v>1.3</v>
      </c>
      <c r="J112" s="3" t="n">
        <f aca="false">IF(ISNUMBER(H112),MAX(H112,IFERROR(INDEX(MW_Floor,MATCH(G112,MW_Key,0)),0))*I112,"")</f>
        <v>650</v>
      </c>
      <c r="K112" s="3" t="n">
        <f aca="false">IF(ISNUMBER(J112),F112+J112,"")</f>
        <v>673</v>
      </c>
      <c r="L112" s="3" t="n">
        <f aca="false">IF(ISNUMBER(H112),MAX(H112,IFERROR(INDEX(MW_Floor,MATCH(G112,MW_Key,0)),0))*I112,"")</f>
        <v>650</v>
      </c>
      <c r="M112" s="2" t="str">
        <f aca="false">IFERROR(INDEX(LR_Flag,MATCH(G112,LR_Key,0)),"")</f>
        <v>none</v>
      </c>
      <c r="N112" s="2" t="str">
        <f aca="false">IFERROR(INDEX(MW_Check,MATCH(G112,MW_Key,0)),"")</f>
        <v>OK</v>
      </c>
      <c r="O112" s="0" t="str">
        <f aca="false">IF(NOT(ISNUMBER(H112)),"LABOR QUOTE NEEDED – total incomplete",IF(N112="BELOW FLOOR","CHECK: typical labor below wage floor – payout and customer labor raised to floor",IF(M112&lt;&gt;"none","Labor rate flagged: "&amp;M112,"OK")))</f>
        <v>OK</v>
      </c>
      <c r="P112" s="0" t="s">
        <v>1140</v>
      </c>
      <c r="Q112" s="8" t="s">
        <v>1141</v>
      </c>
      <c r="R112" s="2" t="str">
        <f aca="false">IF(OR(M112="regulated",COUNTIFS(Tasks_TaskID,A112,Tasks_Tier,D112,Tasks_Review,"base")&gt;0),"PENDING REVIEW – priced, not bookable until human approval",IF(COUNTIFS(Tasks_TaskID,A112,Tasks_Tier,D112,Tasks_Review,"as-needed")&gt;0,"Bookable (re-evaluate if regulated as-needed line selected)","Bookable"))</f>
        <v>Bookable (re-evaluate if regulated as-needed line selected)</v>
      </c>
    </row>
    <row r="113" customFormat="false" ht="15" hidden="false" customHeight="false" outlineLevel="0" collapsed="false">
      <c r="A113" s="2" t="s">
        <v>1136</v>
      </c>
      <c r="B113" s="2" t="s">
        <v>176</v>
      </c>
      <c r="C113" s="2" t="s">
        <v>1137</v>
      </c>
      <c r="D113" s="2" t="s">
        <v>1049</v>
      </c>
      <c r="E113" s="2" t="s">
        <v>1898</v>
      </c>
      <c r="F113" s="3" t="n">
        <f aca="false">INDEX(Sum_Base,MATCH(A113,Sum_BaseTasks,0),MATCH(D113,Sum_BaseTiers,0))</f>
        <v>23</v>
      </c>
      <c r="G113" s="2" t="str">
        <f aca="false">IF(ISNUMBER(MATCH(A113&amp;"|"&amp;D113,LR_Key,0)),A113&amp;"|"&amp;D113,A113&amp;"|All")</f>
        <v>FIXX-ELC-005|All</v>
      </c>
      <c r="H113" s="3" t="n">
        <f aca="false">IFERROR(INDEX(LR_TypLabor,MATCH(G113,LR_Key,0)),"")</f>
        <v>500</v>
      </c>
      <c r="I113" s="12" t="n">
        <f aca="false">INDEX(Urg_Mult,MATCH(E113,Urg_Levels,0))</f>
        <v>1.5</v>
      </c>
      <c r="J113" s="3" t="n">
        <f aca="false">IF(ISNUMBER(H113),MAX(H113,IFERROR(INDEX(MW_Floor,MATCH(G113,MW_Key,0)),0))*I113,"")</f>
        <v>750</v>
      </c>
      <c r="K113" s="3" t="n">
        <f aca="false">IF(ISNUMBER(J113),F113+J113,"")</f>
        <v>773</v>
      </c>
      <c r="L113" s="3" t="n">
        <f aca="false">IF(ISNUMBER(H113),MAX(H113,IFERROR(INDEX(MW_Floor,MATCH(G113,MW_Key,0)),0))*I113,"")</f>
        <v>750</v>
      </c>
      <c r="M113" s="2" t="str">
        <f aca="false">IFERROR(INDEX(LR_Flag,MATCH(G113,LR_Key,0)),"")</f>
        <v>none</v>
      </c>
      <c r="N113" s="2" t="str">
        <f aca="false">IFERROR(INDEX(MW_Check,MATCH(G113,MW_Key,0)),"")</f>
        <v>OK</v>
      </c>
      <c r="O113" s="0" t="str">
        <f aca="false">IF(NOT(ISNUMBER(H113)),"LABOR QUOTE NEEDED – total incomplete",IF(N113="BELOW FLOOR","CHECK: typical labor below wage floor – payout and customer labor raised to floor",IF(M113&lt;&gt;"none","Labor rate flagged: "&amp;M113,"OK")))</f>
        <v>OK</v>
      </c>
      <c r="P113" s="0" t="s">
        <v>1140</v>
      </c>
      <c r="Q113" s="8" t="s">
        <v>1141</v>
      </c>
      <c r="R113" s="2" t="str">
        <f aca="false">IF(OR(M113="regulated",COUNTIFS(Tasks_TaskID,A113,Tasks_Tier,D113,Tasks_Review,"base")&gt;0),"PENDING REVIEW – priced, not bookable until human approval",IF(COUNTIFS(Tasks_TaskID,A113,Tasks_Tier,D113,Tasks_Review,"as-needed")&gt;0,"Bookable (re-evaluate if regulated as-needed line selected)","Bookable"))</f>
        <v>Bookable (re-evaluate if regulated as-needed line selected)</v>
      </c>
    </row>
    <row r="114" customFormat="false" ht="15" hidden="false" customHeight="false" outlineLevel="0" collapsed="false">
      <c r="A114" s="2" t="s">
        <v>1136</v>
      </c>
      <c r="B114" s="2" t="s">
        <v>176</v>
      </c>
      <c r="C114" s="2" t="s">
        <v>1137</v>
      </c>
      <c r="D114" s="2" t="s">
        <v>1051</v>
      </c>
      <c r="E114" s="2" t="s">
        <v>1895</v>
      </c>
      <c r="F114" s="3" t="n">
        <f aca="false">INDEX(Sum_Base,MATCH(A114,Sum_BaseTasks,0),MATCH(D114,Sum_BaseTiers,0))</f>
        <v>23</v>
      </c>
      <c r="G114" s="2" t="str">
        <f aca="false">IF(ISNUMBER(MATCH(A114&amp;"|"&amp;D114,LR_Key,0)),A114&amp;"|"&amp;D114,A114&amp;"|All")</f>
        <v>FIXX-ELC-005|All</v>
      </c>
      <c r="H114" s="3" t="n">
        <f aca="false">IFERROR(INDEX(LR_TypLabor,MATCH(G114,LR_Key,0)),"")</f>
        <v>500</v>
      </c>
      <c r="I114" s="12" t="n">
        <f aca="false">INDEX(Urg_Mult,MATCH(E114,Urg_Levels,0))</f>
        <v>1</v>
      </c>
      <c r="J114" s="3" t="n">
        <f aca="false">IF(ISNUMBER(H114),MAX(H114,IFERROR(INDEX(MW_Floor,MATCH(G114,MW_Key,0)),0))*I114,"")</f>
        <v>500</v>
      </c>
      <c r="K114" s="3" t="n">
        <f aca="false">IF(ISNUMBER(J114),F114+J114,"")</f>
        <v>523</v>
      </c>
      <c r="L114" s="3" t="n">
        <f aca="false">IF(ISNUMBER(H114),MAX(H114,IFERROR(INDEX(MW_Floor,MATCH(G114,MW_Key,0)),0))*I114,"")</f>
        <v>500</v>
      </c>
      <c r="M114" s="2" t="str">
        <f aca="false">IFERROR(INDEX(LR_Flag,MATCH(G114,LR_Key,0)),"")</f>
        <v>none</v>
      </c>
      <c r="N114" s="2" t="str">
        <f aca="false">IFERROR(INDEX(MW_Check,MATCH(G114,MW_Key,0)),"")</f>
        <v>OK</v>
      </c>
      <c r="O114" s="0" t="str">
        <f aca="false">IF(NOT(ISNUMBER(H114)),"LABOR QUOTE NEEDED – total incomplete",IF(N114="BELOW FLOOR","CHECK: typical labor below wage floor – payout and customer labor raised to floor",IF(M114&lt;&gt;"none","Labor rate flagged: "&amp;M114,"OK")))</f>
        <v>OK</v>
      </c>
      <c r="P114" s="0" t="s">
        <v>1140</v>
      </c>
      <c r="Q114" s="8" t="s">
        <v>1141</v>
      </c>
      <c r="R114" s="2" t="str">
        <f aca="false">IF(OR(M114="regulated",COUNTIFS(Tasks_TaskID,A114,Tasks_Tier,D114,Tasks_Review,"base")&gt;0),"PENDING REVIEW – priced, not bookable until human approval",IF(COUNTIFS(Tasks_TaskID,A114,Tasks_Tier,D114,Tasks_Review,"as-needed")&gt;0,"Bookable (re-evaluate if regulated as-needed line selected)","Bookable"))</f>
        <v>Bookable (re-evaluate if regulated as-needed line selected)</v>
      </c>
    </row>
    <row r="115" customFormat="false" ht="15" hidden="false" customHeight="false" outlineLevel="0" collapsed="false">
      <c r="A115" s="2" t="s">
        <v>1136</v>
      </c>
      <c r="B115" s="2" t="s">
        <v>176</v>
      </c>
      <c r="C115" s="2" t="s">
        <v>1137</v>
      </c>
      <c r="D115" s="2" t="s">
        <v>1051</v>
      </c>
      <c r="E115" s="2" t="s">
        <v>1896</v>
      </c>
      <c r="F115" s="3" t="n">
        <f aca="false">INDEX(Sum_Base,MATCH(A115,Sum_BaseTasks,0),MATCH(D115,Sum_BaseTiers,0))</f>
        <v>23</v>
      </c>
      <c r="G115" s="2" t="str">
        <f aca="false">IF(ISNUMBER(MATCH(A115&amp;"|"&amp;D115,LR_Key,0)),A115&amp;"|"&amp;D115,A115&amp;"|All")</f>
        <v>FIXX-ELC-005|All</v>
      </c>
      <c r="H115" s="3" t="n">
        <f aca="false">IFERROR(INDEX(LR_TypLabor,MATCH(G115,LR_Key,0)),"")</f>
        <v>500</v>
      </c>
      <c r="I115" s="12" t="n">
        <f aca="false">INDEX(Urg_Mult,MATCH(E115,Urg_Levels,0))</f>
        <v>1.15</v>
      </c>
      <c r="J115" s="3" t="n">
        <f aca="false">IF(ISNUMBER(H115),MAX(H115,IFERROR(INDEX(MW_Floor,MATCH(G115,MW_Key,0)),0))*I115,"")</f>
        <v>575</v>
      </c>
      <c r="K115" s="3" t="n">
        <f aca="false">IF(ISNUMBER(J115),F115+J115,"")</f>
        <v>598</v>
      </c>
      <c r="L115" s="3" t="n">
        <f aca="false">IF(ISNUMBER(H115),MAX(H115,IFERROR(INDEX(MW_Floor,MATCH(G115,MW_Key,0)),0))*I115,"")</f>
        <v>575</v>
      </c>
      <c r="M115" s="2" t="str">
        <f aca="false">IFERROR(INDEX(LR_Flag,MATCH(G115,LR_Key,0)),"")</f>
        <v>none</v>
      </c>
      <c r="N115" s="2" t="str">
        <f aca="false">IFERROR(INDEX(MW_Check,MATCH(G115,MW_Key,0)),"")</f>
        <v>OK</v>
      </c>
      <c r="O115" s="0" t="str">
        <f aca="false">IF(NOT(ISNUMBER(H115)),"LABOR QUOTE NEEDED – total incomplete",IF(N115="BELOW FLOOR","CHECK: typical labor below wage floor – payout and customer labor raised to floor",IF(M115&lt;&gt;"none","Labor rate flagged: "&amp;M115,"OK")))</f>
        <v>OK</v>
      </c>
      <c r="P115" s="0" t="s">
        <v>1140</v>
      </c>
      <c r="Q115" s="8" t="s">
        <v>1141</v>
      </c>
      <c r="R115" s="2" t="str">
        <f aca="false">IF(OR(M115="regulated",COUNTIFS(Tasks_TaskID,A115,Tasks_Tier,D115,Tasks_Review,"base")&gt;0),"PENDING REVIEW – priced, not bookable until human approval",IF(COUNTIFS(Tasks_TaskID,A115,Tasks_Tier,D115,Tasks_Review,"as-needed")&gt;0,"Bookable (re-evaluate if regulated as-needed line selected)","Bookable"))</f>
        <v>Bookable (re-evaluate if regulated as-needed line selected)</v>
      </c>
    </row>
    <row r="116" customFormat="false" ht="15" hidden="false" customHeight="false" outlineLevel="0" collapsed="false">
      <c r="A116" s="2" t="s">
        <v>1136</v>
      </c>
      <c r="B116" s="2" t="s">
        <v>176</v>
      </c>
      <c r="C116" s="2" t="s">
        <v>1137</v>
      </c>
      <c r="D116" s="2" t="s">
        <v>1051</v>
      </c>
      <c r="E116" s="2" t="s">
        <v>1897</v>
      </c>
      <c r="F116" s="3" t="n">
        <f aca="false">INDEX(Sum_Base,MATCH(A116,Sum_BaseTasks,0),MATCH(D116,Sum_BaseTiers,0))</f>
        <v>23</v>
      </c>
      <c r="G116" s="2" t="str">
        <f aca="false">IF(ISNUMBER(MATCH(A116&amp;"|"&amp;D116,LR_Key,0)),A116&amp;"|"&amp;D116,A116&amp;"|All")</f>
        <v>FIXX-ELC-005|All</v>
      </c>
      <c r="H116" s="3" t="n">
        <f aca="false">IFERROR(INDEX(LR_TypLabor,MATCH(G116,LR_Key,0)),"")</f>
        <v>500</v>
      </c>
      <c r="I116" s="12" t="n">
        <f aca="false">INDEX(Urg_Mult,MATCH(E116,Urg_Levels,0))</f>
        <v>1.3</v>
      </c>
      <c r="J116" s="3" t="n">
        <f aca="false">IF(ISNUMBER(H116),MAX(H116,IFERROR(INDEX(MW_Floor,MATCH(G116,MW_Key,0)),0))*I116,"")</f>
        <v>650</v>
      </c>
      <c r="K116" s="3" t="n">
        <f aca="false">IF(ISNUMBER(J116),F116+J116,"")</f>
        <v>673</v>
      </c>
      <c r="L116" s="3" t="n">
        <f aca="false">IF(ISNUMBER(H116),MAX(H116,IFERROR(INDEX(MW_Floor,MATCH(G116,MW_Key,0)),0))*I116,"")</f>
        <v>650</v>
      </c>
      <c r="M116" s="2" t="str">
        <f aca="false">IFERROR(INDEX(LR_Flag,MATCH(G116,LR_Key,0)),"")</f>
        <v>none</v>
      </c>
      <c r="N116" s="2" t="str">
        <f aca="false">IFERROR(INDEX(MW_Check,MATCH(G116,MW_Key,0)),"")</f>
        <v>OK</v>
      </c>
      <c r="O116" s="0" t="str">
        <f aca="false">IF(NOT(ISNUMBER(H116)),"LABOR QUOTE NEEDED – total incomplete",IF(N116="BELOW FLOOR","CHECK: typical labor below wage floor – payout and customer labor raised to floor",IF(M116&lt;&gt;"none","Labor rate flagged: "&amp;M116,"OK")))</f>
        <v>OK</v>
      </c>
      <c r="P116" s="0" t="s">
        <v>1140</v>
      </c>
      <c r="Q116" s="8" t="s">
        <v>1141</v>
      </c>
      <c r="R116" s="2" t="str">
        <f aca="false">IF(OR(M116="regulated",COUNTIFS(Tasks_TaskID,A116,Tasks_Tier,D116,Tasks_Review,"base")&gt;0),"PENDING REVIEW – priced, not bookable until human approval",IF(COUNTIFS(Tasks_TaskID,A116,Tasks_Tier,D116,Tasks_Review,"as-needed")&gt;0,"Bookable (re-evaluate if regulated as-needed line selected)","Bookable"))</f>
        <v>Bookable (re-evaluate if regulated as-needed line selected)</v>
      </c>
    </row>
    <row r="117" customFormat="false" ht="15" hidden="false" customHeight="false" outlineLevel="0" collapsed="false">
      <c r="A117" s="2" t="s">
        <v>1136</v>
      </c>
      <c r="B117" s="2" t="s">
        <v>176</v>
      </c>
      <c r="C117" s="2" t="s">
        <v>1137</v>
      </c>
      <c r="D117" s="2" t="s">
        <v>1051</v>
      </c>
      <c r="E117" s="2" t="s">
        <v>1898</v>
      </c>
      <c r="F117" s="3" t="n">
        <f aca="false">INDEX(Sum_Base,MATCH(A117,Sum_BaseTasks,0),MATCH(D117,Sum_BaseTiers,0))</f>
        <v>23</v>
      </c>
      <c r="G117" s="2" t="str">
        <f aca="false">IF(ISNUMBER(MATCH(A117&amp;"|"&amp;D117,LR_Key,0)),A117&amp;"|"&amp;D117,A117&amp;"|All")</f>
        <v>FIXX-ELC-005|All</v>
      </c>
      <c r="H117" s="3" t="n">
        <f aca="false">IFERROR(INDEX(LR_TypLabor,MATCH(G117,LR_Key,0)),"")</f>
        <v>500</v>
      </c>
      <c r="I117" s="12" t="n">
        <f aca="false">INDEX(Urg_Mult,MATCH(E117,Urg_Levels,0))</f>
        <v>1.5</v>
      </c>
      <c r="J117" s="3" t="n">
        <f aca="false">IF(ISNUMBER(H117),MAX(H117,IFERROR(INDEX(MW_Floor,MATCH(G117,MW_Key,0)),0))*I117,"")</f>
        <v>750</v>
      </c>
      <c r="K117" s="3" t="n">
        <f aca="false">IF(ISNUMBER(J117),F117+J117,"")</f>
        <v>773</v>
      </c>
      <c r="L117" s="3" t="n">
        <f aca="false">IF(ISNUMBER(H117),MAX(H117,IFERROR(INDEX(MW_Floor,MATCH(G117,MW_Key,0)),0))*I117,"")</f>
        <v>750</v>
      </c>
      <c r="M117" s="2" t="str">
        <f aca="false">IFERROR(INDEX(LR_Flag,MATCH(G117,LR_Key,0)),"")</f>
        <v>none</v>
      </c>
      <c r="N117" s="2" t="str">
        <f aca="false">IFERROR(INDEX(MW_Check,MATCH(G117,MW_Key,0)),"")</f>
        <v>OK</v>
      </c>
      <c r="O117" s="0" t="str">
        <f aca="false">IF(NOT(ISNUMBER(H117)),"LABOR QUOTE NEEDED – total incomplete",IF(N117="BELOW FLOOR","CHECK: typical labor below wage floor – payout and customer labor raised to floor",IF(M117&lt;&gt;"none","Labor rate flagged: "&amp;M117,"OK")))</f>
        <v>OK</v>
      </c>
      <c r="P117" s="0" t="s">
        <v>1140</v>
      </c>
      <c r="Q117" s="8" t="s">
        <v>1141</v>
      </c>
      <c r="R117" s="2" t="str">
        <f aca="false">IF(OR(M117="regulated",COUNTIFS(Tasks_TaskID,A117,Tasks_Tier,D117,Tasks_Review,"base")&gt;0),"PENDING REVIEW – priced, not bookable until human approval",IF(COUNTIFS(Tasks_TaskID,A117,Tasks_Tier,D117,Tasks_Review,"as-needed")&gt;0,"Bookable (re-evaluate if regulated as-needed line selected)","Bookable"))</f>
        <v>Bookable (re-evaluate if regulated as-needed line selected)</v>
      </c>
    </row>
    <row r="118" customFormat="false" ht="17.15" hidden="false" customHeight="false" outlineLevel="0" collapsed="false">
      <c r="A118" s="2" t="s">
        <v>1151</v>
      </c>
      <c r="B118" s="2" t="s">
        <v>176</v>
      </c>
      <c r="C118" s="2" t="s">
        <v>1152</v>
      </c>
      <c r="D118" s="2" t="s">
        <v>1055</v>
      </c>
      <c r="E118" s="2" t="s">
        <v>1895</v>
      </c>
      <c r="F118" s="3" t="n">
        <f aca="false">INDEX(Sum_Base,MATCH(A118,Sum_BaseTasks,0),MATCH(D118,Sum_BaseTiers,0))</f>
        <v>839.7</v>
      </c>
      <c r="G118" s="2" t="str">
        <f aca="false">IF(ISNUMBER(MATCH(A118&amp;"|"&amp;D118,LR_Key,0)),A118&amp;"|"&amp;D118,A118&amp;"|All")</f>
        <v>FIXX-ELC-004|All</v>
      </c>
      <c r="H118" s="3" t="n">
        <f aca="false">IFERROR(INDEX(LR_TypLabor,MATCH(G118,LR_Key,0)),"")</f>
        <v>900</v>
      </c>
      <c r="I118" s="12" t="n">
        <f aca="false">INDEX(Urg_Mult,MATCH(E118,Urg_Levels,0))</f>
        <v>1</v>
      </c>
      <c r="J118" s="3" t="n">
        <f aca="false">IF(ISNUMBER(H118),MAX(H118,IFERROR(INDEX(MW_Floor,MATCH(G118,MW_Key,0)),0))*I118,"")</f>
        <v>900</v>
      </c>
      <c r="K118" s="3" t="n">
        <f aca="false">IF(ISNUMBER(J118),F118+J118,"")</f>
        <v>1739.7</v>
      </c>
      <c r="L118" s="3" t="n">
        <f aca="false">IF(ISNUMBER(H118),MAX(H118,IFERROR(INDEX(MW_Floor,MATCH(G118,MW_Key,0)),0))*I118,"")</f>
        <v>900</v>
      </c>
      <c r="M118" s="2" t="str">
        <f aca="false">IFERROR(INDEX(LR_Flag,MATCH(G118,LR_Key,0)),"")</f>
        <v>none</v>
      </c>
      <c r="N118" s="2" t="str">
        <f aca="false">IFERROR(INDEX(MW_Check,MATCH(G118,MW_Key,0)),"")</f>
        <v>OK</v>
      </c>
      <c r="O118" s="0" t="str">
        <f aca="false">IF(NOT(ISNUMBER(H118)),"LABOR QUOTE NEEDED – total incomplete",IF(N118="BELOW FLOOR","CHECK: typical labor below wage floor – payout and customer labor raised to floor",IF(M118&lt;&gt;"none","Labor rate flagged: "&amp;M118,"OK")))</f>
        <v>OK</v>
      </c>
      <c r="P118" s="0" t="s">
        <v>1155</v>
      </c>
      <c r="Q118" s="8" t="s">
        <v>1156</v>
      </c>
      <c r="R118" s="2" t="str">
        <f aca="false">IF(OR(M118="regulated",COUNTIFS(Tasks_TaskID,A118,Tasks_Tier,D118,Tasks_Review,"base")&gt;0),"PENDING REVIEW – priced, not bookable until human approval",IF(COUNTIFS(Tasks_TaskID,A118,Tasks_Tier,D118,Tasks_Review,"as-needed")&gt;0,"Bookable (re-evaluate if regulated as-needed line selected)","Bookable"))</f>
        <v>PENDING REVIEW – priced, not bookable until human approval</v>
      </c>
    </row>
    <row r="119" customFormat="false" ht="17.15" hidden="false" customHeight="false" outlineLevel="0" collapsed="false">
      <c r="A119" s="2" t="s">
        <v>1151</v>
      </c>
      <c r="B119" s="2" t="s">
        <v>176</v>
      </c>
      <c r="C119" s="2" t="s">
        <v>1152</v>
      </c>
      <c r="D119" s="2" t="s">
        <v>1055</v>
      </c>
      <c r="E119" s="2" t="s">
        <v>1896</v>
      </c>
      <c r="F119" s="3" t="n">
        <f aca="false">INDEX(Sum_Base,MATCH(A119,Sum_BaseTasks,0),MATCH(D119,Sum_BaseTiers,0))</f>
        <v>839.7</v>
      </c>
      <c r="G119" s="2" t="str">
        <f aca="false">IF(ISNUMBER(MATCH(A119&amp;"|"&amp;D119,LR_Key,0)),A119&amp;"|"&amp;D119,A119&amp;"|All")</f>
        <v>FIXX-ELC-004|All</v>
      </c>
      <c r="H119" s="3" t="n">
        <f aca="false">IFERROR(INDEX(LR_TypLabor,MATCH(G119,LR_Key,0)),"")</f>
        <v>900</v>
      </c>
      <c r="I119" s="12" t="n">
        <f aca="false">INDEX(Urg_Mult,MATCH(E119,Urg_Levels,0))</f>
        <v>1.15</v>
      </c>
      <c r="J119" s="3" t="n">
        <f aca="false">IF(ISNUMBER(H119),MAX(H119,IFERROR(INDEX(MW_Floor,MATCH(G119,MW_Key,0)),0))*I119,"")</f>
        <v>1035</v>
      </c>
      <c r="K119" s="3" t="n">
        <f aca="false">IF(ISNUMBER(J119),F119+J119,"")</f>
        <v>1874.7</v>
      </c>
      <c r="L119" s="3" t="n">
        <f aca="false">IF(ISNUMBER(H119),MAX(H119,IFERROR(INDEX(MW_Floor,MATCH(G119,MW_Key,0)),0))*I119,"")</f>
        <v>1035</v>
      </c>
      <c r="M119" s="2" t="str">
        <f aca="false">IFERROR(INDEX(LR_Flag,MATCH(G119,LR_Key,0)),"")</f>
        <v>none</v>
      </c>
      <c r="N119" s="2" t="str">
        <f aca="false">IFERROR(INDEX(MW_Check,MATCH(G119,MW_Key,0)),"")</f>
        <v>OK</v>
      </c>
      <c r="O119" s="0" t="str">
        <f aca="false">IF(NOT(ISNUMBER(H119)),"LABOR QUOTE NEEDED – total incomplete",IF(N119="BELOW FLOOR","CHECK: typical labor below wage floor – payout and customer labor raised to floor",IF(M119&lt;&gt;"none","Labor rate flagged: "&amp;M119,"OK")))</f>
        <v>OK</v>
      </c>
      <c r="P119" s="0" t="s">
        <v>1155</v>
      </c>
      <c r="Q119" s="8" t="s">
        <v>1156</v>
      </c>
      <c r="R119" s="2" t="str">
        <f aca="false">IF(OR(M119="regulated",COUNTIFS(Tasks_TaskID,A119,Tasks_Tier,D119,Tasks_Review,"base")&gt;0),"PENDING REVIEW – priced, not bookable until human approval",IF(COUNTIFS(Tasks_TaskID,A119,Tasks_Tier,D119,Tasks_Review,"as-needed")&gt;0,"Bookable (re-evaluate if regulated as-needed line selected)","Bookable"))</f>
        <v>PENDING REVIEW – priced, not bookable until human approval</v>
      </c>
    </row>
    <row r="120" customFormat="false" ht="17.15" hidden="false" customHeight="false" outlineLevel="0" collapsed="false">
      <c r="A120" s="2" t="s">
        <v>1151</v>
      </c>
      <c r="B120" s="2" t="s">
        <v>176</v>
      </c>
      <c r="C120" s="2" t="s">
        <v>1152</v>
      </c>
      <c r="D120" s="2" t="s">
        <v>1055</v>
      </c>
      <c r="E120" s="2" t="s">
        <v>1897</v>
      </c>
      <c r="F120" s="3" t="n">
        <f aca="false">INDEX(Sum_Base,MATCH(A120,Sum_BaseTasks,0),MATCH(D120,Sum_BaseTiers,0))</f>
        <v>839.7</v>
      </c>
      <c r="G120" s="2" t="str">
        <f aca="false">IF(ISNUMBER(MATCH(A120&amp;"|"&amp;D120,LR_Key,0)),A120&amp;"|"&amp;D120,A120&amp;"|All")</f>
        <v>FIXX-ELC-004|All</v>
      </c>
      <c r="H120" s="3" t="n">
        <f aca="false">IFERROR(INDEX(LR_TypLabor,MATCH(G120,LR_Key,0)),"")</f>
        <v>900</v>
      </c>
      <c r="I120" s="12" t="n">
        <f aca="false">INDEX(Urg_Mult,MATCH(E120,Urg_Levels,0))</f>
        <v>1.3</v>
      </c>
      <c r="J120" s="3" t="n">
        <f aca="false">IF(ISNUMBER(H120),MAX(H120,IFERROR(INDEX(MW_Floor,MATCH(G120,MW_Key,0)),0))*I120,"")</f>
        <v>1170</v>
      </c>
      <c r="K120" s="3" t="n">
        <f aca="false">IF(ISNUMBER(J120),F120+J120,"")</f>
        <v>2009.7</v>
      </c>
      <c r="L120" s="3" t="n">
        <f aca="false">IF(ISNUMBER(H120),MAX(H120,IFERROR(INDEX(MW_Floor,MATCH(G120,MW_Key,0)),0))*I120,"")</f>
        <v>1170</v>
      </c>
      <c r="M120" s="2" t="str">
        <f aca="false">IFERROR(INDEX(LR_Flag,MATCH(G120,LR_Key,0)),"")</f>
        <v>none</v>
      </c>
      <c r="N120" s="2" t="str">
        <f aca="false">IFERROR(INDEX(MW_Check,MATCH(G120,MW_Key,0)),"")</f>
        <v>OK</v>
      </c>
      <c r="O120" s="0" t="str">
        <f aca="false">IF(NOT(ISNUMBER(H120)),"LABOR QUOTE NEEDED – total incomplete",IF(N120="BELOW FLOOR","CHECK: typical labor below wage floor – payout and customer labor raised to floor",IF(M120&lt;&gt;"none","Labor rate flagged: "&amp;M120,"OK")))</f>
        <v>OK</v>
      </c>
      <c r="P120" s="0" t="s">
        <v>1155</v>
      </c>
      <c r="Q120" s="8" t="s">
        <v>1156</v>
      </c>
      <c r="R120" s="2" t="str">
        <f aca="false">IF(OR(M120="regulated",COUNTIFS(Tasks_TaskID,A120,Tasks_Tier,D120,Tasks_Review,"base")&gt;0),"PENDING REVIEW – priced, not bookable until human approval",IF(COUNTIFS(Tasks_TaskID,A120,Tasks_Tier,D120,Tasks_Review,"as-needed")&gt;0,"Bookable (re-evaluate if regulated as-needed line selected)","Bookable"))</f>
        <v>PENDING REVIEW – priced, not bookable until human approval</v>
      </c>
    </row>
    <row r="121" customFormat="false" ht="17.15" hidden="false" customHeight="false" outlineLevel="0" collapsed="false">
      <c r="A121" s="2" t="s">
        <v>1151</v>
      </c>
      <c r="B121" s="2" t="s">
        <v>176</v>
      </c>
      <c r="C121" s="2" t="s">
        <v>1152</v>
      </c>
      <c r="D121" s="2" t="s">
        <v>1055</v>
      </c>
      <c r="E121" s="2" t="s">
        <v>1898</v>
      </c>
      <c r="F121" s="3" t="n">
        <f aca="false">INDEX(Sum_Base,MATCH(A121,Sum_BaseTasks,0),MATCH(D121,Sum_BaseTiers,0))</f>
        <v>839.7</v>
      </c>
      <c r="G121" s="2" t="str">
        <f aca="false">IF(ISNUMBER(MATCH(A121&amp;"|"&amp;D121,LR_Key,0)),A121&amp;"|"&amp;D121,A121&amp;"|All")</f>
        <v>FIXX-ELC-004|All</v>
      </c>
      <c r="H121" s="3" t="n">
        <f aca="false">IFERROR(INDEX(LR_TypLabor,MATCH(G121,LR_Key,0)),"")</f>
        <v>900</v>
      </c>
      <c r="I121" s="12" t="n">
        <f aca="false">INDEX(Urg_Mult,MATCH(E121,Urg_Levels,0))</f>
        <v>1.5</v>
      </c>
      <c r="J121" s="3" t="n">
        <f aca="false">IF(ISNUMBER(H121),MAX(H121,IFERROR(INDEX(MW_Floor,MATCH(G121,MW_Key,0)),0))*I121,"")</f>
        <v>1350</v>
      </c>
      <c r="K121" s="3" t="n">
        <f aca="false">IF(ISNUMBER(J121),F121+J121,"")</f>
        <v>2189.7</v>
      </c>
      <c r="L121" s="3" t="n">
        <f aca="false">IF(ISNUMBER(H121),MAX(H121,IFERROR(INDEX(MW_Floor,MATCH(G121,MW_Key,0)),0))*I121,"")</f>
        <v>1350</v>
      </c>
      <c r="M121" s="2" t="str">
        <f aca="false">IFERROR(INDEX(LR_Flag,MATCH(G121,LR_Key,0)),"")</f>
        <v>none</v>
      </c>
      <c r="N121" s="2" t="str">
        <f aca="false">IFERROR(INDEX(MW_Check,MATCH(G121,MW_Key,0)),"")</f>
        <v>OK</v>
      </c>
      <c r="O121" s="0" t="str">
        <f aca="false">IF(NOT(ISNUMBER(H121)),"LABOR QUOTE NEEDED – total incomplete",IF(N121="BELOW FLOOR","CHECK: typical labor below wage floor – payout and customer labor raised to floor",IF(M121&lt;&gt;"none","Labor rate flagged: "&amp;M121,"OK")))</f>
        <v>OK</v>
      </c>
      <c r="P121" s="0" t="s">
        <v>1155</v>
      </c>
      <c r="Q121" s="8" t="s">
        <v>1156</v>
      </c>
      <c r="R121" s="2" t="str">
        <f aca="false">IF(OR(M121="regulated",COUNTIFS(Tasks_TaskID,A121,Tasks_Tier,D121,Tasks_Review,"base")&gt;0),"PENDING REVIEW – priced, not bookable until human approval",IF(COUNTIFS(Tasks_TaskID,A121,Tasks_Tier,D121,Tasks_Review,"as-needed")&gt;0,"Bookable (re-evaluate if regulated as-needed line selected)","Bookable"))</f>
        <v>PENDING REVIEW – priced, not bookable until human approval</v>
      </c>
    </row>
    <row r="122" customFormat="false" ht="17.15" hidden="false" customHeight="false" outlineLevel="0" collapsed="false">
      <c r="A122" s="2" t="s">
        <v>1151</v>
      </c>
      <c r="B122" s="2" t="s">
        <v>176</v>
      </c>
      <c r="C122" s="2" t="s">
        <v>1152</v>
      </c>
      <c r="D122" s="2" t="s">
        <v>1070</v>
      </c>
      <c r="E122" s="2" t="s">
        <v>1895</v>
      </c>
      <c r="F122" s="3" t="n">
        <f aca="false">INDEX(Sum_Base,MATCH(A122,Sum_BaseTasks,0),MATCH(D122,Sum_BaseTiers,0))</f>
        <v>839.7</v>
      </c>
      <c r="G122" s="2" t="str">
        <f aca="false">IF(ISNUMBER(MATCH(A122&amp;"|"&amp;D122,LR_Key,0)),A122&amp;"|"&amp;D122,A122&amp;"|All")</f>
        <v>FIXX-ELC-004|All</v>
      </c>
      <c r="H122" s="3" t="n">
        <f aca="false">IFERROR(INDEX(LR_TypLabor,MATCH(G122,LR_Key,0)),"")</f>
        <v>900</v>
      </c>
      <c r="I122" s="12" t="n">
        <f aca="false">INDEX(Urg_Mult,MATCH(E122,Urg_Levels,0))</f>
        <v>1</v>
      </c>
      <c r="J122" s="3" t="n">
        <f aca="false">IF(ISNUMBER(H122),MAX(H122,IFERROR(INDEX(MW_Floor,MATCH(G122,MW_Key,0)),0))*I122,"")</f>
        <v>900</v>
      </c>
      <c r="K122" s="3" t="n">
        <f aca="false">IF(ISNUMBER(J122),F122+J122,"")</f>
        <v>1739.7</v>
      </c>
      <c r="L122" s="3" t="n">
        <f aca="false">IF(ISNUMBER(H122),MAX(H122,IFERROR(INDEX(MW_Floor,MATCH(G122,MW_Key,0)),0))*I122,"")</f>
        <v>900</v>
      </c>
      <c r="M122" s="2" t="str">
        <f aca="false">IFERROR(INDEX(LR_Flag,MATCH(G122,LR_Key,0)),"")</f>
        <v>none</v>
      </c>
      <c r="N122" s="2" t="str">
        <f aca="false">IFERROR(INDEX(MW_Check,MATCH(G122,MW_Key,0)),"")</f>
        <v>OK</v>
      </c>
      <c r="O122" s="0" t="str">
        <f aca="false">IF(NOT(ISNUMBER(H122)),"LABOR QUOTE NEEDED – total incomplete",IF(N122="BELOW FLOOR","CHECK: typical labor below wage floor – payout and customer labor raised to floor",IF(M122&lt;&gt;"none","Labor rate flagged: "&amp;M122,"OK")))</f>
        <v>OK</v>
      </c>
      <c r="P122" s="0" t="s">
        <v>1155</v>
      </c>
      <c r="Q122" s="8" t="s">
        <v>1156</v>
      </c>
      <c r="R122" s="2" t="str">
        <f aca="false">IF(OR(M122="regulated",COUNTIFS(Tasks_TaskID,A122,Tasks_Tier,D122,Tasks_Review,"base")&gt;0),"PENDING REVIEW – priced, not bookable until human approval",IF(COUNTIFS(Tasks_TaskID,A122,Tasks_Tier,D122,Tasks_Review,"as-needed")&gt;0,"Bookable (re-evaluate if regulated as-needed line selected)","Bookable"))</f>
        <v>PENDING REVIEW – priced, not bookable until human approval</v>
      </c>
    </row>
    <row r="123" customFormat="false" ht="17.15" hidden="false" customHeight="false" outlineLevel="0" collapsed="false">
      <c r="A123" s="2" t="s">
        <v>1151</v>
      </c>
      <c r="B123" s="2" t="s">
        <v>176</v>
      </c>
      <c r="C123" s="2" t="s">
        <v>1152</v>
      </c>
      <c r="D123" s="2" t="s">
        <v>1070</v>
      </c>
      <c r="E123" s="2" t="s">
        <v>1896</v>
      </c>
      <c r="F123" s="3" t="n">
        <f aca="false">INDEX(Sum_Base,MATCH(A123,Sum_BaseTasks,0),MATCH(D123,Sum_BaseTiers,0))</f>
        <v>839.7</v>
      </c>
      <c r="G123" s="2" t="str">
        <f aca="false">IF(ISNUMBER(MATCH(A123&amp;"|"&amp;D123,LR_Key,0)),A123&amp;"|"&amp;D123,A123&amp;"|All")</f>
        <v>FIXX-ELC-004|All</v>
      </c>
      <c r="H123" s="3" t="n">
        <f aca="false">IFERROR(INDEX(LR_TypLabor,MATCH(G123,LR_Key,0)),"")</f>
        <v>900</v>
      </c>
      <c r="I123" s="12" t="n">
        <f aca="false">INDEX(Urg_Mult,MATCH(E123,Urg_Levels,0))</f>
        <v>1.15</v>
      </c>
      <c r="J123" s="3" t="n">
        <f aca="false">IF(ISNUMBER(H123),MAX(H123,IFERROR(INDEX(MW_Floor,MATCH(G123,MW_Key,0)),0))*I123,"")</f>
        <v>1035</v>
      </c>
      <c r="K123" s="3" t="n">
        <f aca="false">IF(ISNUMBER(J123),F123+J123,"")</f>
        <v>1874.7</v>
      </c>
      <c r="L123" s="3" t="n">
        <f aca="false">IF(ISNUMBER(H123),MAX(H123,IFERROR(INDEX(MW_Floor,MATCH(G123,MW_Key,0)),0))*I123,"")</f>
        <v>1035</v>
      </c>
      <c r="M123" s="2" t="str">
        <f aca="false">IFERROR(INDEX(LR_Flag,MATCH(G123,LR_Key,0)),"")</f>
        <v>none</v>
      </c>
      <c r="N123" s="2" t="str">
        <f aca="false">IFERROR(INDEX(MW_Check,MATCH(G123,MW_Key,0)),"")</f>
        <v>OK</v>
      </c>
      <c r="O123" s="0" t="str">
        <f aca="false">IF(NOT(ISNUMBER(H123)),"LABOR QUOTE NEEDED – total incomplete",IF(N123="BELOW FLOOR","CHECK: typical labor below wage floor – payout and customer labor raised to floor",IF(M123&lt;&gt;"none","Labor rate flagged: "&amp;M123,"OK")))</f>
        <v>OK</v>
      </c>
      <c r="P123" s="0" t="s">
        <v>1155</v>
      </c>
      <c r="Q123" s="8" t="s">
        <v>1156</v>
      </c>
      <c r="R123" s="2" t="str">
        <f aca="false">IF(OR(M123="regulated",COUNTIFS(Tasks_TaskID,A123,Tasks_Tier,D123,Tasks_Review,"base")&gt;0),"PENDING REVIEW – priced, not bookable until human approval",IF(COUNTIFS(Tasks_TaskID,A123,Tasks_Tier,D123,Tasks_Review,"as-needed")&gt;0,"Bookable (re-evaluate if regulated as-needed line selected)","Bookable"))</f>
        <v>PENDING REVIEW – priced, not bookable until human approval</v>
      </c>
    </row>
    <row r="124" customFormat="false" ht="17.15" hidden="false" customHeight="false" outlineLevel="0" collapsed="false">
      <c r="A124" s="2" t="s">
        <v>1151</v>
      </c>
      <c r="B124" s="2" t="s">
        <v>176</v>
      </c>
      <c r="C124" s="2" t="s">
        <v>1152</v>
      </c>
      <c r="D124" s="2" t="s">
        <v>1070</v>
      </c>
      <c r="E124" s="2" t="s">
        <v>1897</v>
      </c>
      <c r="F124" s="3" t="n">
        <f aca="false">INDEX(Sum_Base,MATCH(A124,Sum_BaseTasks,0),MATCH(D124,Sum_BaseTiers,0))</f>
        <v>839.7</v>
      </c>
      <c r="G124" s="2" t="str">
        <f aca="false">IF(ISNUMBER(MATCH(A124&amp;"|"&amp;D124,LR_Key,0)),A124&amp;"|"&amp;D124,A124&amp;"|All")</f>
        <v>FIXX-ELC-004|All</v>
      </c>
      <c r="H124" s="3" t="n">
        <f aca="false">IFERROR(INDEX(LR_TypLabor,MATCH(G124,LR_Key,0)),"")</f>
        <v>900</v>
      </c>
      <c r="I124" s="12" t="n">
        <f aca="false">INDEX(Urg_Mult,MATCH(E124,Urg_Levels,0))</f>
        <v>1.3</v>
      </c>
      <c r="J124" s="3" t="n">
        <f aca="false">IF(ISNUMBER(H124),MAX(H124,IFERROR(INDEX(MW_Floor,MATCH(G124,MW_Key,0)),0))*I124,"")</f>
        <v>1170</v>
      </c>
      <c r="K124" s="3" t="n">
        <f aca="false">IF(ISNUMBER(J124),F124+J124,"")</f>
        <v>2009.7</v>
      </c>
      <c r="L124" s="3" t="n">
        <f aca="false">IF(ISNUMBER(H124),MAX(H124,IFERROR(INDEX(MW_Floor,MATCH(G124,MW_Key,0)),0))*I124,"")</f>
        <v>1170</v>
      </c>
      <c r="M124" s="2" t="str">
        <f aca="false">IFERROR(INDEX(LR_Flag,MATCH(G124,LR_Key,0)),"")</f>
        <v>none</v>
      </c>
      <c r="N124" s="2" t="str">
        <f aca="false">IFERROR(INDEX(MW_Check,MATCH(G124,MW_Key,0)),"")</f>
        <v>OK</v>
      </c>
      <c r="O124" s="0" t="str">
        <f aca="false">IF(NOT(ISNUMBER(H124)),"LABOR QUOTE NEEDED – total incomplete",IF(N124="BELOW FLOOR","CHECK: typical labor below wage floor – payout and customer labor raised to floor",IF(M124&lt;&gt;"none","Labor rate flagged: "&amp;M124,"OK")))</f>
        <v>OK</v>
      </c>
      <c r="P124" s="0" t="s">
        <v>1155</v>
      </c>
      <c r="Q124" s="8" t="s">
        <v>1156</v>
      </c>
      <c r="R124" s="2" t="str">
        <f aca="false">IF(OR(M124="regulated",COUNTIFS(Tasks_TaskID,A124,Tasks_Tier,D124,Tasks_Review,"base")&gt;0),"PENDING REVIEW – priced, not bookable until human approval",IF(COUNTIFS(Tasks_TaskID,A124,Tasks_Tier,D124,Tasks_Review,"as-needed")&gt;0,"Bookable (re-evaluate if regulated as-needed line selected)","Bookable"))</f>
        <v>PENDING REVIEW – priced, not bookable until human approval</v>
      </c>
    </row>
    <row r="125" customFormat="false" ht="17.15" hidden="false" customHeight="false" outlineLevel="0" collapsed="false">
      <c r="A125" s="2" t="s">
        <v>1151</v>
      </c>
      <c r="B125" s="2" t="s">
        <v>176</v>
      </c>
      <c r="C125" s="2" t="s">
        <v>1152</v>
      </c>
      <c r="D125" s="2" t="s">
        <v>1070</v>
      </c>
      <c r="E125" s="2" t="s">
        <v>1898</v>
      </c>
      <c r="F125" s="3" t="n">
        <f aca="false">INDEX(Sum_Base,MATCH(A125,Sum_BaseTasks,0),MATCH(D125,Sum_BaseTiers,0))</f>
        <v>839.7</v>
      </c>
      <c r="G125" s="2" t="str">
        <f aca="false">IF(ISNUMBER(MATCH(A125&amp;"|"&amp;D125,LR_Key,0)),A125&amp;"|"&amp;D125,A125&amp;"|All")</f>
        <v>FIXX-ELC-004|All</v>
      </c>
      <c r="H125" s="3" t="n">
        <f aca="false">IFERROR(INDEX(LR_TypLabor,MATCH(G125,LR_Key,0)),"")</f>
        <v>900</v>
      </c>
      <c r="I125" s="12" t="n">
        <f aca="false">INDEX(Urg_Mult,MATCH(E125,Urg_Levels,0))</f>
        <v>1.5</v>
      </c>
      <c r="J125" s="3" t="n">
        <f aca="false">IF(ISNUMBER(H125),MAX(H125,IFERROR(INDEX(MW_Floor,MATCH(G125,MW_Key,0)),0))*I125,"")</f>
        <v>1350</v>
      </c>
      <c r="K125" s="3" t="n">
        <f aca="false">IF(ISNUMBER(J125),F125+J125,"")</f>
        <v>2189.7</v>
      </c>
      <c r="L125" s="3" t="n">
        <f aca="false">IF(ISNUMBER(H125),MAX(H125,IFERROR(INDEX(MW_Floor,MATCH(G125,MW_Key,0)),0))*I125,"")</f>
        <v>1350</v>
      </c>
      <c r="M125" s="2" t="str">
        <f aca="false">IFERROR(INDEX(LR_Flag,MATCH(G125,LR_Key,0)),"")</f>
        <v>none</v>
      </c>
      <c r="N125" s="2" t="str">
        <f aca="false">IFERROR(INDEX(MW_Check,MATCH(G125,MW_Key,0)),"")</f>
        <v>OK</v>
      </c>
      <c r="O125" s="0" t="str">
        <f aca="false">IF(NOT(ISNUMBER(H125)),"LABOR QUOTE NEEDED – total incomplete",IF(N125="BELOW FLOOR","CHECK: typical labor below wage floor – payout and customer labor raised to floor",IF(M125&lt;&gt;"none","Labor rate flagged: "&amp;M125,"OK")))</f>
        <v>OK</v>
      </c>
      <c r="P125" s="0" t="s">
        <v>1155</v>
      </c>
      <c r="Q125" s="8" t="s">
        <v>1156</v>
      </c>
      <c r="R125" s="2" t="str">
        <f aca="false">IF(OR(M125="regulated",COUNTIFS(Tasks_TaskID,A125,Tasks_Tier,D125,Tasks_Review,"base")&gt;0),"PENDING REVIEW – priced, not bookable until human approval",IF(COUNTIFS(Tasks_TaskID,A125,Tasks_Tier,D125,Tasks_Review,"as-needed")&gt;0,"Bookable (re-evaluate if regulated as-needed line selected)","Bookable"))</f>
        <v>PENDING REVIEW – priced, not bookable until human approval</v>
      </c>
    </row>
    <row r="126" customFormat="false" ht="17.15" hidden="false" customHeight="false" outlineLevel="0" collapsed="false">
      <c r="A126" s="2" t="s">
        <v>1151</v>
      </c>
      <c r="B126" s="2" t="s">
        <v>176</v>
      </c>
      <c r="C126" s="2" t="s">
        <v>1152</v>
      </c>
      <c r="D126" s="2" t="s">
        <v>1074</v>
      </c>
      <c r="E126" s="2" t="s">
        <v>1895</v>
      </c>
      <c r="F126" s="3" t="n">
        <f aca="false">INDEX(Sum_Base,MATCH(A126,Sum_BaseTasks,0),MATCH(D126,Sum_BaseTiers,0))</f>
        <v>839.7</v>
      </c>
      <c r="G126" s="2" t="str">
        <f aca="false">IF(ISNUMBER(MATCH(A126&amp;"|"&amp;D126,LR_Key,0)),A126&amp;"|"&amp;D126,A126&amp;"|All")</f>
        <v>FIXX-ELC-004|All</v>
      </c>
      <c r="H126" s="3" t="n">
        <f aca="false">IFERROR(INDEX(LR_TypLabor,MATCH(G126,LR_Key,0)),"")</f>
        <v>900</v>
      </c>
      <c r="I126" s="12" t="n">
        <f aca="false">INDEX(Urg_Mult,MATCH(E126,Urg_Levels,0))</f>
        <v>1</v>
      </c>
      <c r="J126" s="3" t="n">
        <f aca="false">IF(ISNUMBER(H126),MAX(H126,IFERROR(INDEX(MW_Floor,MATCH(G126,MW_Key,0)),0))*I126,"")</f>
        <v>900</v>
      </c>
      <c r="K126" s="3" t="n">
        <f aca="false">IF(ISNUMBER(J126),F126+J126,"")</f>
        <v>1739.7</v>
      </c>
      <c r="L126" s="3" t="n">
        <f aca="false">IF(ISNUMBER(H126),MAX(H126,IFERROR(INDEX(MW_Floor,MATCH(G126,MW_Key,0)),0))*I126,"")</f>
        <v>900</v>
      </c>
      <c r="M126" s="2" t="str">
        <f aca="false">IFERROR(INDEX(LR_Flag,MATCH(G126,LR_Key,0)),"")</f>
        <v>none</v>
      </c>
      <c r="N126" s="2" t="str">
        <f aca="false">IFERROR(INDEX(MW_Check,MATCH(G126,MW_Key,0)),"")</f>
        <v>OK</v>
      </c>
      <c r="O126" s="0" t="str">
        <f aca="false">IF(NOT(ISNUMBER(H126)),"LABOR QUOTE NEEDED – total incomplete",IF(N126="BELOW FLOOR","CHECK: typical labor below wage floor – payout and customer labor raised to floor",IF(M126&lt;&gt;"none","Labor rate flagged: "&amp;M126,"OK")))</f>
        <v>OK</v>
      </c>
      <c r="P126" s="0" t="s">
        <v>1155</v>
      </c>
      <c r="Q126" s="8" t="s">
        <v>1156</v>
      </c>
      <c r="R126" s="2" t="str">
        <f aca="false">IF(OR(M126="regulated",COUNTIFS(Tasks_TaskID,A126,Tasks_Tier,D126,Tasks_Review,"base")&gt;0),"PENDING REVIEW – priced, not bookable until human approval",IF(COUNTIFS(Tasks_TaskID,A126,Tasks_Tier,D126,Tasks_Review,"as-needed")&gt;0,"Bookable (re-evaluate if regulated as-needed line selected)","Bookable"))</f>
        <v>PENDING REVIEW – priced, not bookable until human approval</v>
      </c>
    </row>
    <row r="127" customFormat="false" ht="17.15" hidden="false" customHeight="false" outlineLevel="0" collapsed="false">
      <c r="A127" s="2" t="s">
        <v>1151</v>
      </c>
      <c r="B127" s="2" t="s">
        <v>176</v>
      </c>
      <c r="C127" s="2" t="s">
        <v>1152</v>
      </c>
      <c r="D127" s="2" t="s">
        <v>1074</v>
      </c>
      <c r="E127" s="2" t="s">
        <v>1896</v>
      </c>
      <c r="F127" s="3" t="n">
        <f aca="false">INDEX(Sum_Base,MATCH(A127,Sum_BaseTasks,0),MATCH(D127,Sum_BaseTiers,0))</f>
        <v>839.7</v>
      </c>
      <c r="G127" s="2" t="str">
        <f aca="false">IF(ISNUMBER(MATCH(A127&amp;"|"&amp;D127,LR_Key,0)),A127&amp;"|"&amp;D127,A127&amp;"|All")</f>
        <v>FIXX-ELC-004|All</v>
      </c>
      <c r="H127" s="3" t="n">
        <f aca="false">IFERROR(INDEX(LR_TypLabor,MATCH(G127,LR_Key,0)),"")</f>
        <v>900</v>
      </c>
      <c r="I127" s="12" t="n">
        <f aca="false">INDEX(Urg_Mult,MATCH(E127,Urg_Levels,0))</f>
        <v>1.15</v>
      </c>
      <c r="J127" s="3" t="n">
        <f aca="false">IF(ISNUMBER(H127),MAX(H127,IFERROR(INDEX(MW_Floor,MATCH(G127,MW_Key,0)),0))*I127,"")</f>
        <v>1035</v>
      </c>
      <c r="K127" s="3" t="n">
        <f aca="false">IF(ISNUMBER(J127),F127+J127,"")</f>
        <v>1874.7</v>
      </c>
      <c r="L127" s="3" t="n">
        <f aca="false">IF(ISNUMBER(H127),MAX(H127,IFERROR(INDEX(MW_Floor,MATCH(G127,MW_Key,0)),0))*I127,"")</f>
        <v>1035</v>
      </c>
      <c r="M127" s="2" t="str">
        <f aca="false">IFERROR(INDEX(LR_Flag,MATCH(G127,LR_Key,0)),"")</f>
        <v>none</v>
      </c>
      <c r="N127" s="2" t="str">
        <f aca="false">IFERROR(INDEX(MW_Check,MATCH(G127,MW_Key,0)),"")</f>
        <v>OK</v>
      </c>
      <c r="O127" s="0" t="str">
        <f aca="false">IF(NOT(ISNUMBER(H127)),"LABOR QUOTE NEEDED – total incomplete",IF(N127="BELOW FLOOR","CHECK: typical labor below wage floor – payout and customer labor raised to floor",IF(M127&lt;&gt;"none","Labor rate flagged: "&amp;M127,"OK")))</f>
        <v>OK</v>
      </c>
      <c r="P127" s="0" t="s">
        <v>1155</v>
      </c>
      <c r="Q127" s="8" t="s">
        <v>1156</v>
      </c>
      <c r="R127" s="2" t="str">
        <f aca="false">IF(OR(M127="regulated",COUNTIFS(Tasks_TaskID,A127,Tasks_Tier,D127,Tasks_Review,"base")&gt;0),"PENDING REVIEW – priced, not bookable until human approval",IF(COUNTIFS(Tasks_TaskID,A127,Tasks_Tier,D127,Tasks_Review,"as-needed")&gt;0,"Bookable (re-evaluate if regulated as-needed line selected)","Bookable"))</f>
        <v>PENDING REVIEW – priced, not bookable until human approval</v>
      </c>
    </row>
    <row r="128" customFormat="false" ht="17.15" hidden="false" customHeight="false" outlineLevel="0" collapsed="false">
      <c r="A128" s="2" t="s">
        <v>1151</v>
      </c>
      <c r="B128" s="2" t="s">
        <v>176</v>
      </c>
      <c r="C128" s="2" t="s">
        <v>1152</v>
      </c>
      <c r="D128" s="2" t="s">
        <v>1074</v>
      </c>
      <c r="E128" s="2" t="s">
        <v>1897</v>
      </c>
      <c r="F128" s="3" t="n">
        <f aca="false">INDEX(Sum_Base,MATCH(A128,Sum_BaseTasks,0),MATCH(D128,Sum_BaseTiers,0))</f>
        <v>839.7</v>
      </c>
      <c r="G128" s="2" t="str">
        <f aca="false">IF(ISNUMBER(MATCH(A128&amp;"|"&amp;D128,LR_Key,0)),A128&amp;"|"&amp;D128,A128&amp;"|All")</f>
        <v>FIXX-ELC-004|All</v>
      </c>
      <c r="H128" s="3" t="n">
        <f aca="false">IFERROR(INDEX(LR_TypLabor,MATCH(G128,LR_Key,0)),"")</f>
        <v>900</v>
      </c>
      <c r="I128" s="12" t="n">
        <f aca="false">INDEX(Urg_Mult,MATCH(E128,Urg_Levels,0))</f>
        <v>1.3</v>
      </c>
      <c r="J128" s="3" t="n">
        <f aca="false">IF(ISNUMBER(H128),MAX(H128,IFERROR(INDEX(MW_Floor,MATCH(G128,MW_Key,0)),0))*I128,"")</f>
        <v>1170</v>
      </c>
      <c r="K128" s="3" t="n">
        <f aca="false">IF(ISNUMBER(J128),F128+J128,"")</f>
        <v>2009.7</v>
      </c>
      <c r="L128" s="3" t="n">
        <f aca="false">IF(ISNUMBER(H128),MAX(H128,IFERROR(INDEX(MW_Floor,MATCH(G128,MW_Key,0)),0))*I128,"")</f>
        <v>1170</v>
      </c>
      <c r="M128" s="2" t="str">
        <f aca="false">IFERROR(INDEX(LR_Flag,MATCH(G128,LR_Key,0)),"")</f>
        <v>none</v>
      </c>
      <c r="N128" s="2" t="str">
        <f aca="false">IFERROR(INDEX(MW_Check,MATCH(G128,MW_Key,0)),"")</f>
        <v>OK</v>
      </c>
      <c r="O128" s="0" t="str">
        <f aca="false">IF(NOT(ISNUMBER(H128)),"LABOR QUOTE NEEDED – total incomplete",IF(N128="BELOW FLOOR","CHECK: typical labor below wage floor – payout and customer labor raised to floor",IF(M128&lt;&gt;"none","Labor rate flagged: "&amp;M128,"OK")))</f>
        <v>OK</v>
      </c>
      <c r="P128" s="0" t="s">
        <v>1155</v>
      </c>
      <c r="Q128" s="8" t="s">
        <v>1156</v>
      </c>
      <c r="R128" s="2" t="str">
        <f aca="false">IF(OR(M128="regulated",COUNTIFS(Tasks_TaskID,A128,Tasks_Tier,D128,Tasks_Review,"base")&gt;0),"PENDING REVIEW – priced, not bookable until human approval",IF(COUNTIFS(Tasks_TaskID,A128,Tasks_Tier,D128,Tasks_Review,"as-needed")&gt;0,"Bookable (re-evaluate if regulated as-needed line selected)","Bookable"))</f>
        <v>PENDING REVIEW – priced, not bookable until human approval</v>
      </c>
    </row>
    <row r="129" customFormat="false" ht="17.15" hidden="false" customHeight="false" outlineLevel="0" collapsed="false">
      <c r="A129" s="2" t="s">
        <v>1151</v>
      </c>
      <c r="B129" s="2" t="s">
        <v>176</v>
      </c>
      <c r="C129" s="2" t="s">
        <v>1152</v>
      </c>
      <c r="D129" s="2" t="s">
        <v>1074</v>
      </c>
      <c r="E129" s="2" t="s">
        <v>1898</v>
      </c>
      <c r="F129" s="3" t="n">
        <f aca="false">INDEX(Sum_Base,MATCH(A129,Sum_BaseTasks,0),MATCH(D129,Sum_BaseTiers,0))</f>
        <v>839.7</v>
      </c>
      <c r="G129" s="2" t="str">
        <f aca="false">IF(ISNUMBER(MATCH(A129&amp;"|"&amp;D129,LR_Key,0)),A129&amp;"|"&amp;D129,A129&amp;"|All")</f>
        <v>FIXX-ELC-004|All</v>
      </c>
      <c r="H129" s="3" t="n">
        <f aca="false">IFERROR(INDEX(LR_TypLabor,MATCH(G129,LR_Key,0)),"")</f>
        <v>900</v>
      </c>
      <c r="I129" s="12" t="n">
        <f aca="false">INDEX(Urg_Mult,MATCH(E129,Urg_Levels,0))</f>
        <v>1.5</v>
      </c>
      <c r="J129" s="3" t="n">
        <f aca="false">IF(ISNUMBER(H129),MAX(H129,IFERROR(INDEX(MW_Floor,MATCH(G129,MW_Key,0)),0))*I129,"")</f>
        <v>1350</v>
      </c>
      <c r="K129" s="3" t="n">
        <f aca="false">IF(ISNUMBER(J129),F129+J129,"")</f>
        <v>2189.7</v>
      </c>
      <c r="L129" s="3" t="n">
        <f aca="false">IF(ISNUMBER(H129),MAX(H129,IFERROR(INDEX(MW_Floor,MATCH(G129,MW_Key,0)),0))*I129,"")</f>
        <v>1350</v>
      </c>
      <c r="M129" s="2" t="str">
        <f aca="false">IFERROR(INDEX(LR_Flag,MATCH(G129,LR_Key,0)),"")</f>
        <v>none</v>
      </c>
      <c r="N129" s="2" t="str">
        <f aca="false">IFERROR(INDEX(MW_Check,MATCH(G129,MW_Key,0)),"")</f>
        <v>OK</v>
      </c>
      <c r="O129" s="0" t="str">
        <f aca="false">IF(NOT(ISNUMBER(H129)),"LABOR QUOTE NEEDED – total incomplete",IF(N129="BELOW FLOOR","CHECK: typical labor below wage floor – payout and customer labor raised to floor",IF(M129&lt;&gt;"none","Labor rate flagged: "&amp;M129,"OK")))</f>
        <v>OK</v>
      </c>
      <c r="P129" s="0" t="s">
        <v>1155</v>
      </c>
      <c r="Q129" s="8" t="s">
        <v>1156</v>
      </c>
      <c r="R129" s="2" t="str">
        <f aca="false">IF(OR(M129="regulated",COUNTIFS(Tasks_TaskID,A129,Tasks_Tier,D129,Tasks_Review,"base")&gt;0),"PENDING REVIEW – priced, not bookable until human approval",IF(COUNTIFS(Tasks_TaskID,A129,Tasks_Tier,D129,Tasks_Review,"as-needed")&gt;0,"Bookable (re-evaluate if regulated as-needed line selected)","Bookable"))</f>
        <v>PENDING REVIEW – priced, not bookable until human approval</v>
      </c>
    </row>
    <row r="130" customFormat="false" ht="17.15" hidden="false" customHeight="false" outlineLevel="0" collapsed="false">
      <c r="A130" s="2" t="s">
        <v>1151</v>
      </c>
      <c r="B130" s="2" t="s">
        <v>176</v>
      </c>
      <c r="C130" s="2" t="s">
        <v>1152</v>
      </c>
      <c r="D130" s="2" t="s">
        <v>1078</v>
      </c>
      <c r="E130" s="2" t="s">
        <v>1895</v>
      </c>
      <c r="F130" s="3" t="n">
        <f aca="false">INDEX(Sum_Base,MATCH(A130,Sum_BaseTasks,0),MATCH(D130,Sum_BaseTiers,0))</f>
        <v>839.7</v>
      </c>
      <c r="G130" s="2" t="str">
        <f aca="false">IF(ISNUMBER(MATCH(A130&amp;"|"&amp;D130,LR_Key,0)),A130&amp;"|"&amp;D130,A130&amp;"|All")</f>
        <v>FIXX-ELC-004|All</v>
      </c>
      <c r="H130" s="3" t="n">
        <f aca="false">IFERROR(INDEX(LR_TypLabor,MATCH(G130,LR_Key,0)),"")</f>
        <v>900</v>
      </c>
      <c r="I130" s="12" t="n">
        <f aca="false">INDEX(Urg_Mult,MATCH(E130,Urg_Levels,0))</f>
        <v>1</v>
      </c>
      <c r="J130" s="3" t="n">
        <f aca="false">IF(ISNUMBER(H130),MAX(H130,IFERROR(INDEX(MW_Floor,MATCH(G130,MW_Key,0)),0))*I130,"")</f>
        <v>900</v>
      </c>
      <c r="K130" s="3" t="n">
        <f aca="false">IF(ISNUMBER(J130),F130+J130,"")</f>
        <v>1739.7</v>
      </c>
      <c r="L130" s="3" t="n">
        <f aca="false">IF(ISNUMBER(H130),MAX(H130,IFERROR(INDEX(MW_Floor,MATCH(G130,MW_Key,0)),0))*I130,"")</f>
        <v>900</v>
      </c>
      <c r="M130" s="2" t="str">
        <f aca="false">IFERROR(INDEX(LR_Flag,MATCH(G130,LR_Key,0)),"")</f>
        <v>none</v>
      </c>
      <c r="N130" s="2" t="str">
        <f aca="false">IFERROR(INDEX(MW_Check,MATCH(G130,MW_Key,0)),"")</f>
        <v>OK</v>
      </c>
      <c r="O130" s="0" t="str">
        <f aca="false">IF(NOT(ISNUMBER(H130)),"LABOR QUOTE NEEDED – total incomplete",IF(N130="BELOW FLOOR","CHECK: typical labor below wage floor – payout and customer labor raised to floor",IF(M130&lt;&gt;"none","Labor rate flagged: "&amp;M130,"OK")))</f>
        <v>OK</v>
      </c>
      <c r="P130" s="0" t="s">
        <v>1155</v>
      </c>
      <c r="Q130" s="8" t="s">
        <v>1156</v>
      </c>
      <c r="R130" s="2" t="str">
        <f aca="false">IF(OR(M130="regulated",COUNTIFS(Tasks_TaskID,A130,Tasks_Tier,D130,Tasks_Review,"base")&gt;0),"PENDING REVIEW – priced, not bookable until human approval",IF(COUNTIFS(Tasks_TaskID,A130,Tasks_Tier,D130,Tasks_Review,"as-needed")&gt;0,"Bookable (re-evaluate if regulated as-needed line selected)","Bookable"))</f>
        <v>PENDING REVIEW – priced, not bookable until human approval</v>
      </c>
    </row>
    <row r="131" customFormat="false" ht="17.15" hidden="false" customHeight="false" outlineLevel="0" collapsed="false">
      <c r="A131" s="2" t="s">
        <v>1151</v>
      </c>
      <c r="B131" s="2" t="s">
        <v>176</v>
      </c>
      <c r="C131" s="2" t="s">
        <v>1152</v>
      </c>
      <c r="D131" s="2" t="s">
        <v>1078</v>
      </c>
      <c r="E131" s="2" t="s">
        <v>1896</v>
      </c>
      <c r="F131" s="3" t="n">
        <f aca="false">INDEX(Sum_Base,MATCH(A131,Sum_BaseTasks,0),MATCH(D131,Sum_BaseTiers,0))</f>
        <v>839.7</v>
      </c>
      <c r="G131" s="2" t="str">
        <f aca="false">IF(ISNUMBER(MATCH(A131&amp;"|"&amp;D131,LR_Key,0)),A131&amp;"|"&amp;D131,A131&amp;"|All")</f>
        <v>FIXX-ELC-004|All</v>
      </c>
      <c r="H131" s="3" t="n">
        <f aca="false">IFERROR(INDEX(LR_TypLabor,MATCH(G131,LR_Key,0)),"")</f>
        <v>900</v>
      </c>
      <c r="I131" s="12" t="n">
        <f aca="false">INDEX(Urg_Mult,MATCH(E131,Urg_Levels,0))</f>
        <v>1.15</v>
      </c>
      <c r="J131" s="3" t="n">
        <f aca="false">IF(ISNUMBER(H131),MAX(H131,IFERROR(INDEX(MW_Floor,MATCH(G131,MW_Key,0)),0))*I131,"")</f>
        <v>1035</v>
      </c>
      <c r="K131" s="3" t="n">
        <f aca="false">IF(ISNUMBER(J131),F131+J131,"")</f>
        <v>1874.7</v>
      </c>
      <c r="L131" s="3" t="n">
        <f aca="false">IF(ISNUMBER(H131),MAX(H131,IFERROR(INDEX(MW_Floor,MATCH(G131,MW_Key,0)),0))*I131,"")</f>
        <v>1035</v>
      </c>
      <c r="M131" s="2" t="str">
        <f aca="false">IFERROR(INDEX(LR_Flag,MATCH(G131,LR_Key,0)),"")</f>
        <v>none</v>
      </c>
      <c r="N131" s="2" t="str">
        <f aca="false">IFERROR(INDEX(MW_Check,MATCH(G131,MW_Key,0)),"")</f>
        <v>OK</v>
      </c>
      <c r="O131" s="0" t="str">
        <f aca="false">IF(NOT(ISNUMBER(H131)),"LABOR QUOTE NEEDED – total incomplete",IF(N131="BELOW FLOOR","CHECK: typical labor below wage floor – payout and customer labor raised to floor",IF(M131&lt;&gt;"none","Labor rate flagged: "&amp;M131,"OK")))</f>
        <v>OK</v>
      </c>
      <c r="P131" s="0" t="s">
        <v>1155</v>
      </c>
      <c r="Q131" s="8" t="s">
        <v>1156</v>
      </c>
      <c r="R131" s="2" t="str">
        <f aca="false">IF(OR(M131="regulated",COUNTIFS(Tasks_TaskID,A131,Tasks_Tier,D131,Tasks_Review,"base")&gt;0),"PENDING REVIEW – priced, not bookable until human approval",IF(COUNTIFS(Tasks_TaskID,A131,Tasks_Tier,D131,Tasks_Review,"as-needed")&gt;0,"Bookable (re-evaluate if regulated as-needed line selected)","Bookable"))</f>
        <v>PENDING REVIEW – priced, not bookable until human approval</v>
      </c>
    </row>
    <row r="132" customFormat="false" ht="17.15" hidden="false" customHeight="false" outlineLevel="0" collapsed="false">
      <c r="A132" s="2" t="s">
        <v>1151</v>
      </c>
      <c r="B132" s="2" t="s">
        <v>176</v>
      </c>
      <c r="C132" s="2" t="s">
        <v>1152</v>
      </c>
      <c r="D132" s="2" t="s">
        <v>1078</v>
      </c>
      <c r="E132" s="2" t="s">
        <v>1897</v>
      </c>
      <c r="F132" s="3" t="n">
        <f aca="false">INDEX(Sum_Base,MATCH(A132,Sum_BaseTasks,0),MATCH(D132,Sum_BaseTiers,0))</f>
        <v>839.7</v>
      </c>
      <c r="G132" s="2" t="str">
        <f aca="false">IF(ISNUMBER(MATCH(A132&amp;"|"&amp;D132,LR_Key,0)),A132&amp;"|"&amp;D132,A132&amp;"|All")</f>
        <v>FIXX-ELC-004|All</v>
      </c>
      <c r="H132" s="3" t="n">
        <f aca="false">IFERROR(INDEX(LR_TypLabor,MATCH(G132,LR_Key,0)),"")</f>
        <v>900</v>
      </c>
      <c r="I132" s="12" t="n">
        <f aca="false">INDEX(Urg_Mult,MATCH(E132,Urg_Levels,0))</f>
        <v>1.3</v>
      </c>
      <c r="J132" s="3" t="n">
        <f aca="false">IF(ISNUMBER(H132),MAX(H132,IFERROR(INDEX(MW_Floor,MATCH(G132,MW_Key,0)),0))*I132,"")</f>
        <v>1170</v>
      </c>
      <c r="K132" s="3" t="n">
        <f aca="false">IF(ISNUMBER(J132),F132+J132,"")</f>
        <v>2009.7</v>
      </c>
      <c r="L132" s="3" t="n">
        <f aca="false">IF(ISNUMBER(H132),MAX(H132,IFERROR(INDEX(MW_Floor,MATCH(G132,MW_Key,0)),0))*I132,"")</f>
        <v>1170</v>
      </c>
      <c r="M132" s="2" t="str">
        <f aca="false">IFERROR(INDEX(LR_Flag,MATCH(G132,LR_Key,0)),"")</f>
        <v>none</v>
      </c>
      <c r="N132" s="2" t="str">
        <f aca="false">IFERROR(INDEX(MW_Check,MATCH(G132,MW_Key,0)),"")</f>
        <v>OK</v>
      </c>
      <c r="O132" s="0" t="str">
        <f aca="false">IF(NOT(ISNUMBER(H132)),"LABOR QUOTE NEEDED – total incomplete",IF(N132="BELOW FLOOR","CHECK: typical labor below wage floor – payout and customer labor raised to floor",IF(M132&lt;&gt;"none","Labor rate flagged: "&amp;M132,"OK")))</f>
        <v>OK</v>
      </c>
      <c r="P132" s="0" t="s">
        <v>1155</v>
      </c>
      <c r="Q132" s="8" t="s">
        <v>1156</v>
      </c>
      <c r="R132" s="2" t="str">
        <f aca="false">IF(OR(M132="regulated",COUNTIFS(Tasks_TaskID,A132,Tasks_Tier,D132,Tasks_Review,"base")&gt;0),"PENDING REVIEW – priced, not bookable until human approval",IF(COUNTIFS(Tasks_TaskID,A132,Tasks_Tier,D132,Tasks_Review,"as-needed")&gt;0,"Bookable (re-evaluate if regulated as-needed line selected)","Bookable"))</f>
        <v>PENDING REVIEW – priced, not bookable until human approval</v>
      </c>
    </row>
    <row r="133" customFormat="false" ht="17.15" hidden="false" customHeight="false" outlineLevel="0" collapsed="false">
      <c r="A133" s="2" t="s">
        <v>1151</v>
      </c>
      <c r="B133" s="2" t="s">
        <v>176</v>
      </c>
      <c r="C133" s="2" t="s">
        <v>1152</v>
      </c>
      <c r="D133" s="2" t="s">
        <v>1078</v>
      </c>
      <c r="E133" s="2" t="s">
        <v>1898</v>
      </c>
      <c r="F133" s="3" t="n">
        <f aca="false">INDEX(Sum_Base,MATCH(A133,Sum_BaseTasks,0),MATCH(D133,Sum_BaseTiers,0))</f>
        <v>839.7</v>
      </c>
      <c r="G133" s="2" t="str">
        <f aca="false">IF(ISNUMBER(MATCH(A133&amp;"|"&amp;D133,LR_Key,0)),A133&amp;"|"&amp;D133,A133&amp;"|All")</f>
        <v>FIXX-ELC-004|All</v>
      </c>
      <c r="H133" s="3" t="n">
        <f aca="false">IFERROR(INDEX(LR_TypLabor,MATCH(G133,LR_Key,0)),"")</f>
        <v>900</v>
      </c>
      <c r="I133" s="12" t="n">
        <f aca="false">INDEX(Urg_Mult,MATCH(E133,Urg_Levels,0))</f>
        <v>1.5</v>
      </c>
      <c r="J133" s="3" t="n">
        <f aca="false">IF(ISNUMBER(H133),MAX(H133,IFERROR(INDEX(MW_Floor,MATCH(G133,MW_Key,0)),0))*I133,"")</f>
        <v>1350</v>
      </c>
      <c r="K133" s="3" t="n">
        <f aca="false">IF(ISNUMBER(J133),F133+J133,"")</f>
        <v>2189.7</v>
      </c>
      <c r="L133" s="3" t="n">
        <f aca="false">IF(ISNUMBER(H133),MAX(H133,IFERROR(INDEX(MW_Floor,MATCH(G133,MW_Key,0)),0))*I133,"")</f>
        <v>1350</v>
      </c>
      <c r="M133" s="2" t="str">
        <f aca="false">IFERROR(INDEX(LR_Flag,MATCH(G133,LR_Key,0)),"")</f>
        <v>none</v>
      </c>
      <c r="N133" s="2" t="str">
        <f aca="false">IFERROR(INDEX(MW_Check,MATCH(G133,MW_Key,0)),"")</f>
        <v>OK</v>
      </c>
      <c r="O133" s="0" t="str">
        <f aca="false">IF(NOT(ISNUMBER(H133)),"LABOR QUOTE NEEDED – total incomplete",IF(N133="BELOW FLOOR","CHECK: typical labor below wage floor – payout and customer labor raised to floor",IF(M133&lt;&gt;"none","Labor rate flagged: "&amp;M133,"OK")))</f>
        <v>OK</v>
      </c>
      <c r="P133" s="0" t="s">
        <v>1155</v>
      </c>
      <c r="Q133" s="8" t="s">
        <v>1156</v>
      </c>
      <c r="R133" s="2" t="str">
        <f aca="false">IF(OR(M133="regulated",COUNTIFS(Tasks_TaskID,A133,Tasks_Tier,D133,Tasks_Review,"base")&gt;0),"PENDING REVIEW – priced, not bookable until human approval",IF(COUNTIFS(Tasks_TaskID,A133,Tasks_Tier,D133,Tasks_Review,"as-needed")&gt;0,"Bookable (re-evaluate if regulated as-needed line selected)","Bookable"))</f>
        <v>PENDING REVIEW – priced, not bookable until human approval</v>
      </c>
    </row>
    <row r="134" customFormat="false" ht="17.15" hidden="false" customHeight="false" outlineLevel="0" collapsed="false">
      <c r="A134" s="2" t="s">
        <v>1161</v>
      </c>
      <c r="B134" s="2" t="s">
        <v>229</v>
      </c>
      <c r="C134" s="2" t="s">
        <v>1162</v>
      </c>
      <c r="D134" s="2" t="s">
        <v>1042</v>
      </c>
      <c r="E134" s="2" t="s">
        <v>1895</v>
      </c>
      <c r="F134" s="3" t="n">
        <f aca="false">INDEX(Sum_Base,MATCH(A134,Sum_BaseTasks,0),MATCH(D134,Sum_BaseTiers,0))</f>
        <v>0</v>
      </c>
      <c r="G134" s="2" t="str">
        <f aca="false">IF(ISNUMBER(MATCH(A134&amp;"|"&amp;D134,LR_Key,0)),A134&amp;"|"&amp;D134,A134&amp;"|All")</f>
        <v>FIXX-PST-001|All</v>
      </c>
      <c r="H134" s="3" t="n">
        <f aca="false">IFERROR(INDEX(LR_TypLabor,MATCH(G134,LR_Key,0)),"")</f>
        <v>1200</v>
      </c>
      <c r="I134" s="12" t="n">
        <f aca="false">INDEX(Urg_Mult,MATCH(E134,Urg_Levels,0))</f>
        <v>1</v>
      </c>
      <c r="J134" s="3" t="n">
        <f aca="false">IF(ISNUMBER(H134),MAX(H134,IFERROR(INDEX(MW_Floor,MATCH(G134,MW_Key,0)),0))*I134,"")</f>
        <v>1200</v>
      </c>
      <c r="K134" s="3" t="n">
        <f aca="false">IF(ISNUMBER(J134),F134+J134,"")</f>
        <v>1200</v>
      </c>
      <c r="L134" s="3" t="n">
        <f aca="false">IF(ISNUMBER(H134),MAX(H134,IFERROR(INDEX(MW_Floor,MATCH(G134,MW_Key,0)),0))*I134,"")</f>
        <v>1200</v>
      </c>
      <c r="M134" s="2" t="str">
        <f aca="false">IFERROR(INDEX(LR_Flag,MATCH(G134,LR_Key,0)),"")</f>
        <v>regulated</v>
      </c>
      <c r="N134" s="2" t="str">
        <f aca="false">IFERROR(INDEX(MW_Check,MATCH(G134,MW_Key,0)),"")</f>
        <v>OK</v>
      </c>
      <c r="O134" s="0" t="str">
        <f aca="false">IF(NOT(ISNUMBER(H134)),"LABOR QUOTE NEEDED – total incomplete",IF(N134="BELOW FLOOR","CHECK: typical labor below wage floor – payout and customer labor raised to floor",IF(M134&lt;&gt;"none","Labor rate flagged: "&amp;M134,"OK")))</f>
        <v>Labor rate flagged: regulated</v>
      </c>
      <c r="P134" s="0" t="s">
        <v>1166</v>
      </c>
      <c r="Q134" s="8" t="s">
        <v>1167</v>
      </c>
      <c r="R134" s="2" t="str">
        <f aca="false">IF(OR(M134="regulated",COUNTIFS(Tasks_TaskID,A134,Tasks_Tier,D134,Tasks_Review,"base")&gt;0),"PENDING REVIEW – priced, not bookable until human approval",IF(COUNTIFS(Tasks_TaskID,A134,Tasks_Tier,D134,Tasks_Review,"as-needed")&gt;0,"Bookable (re-evaluate if regulated as-needed line selected)","Bookable"))</f>
        <v>PENDING REVIEW – priced, not bookable until human approval</v>
      </c>
    </row>
    <row r="135" customFormat="false" ht="17.15" hidden="false" customHeight="false" outlineLevel="0" collapsed="false">
      <c r="A135" s="2" t="s">
        <v>1161</v>
      </c>
      <c r="B135" s="2" t="s">
        <v>229</v>
      </c>
      <c r="C135" s="2" t="s">
        <v>1162</v>
      </c>
      <c r="D135" s="2" t="s">
        <v>1042</v>
      </c>
      <c r="E135" s="2" t="s">
        <v>1896</v>
      </c>
      <c r="F135" s="3" t="n">
        <f aca="false">INDEX(Sum_Base,MATCH(A135,Sum_BaseTasks,0),MATCH(D135,Sum_BaseTiers,0))</f>
        <v>0</v>
      </c>
      <c r="G135" s="2" t="str">
        <f aca="false">IF(ISNUMBER(MATCH(A135&amp;"|"&amp;D135,LR_Key,0)),A135&amp;"|"&amp;D135,A135&amp;"|All")</f>
        <v>FIXX-PST-001|All</v>
      </c>
      <c r="H135" s="3" t="n">
        <f aca="false">IFERROR(INDEX(LR_TypLabor,MATCH(G135,LR_Key,0)),"")</f>
        <v>1200</v>
      </c>
      <c r="I135" s="12" t="n">
        <f aca="false">INDEX(Urg_Mult,MATCH(E135,Urg_Levels,0))</f>
        <v>1.15</v>
      </c>
      <c r="J135" s="3" t="n">
        <f aca="false">IF(ISNUMBER(H135),MAX(H135,IFERROR(INDEX(MW_Floor,MATCH(G135,MW_Key,0)),0))*I135,"")</f>
        <v>1380</v>
      </c>
      <c r="K135" s="3" t="n">
        <f aca="false">IF(ISNUMBER(J135),F135+J135,"")</f>
        <v>1380</v>
      </c>
      <c r="L135" s="3" t="n">
        <f aca="false">IF(ISNUMBER(H135),MAX(H135,IFERROR(INDEX(MW_Floor,MATCH(G135,MW_Key,0)),0))*I135,"")</f>
        <v>1380</v>
      </c>
      <c r="M135" s="2" t="str">
        <f aca="false">IFERROR(INDEX(LR_Flag,MATCH(G135,LR_Key,0)),"")</f>
        <v>regulated</v>
      </c>
      <c r="N135" s="2" t="str">
        <f aca="false">IFERROR(INDEX(MW_Check,MATCH(G135,MW_Key,0)),"")</f>
        <v>OK</v>
      </c>
      <c r="O135" s="0" t="str">
        <f aca="false">IF(NOT(ISNUMBER(H135)),"LABOR QUOTE NEEDED – total incomplete",IF(N135="BELOW FLOOR","CHECK: typical labor below wage floor – payout and customer labor raised to floor",IF(M135&lt;&gt;"none","Labor rate flagged: "&amp;M135,"OK")))</f>
        <v>Labor rate flagged: regulated</v>
      </c>
      <c r="P135" s="0" t="s">
        <v>1166</v>
      </c>
      <c r="Q135" s="8" t="s">
        <v>1167</v>
      </c>
      <c r="R135" s="2" t="str">
        <f aca="false">IF(OR(M135="regulated",COUNTIFS(Tasks_TaskID,A135,Tasks_Tier,D135,Tasks_Review,"base")&gt;0),"PENDING REVIEW – priced, not bookable until human approval",IF(COUNTIFS(Tasks_TaskID,A135,Tasks_Tier,D135,Tasks_Review,"as-needed")&gt;0,"Bookable (re-evaluate if regulated as-needed line selected)","Bookable"))</f>
        <v>PENDING REVIEW – priced, not bookable until human approval</v>
      </c>
    </row>
    <row r="136" customFormat="false" ht="17.15" hidden="false" customHeight="false" outlineLevel="0" collapsed="false">
      <c r="A136" s="2" t="s">
        <v>1161</v>
      </c>
      <c r="B136" s="2" t="s">
        <v>229</v>
      </c>
      <c r="C136" s="2" t="s">
        <v>1162</v>
      </c>
      <c r="D136" s="2" t="s">
        <v>1042</v>
      </c>
      <c r="E136" s="2" t="s">
        <v>1897</v>
      </c>
      <c r="F136" s="3" t="n">
        <f aca="false">INDEX(Sum_Base,MATCH(A136,Sum_BaseTasks,0),MATCH(D136,Sum_BaseTiers,0))</f>
        <v>0</v>
      </c>
      <c r="G136" s="2" t="str">
        <f aca="false">IF(ISNUMBER(MATCH(A136&amp;"|"&amp;D136,LR_Key,0)),A136&amp;"|"&amp;D136,A136&amp;"|All")</f>
        <v>FIXX-PST-001|All</v>
      </c>
      <c r="H136" s="3" t="n">
        <f aca="false">IFERROR(INDEX(LR_TypLabor,MATCH(G136,LR_Key,0)),"")</f>
        <v>1200</v>
      </c>
      <c r="I136" s="12" t="n">
        <f aca="false">INDEX(Urg_Mult,MATCH(E136,Urg_Levels,0))</f>
        <v>1.3</v>
      </c>
      <c r="J136" s="3" t="n">
        <f aca="false">IF(ISNUMBER(H136),MAX(H136,IFERROR(INDEX(MW_Floor,MATCH(G136,MW_Key,0)),0))*I136,"")</f>
        <v>1560</v>
      </c>
      <c r="K136" s="3" t="n">
        <f aca="false">IF(ISNUMBER(J136),F136+J136,"")</f>
        <v>1560</v>
      </c>
      <c r="L136" s="3" t="n">
        <f aca="false">IF(ISNUMBER(H136),MAX(H136,IFERROR(INDEX(MW_Floor,MATCH(G136,MW_Key,0)),0))*I136,"")</f>
        <v>1560</v>
      </c>
      <c r="M136" s="2" t="str">
        <f aca="false">IFERROR(INDEX(LR_Flag,MATCH(G136,LR_Key,0)),"")</f>
        <v>regulated</v>
      </c>
      <c r="N136" s="2" t="str">
        <f aca="false">IFERROR(INDEX(MW_Check,MATCH(G136,MW_Key,0)),"")</f>
        <v>OK</v>
      </c>
      <c r="O136" s="0" t="str">
        <f aca="false">IF(NOT(ISNUMBER(H136)),"LABOR QUOTE NEEDED – total incomplete",IF(N136="BELOW FLOOR","CHECK: typical labor below wage floor – payout and customer labor raised to floor",IF(M136&lt;&gt;"none","Labor rate flagged: "&amp;M136,"OK")))</f>
        <v>Labor rate flagged: regulated</v>
      </c>
      <c r="P136" s="0" t="s">
        <v>1166</v>
      </c>
      <c r="Q136" s="8" t="s">
        <v>1167</v>
      </c>
      <c r="R136" s="2" t="str">
        <f aca="false">IF(OR(M136="regulated",COUNTIFS(Tasks_TaskID,A136,Tasks_Tier,D136,Tasks_Review,"base")&gt;0),"PENDING REVIEW – priced, not bookable until human approval",IF(COUNTIFS(Tasks_TaskID,A136,Tasks_Tier,D136,Tasks_Review,"as-needed")&gt;0,"Bookable (re-evaluate if regulated as-needed line selected)","Bookable"))</f>
        <v>PENDING REVIEW – priced, not bookable until human approval</v>
      </c>
    </row>
    <row r="137" customFormat="false" ht="17.15" hidden="false" customHeight="false" outlineLevel="0" collapsed="false">
      <c r="A137" s="2" t="s">
        <v>1161</v>
      </c>
      <c r="B137" s="2" t="s">
        <v>229</v>
      </c>
      <c r="C137" s="2" t="s">
        <v>1162</v>
      </c>
      <c r="D137" s="2" t="s">
        <v>1042</v>
      </c>
      <c r="E137" s="2" t="s">
        <v>1898</v>
      </c>
      <c r="F137" s="3" t="n">
        <f aca="false">INDEX(Sum_Base,MATCH(A137,Sum_BaseTasks,0),MATCH(D137,Sum_BaseTiers,0))</f>
        <v>0</v>
      </c>
      <c r="G137" s="2" t="str">
        <f aca="false">IF(ISNUMBER(MATCH(A137&amp;"|"&amp;D137,LR_Key,0)),A137&amp;"|"&amp;D137,A137&amp;"|All")</f>
        <v>FIXX-PST-001|All</v>
      </c>
      <c r="H137" s="3" t="n">
        <f aca="false">IFERROR(INDEX(LR_TypLabor,MATCH(G137,LR_Key,0)),"")</f>
        <v>1200</v>
      </c>
      <c r="I137" s="12" t="n">
        <f aca="false">INDEX(Urg_Mult,MATCH(E137,Urg_Levels,0))</f>
        <v>1.5</v>
      </c>
      <c r="J137" s="3" t="n">
        <f aca="false">IF(ISNUMBER(H137),MAX(H137,IFERROR(INDEX(MW_Floor,MATCH(G137,MW_Key,0)),0))*I137,"")</f>
        <v>1800</v>
      </c>
      <c r="K137" s="3" t="n">
        <f aca="false">IF(ISNUMBER(J137),F137+J137,"")</f>
        <v>1800</v>
      </c>
      <c r="L137" s="3" t="n">
        <f aca="false">IF(ISNUMBER(H137),MAX(H137,IFERROR(INDEX(MW_Floor,MATCH(G137,MW_Key,0)),0))*I137,"")</f>
        <v>1800</v>
      </c>
      <c r="M137" s="2" t="str">
        <f aca="false">IFERROR(INDEX(LR_Flag,MATCH(G137,LR_Key,0)),"")</f>
        <v>regulated</v>
      </c>
      <c r="N137" s="2" t="str">
        <f aca="false">IFERROR(INDEX(MW_Check,MATCH(G137,MW_Key,0)),"")</f>
        <v>OK</v>
      </c>
      <c r="O137" s="0" t="str">
        <f aca="false">IF(NOT(ISNUMBER(H137)),"LABOR QUOTE NEEDED – total incomplete",IF(N137="BELOW FLOOR","CHECK: typical labor below wage floor – payout and customer labor raised to floor",IF(M137&lt;&gt;"none","Labor rate flagged: "&amp;M137,"OK")))</f>
        <v>Labor rate flagged: regulated</v>
      </c>
      <c r="P137" s="0" t="s">
        <v>1166</v>
      </c>
      <c r="Q137" s="8" t="s">
        <v>1167</v>
      </c>
      <c r="R137" s="2" t="str">
        <f aca="false">IF(OR(M137="regulated",COUNTIFS(Tasks_TaskID,A137,Tasks_Tier,D137,Tasks_Review,"base")&gt;0),"PENDING REVIEW – priced, not bookable until human approval",IF(COUNTIFS(Tasks_TaskID,A137,Tasks_Tier,D137,Tasks_Review,"as-needed")&gt;0,"Bookable (re-evaluate if regulated as-needed line selected)","Bookable"))</f>
        <v>PENDING REVIEW – priced, not bookable until human approval</v>
      </c>
    </row>
    <row r="138" customFormat="false" ht="17.15" hidden="false" customHeight="false" outlineLevel="0" collapsed="false">
      <c r="A138" s="2" t="s">
        <v>1161</v>
      </c>
      <c r="B138" s="2" t="s">
        <v>229</v>
      </c>
      <c r="C138" s="2" t="s">
        <v>1162</v>
      </c>
      <c r="D138" s="2" t="s">
        <v>1049</v>
      </c>
      <c r="E138" s="2" t="s">
        <v>1895</v>
      </c>
      <c r="F138" s="3" t="n">
        <f aca="false">INDEX(Sum_Base,MATCH(A138,Sum_BaseTasks,0),MATCH(D138,Sum_BaseTiers,0))</f>
        <v>0</v>
      </c>
      <c r="G138" s="2" t="str">
        <f aca="false">IF(ISNUMBER(MATCH(A138&amp;"|"&amp;D138,LR_Key,0)),A138&amp;"|"&amp;D138,A138&amp;"|All")</f>
        <v>FIXX-PST-001|All</v>
      </c>
      <c r="H138" s="3" t="n">
        <f aca="false">IFERROR(INDEX(LR_TypLabor,MATCH(G138,LR_Key,0)),"")</f>
        <v>1200</v>
      </c>
      <c r="I138" s="12" t="n">
        <f aca="false">INDEX(Urg_Mult,MATCH(E138,Urg_Levels,0))</f>
        <v>1</v>
      </c>
      <c r="J138" s="3" t="n">
        <f aca="false">IF(ISNUMBER(H138),MAX(H138,IFERROR(INDEX(MW_Floor,MATCH(G138,MW_Key,0)),0))*I138,"")</f>
        <v>1200</v>
      </c>
      <c r="K138" s="3" t="n">
        <f aca="false">IF(ISNUMBER(J138),F138+J138,"")</f>
        <v>1200</v>
      </c>
      <c r="L138" s="3" t="n">
        <f aca="false">IF(ISNUMBER(H138),MAX(H138,IFERROR(INDEX(MW_Floor,MATCH(G138,MW_Key,0)),0))*I138,"")</f>
        <v>1200</v>
      </c>
      <c r="M138" s="2" t="str">
        <f aca="false">IFERROR(INDEX(LR_Flag,MATCH(G138,LR_Key,0)),"")</f>
        <v>regulated</v>
      </c>
      <c r="N138" s="2" t="str">
        <f aca="false">IFERROR(INDEX(MW_Check,MATCH(G138,MW_Key,0)),"")</f>
        <v>OK</v>
      </c>
      <c r="O138" s="0" t="str">
        <f aca="false">IF(NOT(ISNUMBER(H138)),"LABOR QUOTE NEEDED – total incomplete",IF(N138="BELOW FLOOR","CHECK: typical labor below wage floor – payout and customer labor raised to floor",IF(M138&lt;&gt;"none","Labor rate flagged: "&amp;M138,"OK")))</f>
        <v>Labor rate flagged: regulated</v>
      </c>
      <c r="P138" s="0" t="s">
        <v>1166</v>
      </c>
      <c r="Q138" s="8" t="s">
        <v>1167</v>
      </c>
      <c r="R138" s="2" t="str">
        <f aca="false">IF(OR(M138="regulated",COUNTIFS(Tasks_TaskID,A138,Tasks_Tier,D138,Tasks_Review,"base")&gt;0),"PENDING REVIEW – priced, not bookable until human approval",IF(COUNTIFS(Tasks_TaskID,A138,Tasks_Tier,D138,Tasks_Review,"as-needed")&gt;0,"Bookable (re-evaluate if regulated as-needed line selected)","Bookable"))</f>
        <v>PENDING REVIEW – priced, not bookable until human approval</v>
      </c>
    </row>
    <row r="139" customFormat="false" ht="17.15" hidden="false" customHeight="false" outlineLevel="0" collapsed="false">
      <c r="A139" s="2" t="s">
        <v>1161</v>
      </c>
      <c r="B139" s="2" t="s">
        <v>229</v>
      </c>
      <c r="C139" s="2" t="s">
        <v>1162</v>
      </c>
      <c r="D139" s="2" t="s">
        <v>1049</v>
      </c>
      <c r="E139" s="2" t="s">
        <v>1896</v>
      </c>
      <c r="F139" s="3" t="n">
        <f aca="false">INDEX(Sum_Base,MATCH(A139,Sum_BaseTasks,0),MATCH(D139,Sum_BaseTiers,0))</f>
        <v>0</v>
      </c>
      <c r="G139" s="2" t="str">
        <f aca="false">IF(ISNUMBER(MATCH(A139&amp;"|"&amp;D139,LR_Key,0)),A139&amp;"|"&amp;D139,A139&amp;"|All")</f>
        <v>FIXX-PST-001|All</v>
      </c>
      <c r="H139" s="3" t="n">
        <f aca="false">IFERROR(INDEX(LR_TypLabor,MATCH(G139,LR_Key,0)),"")</f>
        <v>1200</v>
      </c>
      <c r="I139" s="12" t="n">
        <f aca="false">INDEX(Urg_Mult,MATCH(E139,Urg_Levels,0))</f>
        <v>1.15</v>
      </c>
      <c r="J139" s="3" t="n">
        <f aca="false">IF(ISNUMBER(H139),MAX(H139,IFERROR(INDEX(MW_Floor,MATCH(G139,MW_Key,0)),0))*I139,"")</f>
        <v>1380</v>
      </c>
      <c r="K139" s="3" t="n">
        <f aca="false">IF(ISNUMBER(J139),F139+J139,"")</f>
        <v>1380</v>
      </c>
      <c r="L139" s="3" t="n">
        <f aca="false">IF(ISNUMBER(H139),MAX(H139,IFERROR(INDEX(MW_Floor,MATCH(G139,MW_Key,0)),0))*I139,"")</f>
        <v>1380</v>
      </c>
      <c r="M139" s="2" t="str">
        <f aca="false">IFERROR(INDEX(LR_Flag,MATCH(G139,LR_Key,0)),"")</f>
        <v>regulated</v>
      </c>
      <c r="N139" s="2" t="str">
        <f aca="false">IFERROR(INDEX(MW_Check,MATCH(G139,MW_Key,0)),"")</f>
        <v>OK</v>
      </c>
      <c r="O139" s="0" t="str">
        <f aca="false">IF(NOT(ISNUMBER(H139)),"LABOR QUOTE NEEDED – total incomplete",IF(N139="BELOW FLOOR","CHECK: typical labor below wage floor – payout and customer labor raised to floor",IF(M139&lt;&gt;"none","Labor rate flagged: "&amp;M139,"OK")))</f>
        <v>Labor rate flagged: regulated</v>
      </c>
      <c r="P139" s="0" t="s">
        <v>1166</v>
      </c>
      <c r="Q139" s="8" t="s">
        <v>1167</v>
      </c>
      <c r="R139" s="2" t="str">
        <f aca="false">IF(OR(M139="regulated",COUNTIFS(Tasks_TaskID,A139,Tasks_Tier,D139,Tasks_Review,"base")&gt;0),"PENDING REVIEW – priced, not bookable until human approval",IF(COUNTIFS(Tasks_TaskID,A139,Tasks_Tier,D139,Tasks_Review,"as-needed")&gt;0,"Bookable (re-evaluate if regulated as-needed line selected)","Bookable"))</f>
        <v>PENDING REVIEW – priced, not bookable until human approval</v>
      </c>
    </row>
    <row r="140" customFormat="false" ht="17.15" hidden="false" customHeight="false" outlineLevel="0" collapsed="false">
      <c r="A140" s="2" t="s">
        <v>1161</v>
      </c>
      <c r="B140" s="2" t="s">
        <v>229</v>
      </c>
      <c r="C140" s="2" t="s">
        <v>1162</v>
      </c>
      <c r="D140" s="2" t="s">
        <v>1049</v>
      </c>
      <c r="E140" s="2" t="s">
        <v>1897</v>
      </c>
      <c r="F140" s="3" t="n">
        <f aca="false">INDEX(Sum_Base,MATCH(A140,Sum_BaseTasks,0),MATCH(D140,Sum_BaseTiers,0))</f>
        <v>0</v>
      </c>
      <c r="G140" s="2" t="str">
        <f aca="false">IF(ISNUMBER(MATCH(A140&amp;"|"&amp;D140,LR_Key,0)),A140&amp;"|"&amp;D140,A140&amp;"|All")</f>
        <v>FIXX-PST-001|All</v>
      </c>
      <c r="H140" s="3" t="n">
        <f aca="false">IFERROR(INDEX(LR_TypLabor,MATCH(G140,LR_Key,0)),"")</f>
        <v>1200</v>
      </c>
      <c r="I140" s="12" t="n">
        <f aca="false">INDEX(Urg_Mult,MATCH(E140,Urg_Levels,0))</f>
        <v>1.3</v>
      </c>
      <c r="J140" s="3" t="n">
        <f aca="false">IF(ISNUMBER(H140),MAX(H140,IFERROR(INDEX(MW_Floor,MATCH(G140,MW_Key,0)),0))*I140,"")</f>
        <v>1560</v>
      </c>
      <c r="K140" s="3" t="n">
        <f aca="false">IF(ISNUMBER(J140),F140+J140,"")</f>
        <v>1560</v>
      </c>
      <c r="L140" s="3" t="n">
        <f aca="false">IF(ISNUMBER(H140),MAX(H140,IFERROR(INDEX(MW_Floor,MATCH(G140,MW_Key,0)),0))*I140,"")</f>
        <v>1560</v>
      </c>
      <c r="M140" s="2" t="str">
        <f aca="false">IFERROR(INDEX(LR_Flag,MATCH(G140,LR_Key,0)),"")</f>
        <v>regulated</v>
      </c>
      <c r="N140" s="2" t="str">
        <f aca="false">IFERROR(INDEX(MW_Check,MATCH(G140,MW_Key,0)),"")</f>
        <v>OK</v>
      </c>
      <c r="O140" s="0" t="str">
        <f aca="false">IF(NOT(ISNUMBER(H140)),"LABOR QUOTE NEEDED – total incomplete",IF(N140="BELOW FLOOR","CHECK: typical labor below wage floor – payout and customer labor raised to floor",IF(M140&lt;&gt;"none","Labor rate flagged: "&amp;M140,"OK")))</f>
        <v>Labor rate flagged: regulated</v>
      </c>
      <c r="P140" s="0" t="s">
        <v>1166</v>
      </c>
      <c r="Q140" s="8" t="s">
        <v>1167</v>
      </c>
      <c r="R140" s="2" t="str">
        <f aca="false">IF(OR(M140="regulated",COUNTIFS(Tasks_TaskID,A140,Tasks_Tier,D140,Tasks_Review,"base")&gt;0),"PENDING REVIEW – priced, not bookable until human approval",IF(COUNTIFS(Tasks_TaskID,A140,Tasks_Tier,D140,Tasks_Review,"as-needed")&gt;0,"Bookable (re-evaluate if regulated as-needed line selected)","Bookable"))</f>
        <v>PENDING REVIEW – priced, not bookable until human approval</v>
      </c>
    </row>
    <row r="141" customFormat="false" ht="17.15" hidden="false" customHeight="false" outlineLevel="0" collapsed="false">
      <c r="A141" s="2" t="s">
        <v>1161</v>
      </c>
      <c r="B141" s="2" t="s">
        <v>229</v>
      </c>
      <c r="C141" s="2" t="s">
        <v>1162</v>
      </c>
      <c r="D141" s="2" t="s">
        <v>1049</v>
      </c>
      <c r="E141" s="2" t="s">
        <v>1898</v>
      </c>
      <c r="F141" s="3" t="n">
        <f aca="false">INDEX(Sum_Base,MATCH(A141,Sum_BaseTasks,0),MATCH(D141,Sum_BaseTiers,0))</f>
        <v>0</v>
      </c>
      <c r="G141" s="2" t="str">
        <f aca="false">IF(ISNUMBER(MATCH(A141&amp;"|"&amp;D141,LR_Key,0)),A141&amp;"|"&amp;D141,A141&amp;"|All")</f>
        <v>FIXX-PST-001|All</v>
      </c>
      <c r="H141" s="3" t="n">
        <f aca="false">IFERROR(INDEX(LR_TypLabor,MATCH(G141,LR_Key,0)),"")</f>
        <v>1200</v>
      </c>
      <c r="I141" s="12" t="n">
        <f aca="false">INDEX(Urg_Mult,MATCH(E141,Urg_Levels,0))</f>
        <v>1.5</v>
      </c>
      <c r="J141" s="3" t="n">
        <f aca="false">IF(ISNUMBER(H141),MAX(H141,IFERROR(INDEX(MW_Floor,MATCH(G141,MW_Key,0)),0))*I141,"")</f>
        <v>1800</v>
      </c>
      <c r="K141" s="3" t="n">
        <f aca="false">IF(ISNUMBER(J141),F141+J141,"")</f>
        <v>1800</v>
      </c>
      <c r="L141" s="3" t="n">
        <f aca="false">IF(ISNUMBER(H141),MAX(H141,IFERROR(INDEX(MW_Floor,MATCH(G141,MW_Key,0)),0))*I141,"")</f>
        <v>1800</v>
      </c>
      <c r="M141" s="2" t="str">
        <f aca="false">IFERROR(INDEX(LR_Flag,MATCH(G141,LR_Key,0)),"")</f>
        <v>regulated</v>
      </c>
      <c r="N141" s="2" t="str">
        <f aca="false">IFERROR(INDEX(MW_Check,MATCH(G141,MW_Key,0)),"")</f>
        <v>OK</v>
      </c>
      <c r="O141" s="0" t="str">
        <f aca="false">IF(NOT(ISNUMBER(H141)),"LABOR QUOTE NEEDED – total incomplete",IF(N141="BELOW FLOOR","CHECK: typical labor below wage floor – payout and customer labor raised to floor",IF(M141&lt;&gt;"none","Labor rate flagged: "&amp;M141,"OK")))</f>
        <v>Labor rate flagged: regulated</v>
      </c>
      <c r="P141" s="0" t="s">
        <v>1166</v>
      </c>
      <c r="Q141" s="8" t="s">
        <v>1167</v>
      </c>
      <c r="R141" s="2" t="str">
        <f aca="false">IF(OR(M141="regulated",COUNTIFS(Tasks_TaskID,A141,Tasks_Tier,D141,Tasks_Review,"base")&gt;0),"PENDING REVIEW – priced, not bookable until human approval",IF(COUNTIFS(Tasks_TaskID,A141,Tasks_Tier,D141,Tasks_Review,"as-needed")&gt;0,"Bookable (re-evaluate if regulated as-needed line selected)","Bookable"))</f>
        <v>PENDING REVIEW – priced, not bookable until human approval</v>
      </c>
    </row>
    <row r="142" customFormat="false" ht="17.15" hidden="false" customHeight="false" outlineLevel="0" collapsed="false">
      <c r="A142" s="2" t="s">
        <v>1161</v>
      </c>
      <c r="B142" s="2" t="s">
        <v>229</v>
      </c>
      <c r="C142" s="2" t="s">
        <v>1162</v>
      </c>
      <c r="D142" s="2" t="s">
        <v>1051</v>
      </c>
      <c r="E142" s="2" t="s">
        <v>1895</v>
      </c>
      <c r="F142" s="3" t="n">
        <f aca="false">INDEX(Sum_Base,MATCH(A142,Sum_BaseTasks,0),MATCH(D142,Sum_BaseTiers,0))</f>
        <v>0</v>
      </c>
      <c r="G142" s="2" t="str">
        <f aca="false">IF(ISNUMBER(MATCH(A142&amp;"|"&amp;D142,LR_Key,0)),A142&amp;"|"&amp;D142,A142&amp;"|All")</f>
        <v>FIXX-PST-001|All</v>
      </c>
      <c r="H142" s="3" t="n">
        <f aca="false">IFERROR(INDEX(LR_TypLabor,MATCH(G142,LR_Key,0)),"")</f>
        <v>1200</v>
      </c>
      <c r="I142" s="12" t="n">
        <f aca="false">INDEX(Urg_Mult,MATCH(E142,Urg_Levels,0))</f>
        <v>1</v>
      </c>
      <c r="J142" s="3" t="n">
        <f aca="false">IF(ISNUMBER(H142),MAX(H142,IFERROR(INDEX(MW_Floor,MATCH(G142,MW_Key,0)),0))*I142,"")</f>
        <v>1200</v>
      </c>
      <c r="K142" s="3" t="n">
        <f aca="false">IF(ISNUMBER(J142),F142+J142,"")</f>
        <v>1200</v>
      </c>
      <c r="L142" s="3" t="n">
        <f aca="false">IF(ISNUMBER(H142),MAX(H142,IFERROR(INDEX(MW_Floor,MATCH(G142,MW_Key,0)),0))*I142,"")</f>
        <v>1200</v>
      </c>
      <c r="M142" s="2" t="str">
        <f aca="false">IFERROR(INDEX(LR_Flag,MATCH(G142,LR_Key,0)),"")</f>
        <v>regulated</v>
      </c>
      <c r="N142" s="2" t="str">
        <f aca="false">IFERROR(INDEX(MW_Check,MATCH(G142,MW_Key,0)),"")</f>
        <v>OK</v>
      </c>
      <c r="O142" s="0" t="str">
        <f aca="false">IF(NOT(ISNUMBER(H142)),"LABOR QUOTE NEEDED – total incomplete",IF(N142="BELOW FLOOR","CHECK: typical labor below wage floor – payout and customer labor raised to floor",IF(M142&lt;&gt;"none","Labor rate flagged: "&amp;M142,"OK")))</f>
        <v>Labor rate flagged: regulated</v>
      </c>
      <c r="P142" s="0" t="s">
        <v>1166</v>
      </c>
      <c r="Q142" s="8" t="s">
        <v>1167</v>
      </c>
      <c r="R142" s="2" t="str">
        <f aca="false">IF(OR(M142="regulated",COUNTIFS(Tasks_TaskID,A142,Tasks_Tier,D142,Tasks_Review,"base")&gt;0),"PENDING REVIEW – priced, not bookable until human approval",IF(COUNTIFS(Tasks_TaskID,A142,Tasks_Tier,D142,Tasks_Review,"as-needed")&gt;0,"Bookable (re-evaluate if regulated as-needed line selected)","Bookable"))</f>
        <v>PENDING REVIEW – priced, not bookable until human approval</v>
      </c>
    </row>
    <row r="143" customFormat="false" ht="17.15" hidden="false" customHeight="false" outlineLevel="0" collapsed="false">
      <c r="A143" s="2" t="s">
        <v>1161</v>
      </c>
      <c r="B143" s="2" t="s">
        <v>229</v>
      </c>
      <c r="C143" s="2" t="s">
        <v>1162</v>
      </c>
      <c r="D143" s="2" t="s">
        <v>1051</v>
      </c>
      <c r="E143" s="2" t="s">
        <v>1896</v>
      </c>
      <c r="F143" s="3" t="n">
        <f aca="false">INDEX(Sum_Base,MATCH(A143,Sum_BaseTasks,0),MATCH(D143,Sum_BaseTiers,0))</f>
        <v>0</v>
      </c>
      <c r="G143" s="2" t="str">
        <f aca="false">IF(ISNUMBER(MATCH(A143&amp;"|"&amp;D143,LR_Key,0)),A143&amp;"|"&amp;D143,A143&amp;"|All")</f>
        <v>FIXX-PST-001|All</v>
      </c>
      <c r="H143" s="3" t="n">
        <f aca="false">IFERROR(INDEX(LR_TypLabor,MATCH(G143,LR_Key,0)),"")</f>
        <v>1200</v>
      </c>
      <c r="I143" s="12" t="n">
        <f aca="false">INDEX(Urg_Mult,MATCH(E143,Urg_Levels,0))</f>
        <v>1.15</v>
      </c>
      <c r="J143" s="3" t="n">
        <f aca="false">IF(ISNUMBER(H143),MAX(H143,IFERROR(INDEX(MW_Floor,MATCH(G143,MW_Key,0)),0))*I143,"")</f>
        <v>1380</v>
      </c>
      <c r="K143" s="3" t="n">
        <f aca="false">IF(ISNUMBER(J143),F143+J143,"")</f>
        <v>1380</v>
      </c>
      <c r="L143" s="3" t="n">
        <f aca="false">IF(ISNUMBER(H143),MAX(H143,IFERROR(INDEX(MW_Floor,MATCH(G143,MW_Key,0)),0))*I143,"")</f>
        <v>1380</v>
      </c>
      <c r="M143" s="2" t="str">
        <f aca="false">IFERROR(INDEX(LR_Flag,MATCH(G143,LR_Key,0)),"")</f>
        <v>regulated</v>
      </c>
      <c r="N143" s="2" t="str">
        <f aca="false">IFERROR(INDEX(MW_Check,MATCH(G143,MW_Key,0)),"")</f>
        <v>OK</v>
      </c>
      <c r="O143" s="0" t="str">
        <f aca="false">IF(NOT(ISNUMBER(H143)),"LABOR QUOTE NEEDED – total incomplete",IF(N143="BELOW FLOOR","CHECK: typical labor below wage floor – payout and customer labor raised to floor",IF(M143&lt;&gt;"none","Labor rate flagged: "&amp;M143,"OK")))</f>
        <v>Labor rate flagged: regulated</v>
      </c>
      <c r="P143" s="0" t="s">
        <v>1166</v>
      </c>
      <c r="Q143" s="8" t="s">
        <v>1167</v>
      </c>
      <c r="R143" s="2" t="str">
        <f aca="false">IF(OR(M143="regulated",COUNTIFS(Tasks_TaskID,A143,Tasks_Tier,D143,Tasks_Review,"base")&gt;0),"PENDING REVIEW – priced, not bookable until human approval",IF(COUNTIFS(Tasks_TaskID,A143,Tasks_Tier,D143,Tasks_Review,"as-needed")&gt;0,"Bookable (re-evaluate if regulated as-needed line selected)","Bookable"))</f>
        <v>PENDING REVIEW – priced, not bookable until human approval</v>
      </c>
    </row>
    <row r="144" customFormat="false" ht="17.15" hidden="false" customHeight="false" outlineLevel="0" collapsed="false">
      <c r="A144" s="2" t="s">
        <v>1161</v>
      </c>
      <c r="B144" s="2" t="s">
        <v>229</v>
      </c>
      <c r="C144" s="2" t="s">
        <v>1162</v>
      </c>
      <c r="D144" s="2" t="s">
        <v>1051</v>
      </c>
      <c r="E144" s="2" t="s">
        <v>1897</v>
      </c>
      <c r="F144" s="3" t="n">
        <f aca="false">INDEX(Sum_Base,MATCH(A144,Sum_BaseTasks,0),MATCH(D144,Sum_BaseTiers,0))</f>
        <v>0</v>
      </c>
      <c r="G144" s="2" t="str">
        <f aca="false">IF(ISNUMBER(MATCH(A144&amp;"|"&amp;D144,LR_Key,0)),A144&amp;"|"&amp;D144,A144&amp;"|All")</f>
        <v>FIXX-PST-001|All</v>
      </c>
      <c r="H144" s="3" t="n">
        <f aca="false">IFERROR(INDEX(LR_TypLabor,MATCH(G144,LR_Key,0)),"")</f>
        <v>1200</v>
      </c>
      <c r="I144" s="12" t="n">
        <f aca="false">INDEX(Urg_Mult,MATCH(E144,Urg_Levels,0))</f>
        <v>1.3</v>
      </c>
      <c r="J144" s="3" t="n">
        <f aca="false">IF(ISNUMBER(H144),MAX(H144,IFERROR(INDEX(MW_Floor,MATCH(G144,MW_Key,0)),0))*I144,"")</f>
        <v>1560</v>
      </c>
      <c r="K144" s="3" t="n">
        <f aca="false">IF(ISNUMBER(J144),F144+J144,"")</f>
        <v>1560</v>
      </c>
      <c r="L144" s="3" t="n">
        <f aca="false">IF(ISNUMBER(H144),MAX(H144,IFERROR(INDEX(MW_Floor,MATCH(G144,MW_Key,0)),0))*I144,"")</f>
        <v>1560</v>
      </c>
      <c r="M144" s="2" t="str">
        <f aca="false">IFERROR(INDEX(LR_Flag,MATCH(G144,LR_Key,0)),"")</f>
        <v>regulated</v>
      </c>
      <c r="N144" s="2" t="str">
        <f aca="false">IFERROR(INDEX(MW_Check,MATCH(G144,MW_Key,0)),"")</f>
        <v>OK</v>
      </c>
      <c r="O144" s="0" t="str">
        <f aca="false">IF(NOT(ISNUMBER(H144)),"LABOR QUOTE NEEDED – total incomplete",IF(N144="BELOW FLOOR","CHECK: typical labor below wage floor – payout and customer labor raised to floor",IF(M144&lt;&gt;"none","Labor rate flagged: "&amp;M144,"OK")))</f>
        <v>Labor rate flagged: regulated</v>
      </c>
      <c r="P144" s="0" t="s">
        <v>1166</v>
      </c>
      <c r="Q144" s="8" t="s">
        <v>1167</v>
      </c>
      <c r="R144" s="2" t="str">
        <f aca="false">IF(OR(M144="regulated",COUNTIFS(Tasks_TaskID,A144,Tasks_Tier,D144,Tasks_Review,"base")&gt;0),"PENDING REVIEW – priced, not bookable until human approval",IF(COUNTIFS(Tasks_TaskID,A144,Tasks_Tier,D144,Tasks_Review,"as-needed")&gt;0,"Bookable (re-evaluate if regulated as-needed line selected)","Bookable"))</f>
        <v>PENDING REVIEW – priced, not bookable until human approval</v>
      </c>
    </row>
    <row r="145" customFormat="false" ht="17.15" hidden="false" customHeight="false" outlineLevel="0" collapsed="false">
      <c r="A145" s="2" t="s">
        <v>1161</v>
      </c>
      <c r="B145" s="2" t="s">
        <v>229</v>
      </c>
      <c r="C145" s="2" t="s">
        <v>1162</v>
      </c>
      <c r="D145" s="2" t="s">
        <v>1051</v>
      </c>
      <c r="E145" s="2" t="s">
        <v>1898</v>
      </c>
      <c r="F145" s="3" t="n">
        <f aca="false">INDEX(Sum_Base,MATCH(A145,Sum_BaseTasks,0),MATCH(D145,Sum_BaseTiers,0))</f>
        <v>0</v>
      </c>
      <c r="G145" s="2" t="str">
        <f aca="false">IF(ISNUMBER(MATCH(A145&amp;"|"&amp;D145,LR_Key,0)),A145&amp;"|"&amp;D145,A145&amp;"|All")</f>
        <v>FIXX-PST-001|All</v>
      </c>
      <c r="H145" s="3" t="n">
        <f aca="false">IFERROR(INDEX(LR_TypLabor,MATCH(G145,LR_Key,0)),"")</f>
        <v>1200</v>
      </c>
      <c r="I145" s="12" t="n">
        <f aca="false">INDEX(Urg_Mult,MATCH(E145,Urg_Levels,0))</f>
        <v>1.5</v>
      </c>
      <c r="J145" s="3" t="n">
        <f aca="false">IF(ISNUMBER(H145),MAX(H145,IFERROR(INDEX(MW_Floor,MATCH(G145,MW_Key,0)),0))*I145,"")</f>
        <v>1800</v>
      </c>
      <c r="K145" s="3" t="n">
        <f aca="false">IF(ISNUMBER(J145),F145+J145,"")</f>
        <v>1800</v>
      </c>
      <c r="L145" s="3" t="n">
        <f aca="false">IF(ISNUMBER(H145),MAX(H145,IFERROR(INDEX(MW_Floor,MATCH(G145,MW_Key,0)),0))*I145,"")</f>
        <v>1800</v>
      </c>
      <c r="M145" s="2" t="str">
        <f aca="false">IFERROR(INDEX(LR_Flag,MATCH(G145,LR_Key,0)),"")</f>
        <v>regulated</v>
      </c>
      <c r="N145" s="2" t="str">
        <f aca="false">IFERROR(INDEX(MW_Check,MATCH(G145,MW_Key,0)),"")</f>
        <v>OK</v>
      </c>
      <c r="O145" s="0" t="str">
        <f aca="false">IF(NOT(ISNUMBER(H145)),"LABOR QUOTE NEEDED – total incomplete",IF(N145="BELOW FLOOR","CHECK: typical labor below wage floor – payout and customer labor raised to floor",IF(M145&lt;&gt;"none","Labor rate flagged: "&amp;M145,"OK")))</f>
        <v>Labor rate flagged: regulated</v>
      </c>
      <c r="P145" s="0" t="s">
        <v>1166</v>
      </c>
      <c r="Q145" s="8" t="s">
        <v>1167</v>
      </c>
      <c r="R145" s="2" t="str">
        <f aca="false">IF(OR(M145="regulated",COUNTIFS(Tasks_TaskID,A145,Tasks_Tier,D145,Tasks_Review,"base")&gt;0),"PENDING REVIEW – priced, not bookable until human approval",IF(COUNTIFS(Tasks_TaskID,A145,Tasks_Tier,D145,Tasks_Review,"as-needed")&gt;0,"Bookable (re-evaluate if regulated as-needed line selected)","Bookable"))</f>
        <v>PENDING REVIEW – priced, not bookable until human approval</v>
      </c>
    </row>
    <row r="146" customFormat="false" ht="17.15" hidden="false" customHeight="false" outlineLevel="0" collapsed="false">
      <c r="A146" s="2" t="s">
        <v>1171</v>
      </c>
      <c r="B146" s="2" t="s">
        <v>229</v>
      </c>
      <c r="C146" s="2" t="s">
        <v>1172</v>
      </c>
      <c r="D146" s="2" t="s">
        <v>1042</v>
      </c>
      <c r="E146" s="2" t="s">
        <v>1895</v>
      </c>
      <c r="F146" s="3" t="n">
        <f aca="false">INDEX(Sum_Base,MATCH(A146,Sum_BaseTasks,0),MATCH(D146,Sum_BaseTiers,0))</f>
        <v>0</v>
      </c>
      <c r="G146" s="2" t="str">
        <f aca="false">IF(ISNUMBER(MATCH(A146&amp;"|"&amp;D146,LR_Key,0)),A146&amp;"|"&amp;D146,A146&amp;"|All")</f>
        <v>FIXX-PST-002|All</v>
      </c>
      <c r="H146" s="3" t="n">
        <f aca="false">IFERROR(INDEX(LR_TypLabor,MATCH(G146,LR_Key,0)),"")</f>
        <v>3582</v>
      </c>
      <c r="I146" s="12" t="n">
        <f aca="false">INDEX(Urg_Mult,MATCH(E146,Urg_Levels,0))</f>
        <v>1</v>
      </c>
      <c r="J146" s="3" t="n">
        <f aca="false">IF(ISNUMBER(H146),MAX(H146,IFERROR(INDEX(MW_Floor,MATCH(G146,MW_Key,0)),0))*I146,"")</f>
        <v>3582</v>
      </c>
      <c r="K146" s="3" t="n">
        <f aca="false">IF(ISNUMBER(J146),F146+J146,"")</f>
        <v>3582</v>
      </c>
      <c r="L146" s="3" t="n">
        <f aca="false">IF(ISNUMBER(H146),MAX(H146,IFERROR(INDEX(MW_Floor,MATCH(G146,MW_Key,0)),0))*I146,"")</f>
        <v>3582</v>
      </c>
      <c r="M146" s="2" t="str">
        <f aca="false">IFERROR(INDEX(LR_Flag,MATCH(G146,LR_Key,0)),"")</f>
        <v>regulated</v>
      </c>
      <c r="N146" s="2" t="str">
        <f aca="false">IFERROR(INDEX(MW_Check,MATCH(G146,MW_Key,0)),"")</f>
        <v>OK</v>
      </c>
      <c r="O146" s="0" t="str">
        <f aca="false">IF(NOT(ISNUMBER(H146)),"LABOR QUOTE NEEDED – total incomplete",IF(N146="BELOW FLOOR","CHECK: typical labor below wage floor – payout and customer labor raised to floor",IF(M146&lt;&gt;"none","Labor rate flagged: "&amp;M146,"OK")))</f>
        <v>Labor rate flagged: regulated</v>
      </c>
      <c r="P146" s="0" t="s">
        <v>1173</v>
      </c>
      <c r="Q146" s="8" t="s">
        <v>1174</v>
      </c>
      <c r="R146" s="2" t="str">
        <f aca="false">IF(OR(M146="regulated",COUNTIFS(Tasks_TaskID,A146,Tasks_Tier,D146,Tasks_Review,"base")&gt;0),"PENDING REVIEW – priced, not bookable until human approval",IF(COUNTIFS(Tasks_TaskID,A146,Tasks_Tier,D146,Tasks_Review,"as-needed")&gt;0,"Bookable (re-evaluate if regulated as-needed line selected)","Bookable"))</f>
        <v>PENDING REVIEW – priced, not bookable until human approval</v>
      </c>
    </row>
    <row r="147" customFormat="false" ht="17.15" hidden="false" customHeight="false" outlineLevel="0" collapsed="false">
      <c r="A147" s="2" t="s">
        <v>1171</v>
      </c>
      <c r="B147" s="2" t="s">
        <v>229</v>
      </c>
      <c r="C147" s="2" t="s">
        <v>1172</v>
      </c>
      <c r="D147" s="2" t="s">
        <v>1042</v>
      </c>
      <c r="E147" s="2" t="s">
        <v>1896</v>
      </c>
      <c r="F147" s="3" t="n">
        <f aca="false">INDEX(Sum_Base,MATCH(A147,Sum_BaseTasks,0),MATCH(D147,Sum_BaseTiers,0))</f>
        <v>0</v>
      </c>
      <c r="G147" s="2" t="str">
        <f aca="false">IF(ISNUMBER(MATCH(A147&amp;"|"&amp;D147,LR_Key,0)),A147&amp;"|"&amp;D147,A147&amp;"|All")</f>
        <v>FIXX-PST-002|All</v>
      </c>
      <c r="H147" s="3" t="n">
        <f aca="false">IFERROR(INDEX(LR_TypLabor,MATCH(G147,LR_Key,0)),"")</f>
        <v>3582</v>
      </c>
      <c r="I147" s="12" t="n">
        <f aca="false">INDEX(Urg_Mult,MATCH(E147,Urg_Levels,0))</f>
        <v>1.15</v>
      </c>
      <c r="J147" s="3" t="n">
        <f aca="false">IF(ISNUMBER(H147),MAX(H147,IFERROR(INDEX(MW_Floor,MATCH(G147,MW_Key,0)),0))*I147,"")</f>
        <v>4119.3</v>
      </c>
      <c r="K147" s="3" t="n">
        <f aca="false">IF(ISNUMBER(J147),F147+J147,"")</f>
        <v>4119.3</v>
      </c>
      <c r="L147" s="3" t="n">
        <f aca="false">IF(ISNUMBER(H147),MAX(H147,IFERROR(INDEX(MW_Floor,MATCH(G147,MW_Key,0)),0))*I147,"")</f>
        <v>4119.3</v>
      </c>
      <c r="M147" s="2" t="str">
        <f aca="false">IFERROR(INDEX(LR_Flag,MATCH(G147,LR_Key,0)),"")</f>
        <v>regulated</v>
      </c>
      <c r="N147" s="2" t="str">
        <f aca="false">IFERROR(INDEX(MW_Check,MATCH(G147,MW_Key,0)),"")</f>
        <v>OK</v>
      </c>
      <c r="O147" s="0" t="str">
        <f aca="false">IF(NOT(ISNUMBER(H147)),"LABOR QUOTE NEEDED – total incomplete",IF(N147="BELOW FLOOR","CHECK: typical labor below wage floor – payout and customer labor raised to floor",IF(M147&lt;&gt;"none","Labor rate flagged: "&amp;M147,"OK")))</f>
        <v>Labor rate flagged: regulated</v>
      </c>
      <c r="P147" s="0" t="s">
        <v>1173</v>
      </c>
      <c r="Q147" s="8" t="s">
        <v>1174</v>
      </c>
      <c r="R147" s="2" t="str">
        <f aca="false">IF(OR(M147="regulated",COUNTIFS(Tasks_TaskID,A147,Tasks_Tier,D147,Tasks_Review,"base")&gt;0),"PENDING REVIEW – priced, not bookable until human approval",IF(COUNTIFS(Tasks_TaskID,A147,Tasks_Tier,D147,Tasks_Review,"as-needed")&gt;0,"Bookable (re-evaluate if regulated as-needed line selected)","Bookable"))</f>
        <v>PENDING REVIEW – priced, not bookable until human approval</v>
      </c>
    </row>
    <row r="148" customFormat="false" ht="17.15" hidden="false" customHeight="false" outlineLevel="0" collapsed="false">
      <c r="A148" s="2" t="s">
        <v>1171</v>
      </c>
      <c r="B148" s="2" t="s">
        <v>229</v>
      </c>
      <c r="C148" s="2" t="s">
        <v>1172</v>
      </c>
      <c r="D148" s="2" t="s">
        <v>1042</v>
      </c>
      <c r="E148" s="2" t="s">
        <v>1897</v>
      </c>
      <c r="F148" s="3" t="n">
        <f aca="false">INDEX(Sum_Base,MATCH(A148,Sum_BaseTasks,0),MATCH(D148,Sum_BaseTiers,0))</f>
        <v>0</v>
      </c>
      <c r="G148" s="2" t="str">
        <f aca="false">IF(ISNUMBER(MATCH(A148&amp;"|"&amp;D148,LR_Key,0)),A148&amp;"|"&amp;D148,A148&amp;"|All")</f>
        <v>FIXX-PST-002|All</v>
      </c>
      <c r="H148" s="3" t="n">
        <f aca="false">IFERROR(INDEX(LR_TypLabor,MATCH(G148,LR_Key,0)),"")</f>
        <v>3582</v>
      </c>
      <c r="I148" s="12" t="n">
        <f aca="false">INDEX(Urg_Mult,MATCH(E148,Urg_Levels,0))</f>
        <v>1.3</v>
      </c>
      <c r="J148" s="3" t="n">
        <f aca="false">IF(ISNUMBER(H148),MAX(H148,IFERROR(INDEX(MW_Floor,MATCH(G148,MW_Key,0)),0))*I148,"")</f>
        <v>4656.6</v>
      </c>
      <c r="K148" s="3" t="n">
        <f aca="false">IF(ISNUMBER(J148),F148+J148,"")</f>
        <v>4656.6</v>
      </c>
      <c r="L148" s="3" t="n">
        <f aca="false">IF(ISNUMBER(H148),MAX(H148,IFERROR(INDEX(MW_Floor,MATCH(G148,MW_Key,0)),0))*I148,"")</f>
        <v>4656.6</v>
      </c>
      <c r="M148" s="2" t="str">
        <f aca="false">IFERROR(INDEX(LR_Flag,MATCH(G148,LR_Key,0)),"")</f>
        <v>regulated</v>
      </c>
      <c r="N148" s="2" t="str">
        <f aca="false">IFERROR(INDEX(MW_Check,MATCH(G148,MW_Key,0)),"")</f>
        <v>OK</v>
      </c>
      <c r="O148" s="0" t="str">
        <f aca="false">IF(NOT(ISNUMBER(H148)),"LABOR QUOTE NEEDED – total incomplete",IF(N148="BELOW FLOOR","CHECK: typical labor below wage floor – payout and customer labor raised to floor",IF(M148&lt;&gt;"none","Labor rate flagged: "&amp;M148,"OK")))</f>
        <v>Labor rate flagged: regulated</v>
      </c>
      <c r="P148" s="0" t="s">
        <v>1173</v>
      </c>
      <c r="Q148" s="8" t="s">
        <v>1174</v>
      </c>
      <c r="R148" s="2" t="str">
        <f aca="false">IF(OR(M148="regulated",COUNTIFS(Tasks_TaskID,A148,Tasks_Tier,D148,Tasks_Review,"base")&gt;0),"PENDING REVIEW – priced, not bookable until human approval",IF(COUNTIFS(Tasks_TaskID,A148,Tasks_Tier,D148,Tasks_Review,"as-needed")&gt;0,"Bookable (re-evaluate if regulated as-needed line selected)","Bookable"))</f>
        <v>PENDING REVIEW – priced, not bookable until human approval</v>
      </c>
    </row>
    <row r="149" customFormat="false" ht="17.15" hidden="false" customHeight="false" outlineLevel="0" collapsed="false">
      <c r="A149" s="2" t="s">
        <v>1171</v>
      </c>
      <c r="B149" s="2" t="s">
        <v>229</v>
      </c>
      <c r="C149" s="2" t="s">
        <v>1172</v>
      </c>
      <c r="D149" s="2" t="s">
        <v>1042</v>
      </c>
      <c r="E149" s="2" t="s">
        <v>1898</v>
      </c>
      <c r="F149" s="3" t="n">
        <f aca="false">INDEX(Sum_Base,MATCH(A149,Sum_BaseTasks,0),MATCH(D149,Sum_BaseTiers,0))</f>
        <v>0</v>
      </c>
      <c r="G149" s="2" t="str">
        <f aca="false">IF(ISNUMBER(MATCH(A149&amp;"|"&amp;D149,LR_Key,0)),A149&amp;"|"&amp;D149,A149&amp;"|All")</f>
        <v>FIXX-PST-002|All</v>
      </c>
      <c r="H149" s="3" t="n">
        <f aca="false">IFERROR(INDEX(LR_TypLabor,MATCH(G149,LR_Key,0)),"")</f>
        <v>3582</v>
      </c>
      <c r="I149" s="12" t="n">
        <f aca="false">INDEX(Urg_Mult,MATCH(E149,Urg_Levels,0))</f>
        <v>1.5</v>
      </c>
      <c r="J149" s="3" t="n">
        <f aca="false">IF(ISNUMBER(H149),MAX(H149,IFERROR(INDEX(MW_Floor,MATCH(G149,MW_Key,0)),0))*I149,"")</f>
        <v>5373</v>
      </c>
      <c r="K149" s="3" t="n">
        <f aca="false">IF(ISNUMBER(J149),F149+J149,"")</f>
        <v>5373</v>
      </c>
      <c r="L149" s="3" t="n">
        <f aca="false">IF(ISNUMBER(H149),MAX(H149,IFERROR(INDEX(MW_Floor,MATCH(G149,MW_Key,0)),0))*I149,"")</f>
        <v>5373</v>
      </c>
      <c r="M149" s="2" t="str">
        <f aca="false">IFERROR(INDEX(LR_Flag,MATCH(G149,LR_Key,0)),"")</f>
        <v>regulated</v>
      </c>
      <c r="N149" s="2" t="str">
        <f aca="false">IFERROR(INDEX(MW_Check,MATCH(G149,MW_Key,0)),"")</f>
        <v>OK</v>
      </c>
      <c r="O149" s="0" t="str">
        <f aca="false">IF(NOT(ISNUMBER(H149)),"LABOR QUOTE NEEDED – total incomplete",IF(N149="BELOW FLOOR","CHECK: typical labor below wage floor – payout and customer labor raised to floor",IF(M149&lt;&gt;"none","Labor rate flagged: "&amp;M149,"OK")))</f>
        <v>Labor rate flagged: regulated</v>
      </c>
      <c r="P149" s="0" t="s">
        <v>1173</v>
      </c>
      <c r="Q149" s="8" t="s">
        <v>1174</v>
      </c>
      <c r="R149" s="2" t="str">
        <f aca="false">IF(OR(M149="regulated",COUNTIFS(Tasks_TaskID,A149,Tasks_Tier,D149,Tasks_Review,"base")&gt;0),"PENDING REVIEW – priced, not bookable until human approval",IF(COUNTIFS(Tasks_TaskID,A149,Tasks_Tier,D149,Tasks_Review,"as-needed")&gt;0,"Bookable (re-evaluate if regulated as-needed line selected)","Bookable"))</f>
        <v>PENDING REVIEW – priced, not bookable until human approval</v>
      </c>
    </row>
    <row r="150" customFormat="false" ht="17.15" hidden="false" customHeight="false" outlineLevel="0" collapsed="false">
      <c r="A150" s="2" t="s">
        <v>1171</v>
      </c>
      <c r="B150" s="2" t="s">
        <v>229</v>
      </c>
      <c r="C150" s="2" t="s">
        <v>1172</v>
      </c>
      <c r="D150" s="2" t="s">
        <v>1049</v>
      </c>
      <c r="E150" s="2" t="s">
        <v>1895</v>
      </c>
      <c r="F150" s="3" t="n">
        <f aca="false">INDEX(Sum_Base,MATCH(A150,Sum_BaseTasks,0),MATCH(D150,Sum_BaseTiers,0))</f>
        <v>0</v>
      </c>
      <c r="G150" s="2" t="str">
        <f aca="false">IF(ISNUMBER(MATCH(A150&amp;"|"&amp;D150,LR_Key,0)),A150&amp;"|"&amp;D150,A150&amp;"|All")</f>
        <v>FIXX-PST-002|All</v>
      </c>
      <c r="H150" s="3" t="n">
        <f aca="false">IFERROR(INDEX(LR_TypLabor,MATCH(G150,LR_Key,0)),"")</f>
        <v>3582</v>
      </c>
      <c r="I150" s="12" t="n">
        <f aca="false">INDEX(Urg_Mult,MATCH(E150,Urg_Levels,0))</f>
        <v>1</v>
      </c>
      <c r="J150" s="3" t="n">
        <f aca="false">IF(ISNUMBER(H150),MAX(H150,IFERROR(INDEX(MW_Floor,MATCH(G150,MW_Key,0)),0))*I150,"")</f>
        <v>3582</v>
      </c>
      <c r="K150" s="3" t="n">
        <f aca="false">IF(ISNUMBER(J150),F150+J150,"")</f>
        <v>3582</v>
      </c>
      <c r="L150" s="3" t="n">
        <f aca="false">IF(ISNUMBER(H150),MAX(H150,IFERROR(INDEX(MW_Floor,MATCH(G150,MW_Key,0)),0))*I150,"")</f>
        <v>3582</v>
      </c>
      <c r="M150" s="2" t="str">
        <f aca="false">IFERROR(INDEX(LR_Flag,MATCH(G150,LR_Key,0)),"")</f>
        <v>regulated</v>
      </c>
      <c r="N150" s="2" t="str">
        <f aca="false">IFERROR(INDEX(MW_Check,MATCH(G150,MW_Key,0)),"")</f>
        <v>OK</v>
      </c>
      <c r="O150" s="0" t="str">
        <f aca="false">IF(NOT(ISNUMBER(H150)),"LABOR QUOTE NEEDED – total incomplete",IF(N150="BELOW FLOOR","CHECK: typical labor below wage floor – payout and customer labor raised to floor",IF(M150&lt;&gt;"none","Labor rate flagged: "&amp;M150,"OK")))</f>
        <v>Labor rate flagged: regulated</v>
      </c>
      <c r="P150" s="0" t="s">
        <v>1173</v>
      </c>
      <c r="Q150" s="8" t="s">
        <v>1174</v>
      </c>
      <c r="R150" s="2" t="str">
        <f aca="false">IF(OR(M150="regulated",COUNTIFS(Tasks_TaskID,A150,Tasks_Tier,D150,Tasks_Review,"base")&gt;0),"PENDING REVIEW – priced, not bookable until human approval",IF(COUNTIFS(Tasks_TaskID,A150,Tasks_Tier,D150,Tasks_Review,"as-needed")&gt;0,"Bookable (re-evaluate if regulated as-needed line selected)","Bookable"))</f>
        <v>PENDING REVIEW – priced, not bookable until human approval</v>
      </c>
    </row>
    <row r="151" customFormat="false" ht="17.15" hidden="false" customHeight="false" outlineLevel="0" collapsed="false">
      <c r="A151" s="2" t="s">
        <v>1171</v>
      </c>
      <c r="B151" s="2" t="s">
        <v>229</v>
      </c>
      <c r="C151" s="2" t="s">
        <v>1172</v>
      </c>
      <c r="D151" s="2" t="s">
        <v>1049</v>
      </c>
      <c r="E151" s="2" t="s">
        <v>1896</v>
      </c>
      <c r="F151" s="3" t="n">
        <f aca="false">INDEX(Sum_Base,MATCH(A151,Sum_BaseTasks,0),MATCH(D151,Sum_BaseTiers,0))</f>
        <v>0</v>
      </c>
      <c r="G151" s="2" t="str">
        <f aca="false">IF(ISNUMBER(MATCH(A151&amp;"|"&amp;D151,LR_Key,0)),A151&amp;"|"&amp;D151,A151&amp;"|All")</f>
        <v>FIXX-PST-002|All</v>
      </c>
      <c r="H151" s="3" t="n">
        <f aca="false">IFERROR(INDEX(LR_TypLabor,MATCH(G151,LR_Key,0)),"")</f>
        <v>3582</v>
      </c>
      <c r="I151" s="12" t="n">
        <f aca="false">INDEX(Urg_Mult,MATCH(E151,Urg_Levels,0))</f>
        <v>1.15</v>
      </c>
      <c r="J151" s="3" t="n">
        <f aca="false">IF(ISNUMBER(H151),MAX(H151,IFERROR(INDEX(MW_Floor,MATCH(G151,MW_Key,0)),0))*I151,"")</f>
        <v>4119.3</v>
      </c>
      <c r="K151" s="3" t="n">
        <f aca="false">IF(ISNUMBER(J151),F151+J151,"")</f>
        <v>4119.3</v>
      </c>
      <c r="L151" s="3" t="n">
        <f aca="false">IF(ISNUMBER(H151),MAX(H151,IFERROR(INDEX(MW_Floor,MATCH(G151,MW_Key,0)),0))*I151,"")</f>
        <v>4119.3</v>
      </c>
      <c r="M151" s="2" t="str">
        <f aca="false">IFERROR(INDEX(LR_Flag,MATCH(G151,LR_Key,0)),"")</f>
        <v>regulated</v>
      </c>
      <c r="N151" s="2" t="str">
        <f aca="false">IFERROR(INDEX(MW_Check,MATCH(G151,MW_Key,0)),"")</f>
        <v>OK</v>
      </c>
      <c r="O151" s="0" t="str">
        <f aca="false">IF(NOT(ISNUMBER(H151)),"LABOR QUOTE NEEDED – total incomplete",IF(N151="BELOW FLOOR","CHECK: typical labor below wage floor – payout and customer labor raised to floor",IF(M151&lt;&gt;"none","Labor rate flagged: "&amp;M151,"OK")))</f>
        <v>Labor rate flagged: regulated</v>
      </c>
      <c r="P151" s="0" t="s">
        <v>1173</v>
      </c>
      <c r="Q151" s="8" t="s">
        <v>1174</v>
      </c>
      <c r="R151" s="2" t="str">
        <f aca="false">IF(OR(M151="regulated",COUNTIFS(Tasks_TaskID,A151,Tasks_Tier,D151,Tasks_Review,"base")&gt;0),"PENDING REVIEW – priced, not bookable until human approval",IF(COUNTIFS(Tasks_TaskID,A151,Tasks_Tier,D151,Tasks_Review,"as-needed")&gt;0,"Bookable (re-evaluate if regulated as-needed line selected)","Bookable"))</f>
        <v>PENDING REVIEW – priced, not bookable until human approval</v>
      </c>
    </row>
    <row r="152" customFormat="false" ht="17.15" hidden="false" customHeight="false" outlineLevel="0" collapsed="false">
      <c r="A152" s="2" t="s">
        <v>1171</v>
      </c>
      <c r="B152" s="2" t="s">
        <v>229</v>
      </c>
      <c r="C152" s="2" t="s">
        <v>1172</v>
      </c>
      <c r="D152" s="2" t="s">
        <v>1049</v>
      </c>
      <c r="E152" s="2" t="s">
        <v>1897</v>
      </c>
      <c r="F152" s="3" t="n">
        <f aca="false">INDEX(Sum_Base,MATCH(A152,Sum_BaseTasks,0),MATCH(D152,Sum_BaseTiers,0))</f>
        <v>0</v>
      </c>
      <c r="G152" s="2" t="str">
        <f aca="false">IF(ISNUMBER(MATCH(A152&amp;"|"&amp;D152,LR_Key,0)),A152&amp;"|"&amp;D152,A152&amp;"|All")</f>
        <v>FIXX-PST-002|All</v>
      </c>
      <c r="H152" s="3" t="n">
        <f aca="false">IFERROR(INDEX(LR_TypLabor,MATCH(G152,LR_Key,0)),"")</f>
        <v>3582</v>
      </c>
      <c r="I152" s="12" t="n">
        <f aca="false">INDEX(Urg_Mult,MATCH(E152,Urg_Levels,0))</f>
        <v>1.3</v>
      </c>
      <c r="J152" s="3" t="n">
        <f aca="false">IF(ISNUMBER(H152),MAX(H152,IFERROR(INDEX(MW_Floor,MATCH(G152,MW_Key,0)),0))*I152,"")</f>
        <v>4656.6</v>
      </c>
      <c r="K152" s="3" t="n">
        <f aca="false">IF(ISNUMBER(J152),F152+J152,"")</f>
        <v>4656.6</v>
      </c>
      <c r="L152" s="3" t="n">
        <f aca="false">IF(ISNUMBER(H152),MAX(H152,IFERROR(INDEX(MW_Floor,MATCH(G152,MW_Key,0)),0))*I152,"")</f>
        <v>4656.6</v>
      </c>
      <c r="M152" s="2" t="str">
        <f aca="false">IFERROR(INDEX(LR_Flag,MATCH(G152,LR_Key,0)),"")</f>
        <v>regulated</v>
      </c>
      <c r="N152" s="2" t="str">
        <f aca="false">IFERROR(INDEX(MW_Check,MATCH(G152,MW_Key,0)),"")</f>
        <v>OK</v>
      </c>
      <c r="O152" s="0" t="str">
        <f aca="false">IF(NOT(ISNUMBER(H152)),"LABOR QUOTE NEEDED – total incomplete",IF(N152="BELOW FLOOR","CHECK: typical labor below wage floor – payout and customer labor raised to floor",IF(M152&lt;&gt;"none","Labor rate flagged: "&amp;M152,"OK")))</f>
        <v>Labor rate flagged: regulated</v>
      </c>
      <c r="P152" s="0" t="s">
        <v>1173</v>
      </c>
      <c r="Q152" s="8" t="s">
        <v>1174</v>
      </c>
      <c r="R152" s="2" t="str">
        <f aca="false">IF(OR(M152="regulated",COUNTIFS(Tasks_TaskID,A152,Tasks_Tier,D152,Tasks_Review,"base")&gt;0),"PENDING REVIEW – priced, not bookable until human approval",IF(COUNTIFS(Tasks_TaskID,A152,Tasks_Tier,D152,Tasks_Review,"as-needed")&gt;0,"Bookable (re-evaluate if regulated as-needed line selected)","Bookable"))</f>
        <v>PENDING REVIEW – priced, not bookable until human approval</v>
      </c>
    </row>
    <row r="153" customFormat="false" ht="17.15" hidden="false" customHeight="false" outlineLevel="0" collapsed="false">
      <c r="A153" s="2" t="s">
        <v>1171</v>
      </c>
      <c r="B153" s="2" t="s">
        <v>229</v>
      </c>
      <c r="C153" s="2" t="s">
        <v>1172</v>
      </c>
      <c r="D153" s="2" t="s">
        <v>1049</v>
      </c>
      <c r="E153" s="2" t="s">
        <v>1898</v>
      </c>
      <c r="F153" s="3" t="n">
        <f aca="false">INDEX(Sum_Base,MATCH(A153,Sum_BaseTasks,0),MATCH(D153,Sum_BaseTiers,0))</f>
        <v>0</v>
      </c>
      <c r="G153" s="2" t="str">
        <f aca="false">IF(ISNUMBER(MATCH(A153&amp;"|"&amp;D153,LR_Key,0)),A153&amp;"|"&amp;D153,A153&amp;"|All")</f>
        <v>FIXX-PST-002|All</v>
      </c>
      <c r="H153" s="3" t="n">
        <f aca="false">IFERROR(INDEX(LR_TypLabor,MATCH(G153,LR_Key,0)),"")</f>
        <v>3582</v>
      </c>
      <c r="I153" s="12" t="n">
        <f aca="false">INDEX(Urg_Mult,MATCH(E153,Urg_Levels,0))</f>
        <v>1.5</v>
      </c>
      <c r="J153" s="3" t="n">
        <f aca="false">IF(ISNUMBER(H153),MAX(H153,IFERROR(INDEX(MW_Floor,MATCH(G153,MW_Key,0)),0))*I153,"")</f>
        <v>5373</v>
      </c>
      <c r="K153" s="3" t="n">
        <f aca="false">IF(ISNUMBER(J153),F153+J153,"")</f>
        <v>5373</v>
      </c>
      <c r="L153" s="3" t="n">
        <f aca="false">IF(ISNUMBER(H153),MAX(H153,IFERROR(INDEX(MW_Floor,MATCH(G153,MW_Key,0)),0))*I153,"")</f>
        <v>5373</v>
      </c>
      <c r="M153" s="2" t="str">
        <f aca="false">IFERROR(INDEX(LR_Flag,MATCH(G153,LR_Key,0)),"")</f>
        <v>regulated</v>
      </c>
      <c r="N153" s="2" t="str">
        <f aca="false">IFERROR(INDEX(MW_Check,MATCH(G153,MW_Key,0)),"")</f>
        <v>OK</v>
      </c>
      <c r="O153" s="0" t="str">
        <f aca="false">IF(NOT(ISNUMBER(H153)),"LABOR QUOTE NEEDED – total incomplete",IF(N153="BELOW FLOOR","CHECK: typical labor below wage floor – payout and customer labor raised to floor",IF(M153&lt;&gt;"none","Labor rate flagged: "&amp;M153,"OK")))</f>
        <v>Labor rate flagged: regulated</v>
      </c>
      <c r="P153" s="0" t="s">
        <v>1173</v>
      </c>
      <c r="Q153" s="8" t="s">
        <v>1174</v>
      </c>
      <c r="R153" s="2" t="str">
        <f aca="false">IF(OR(M153="regulated",COUNTIFS(Tasks_TaskID,A153,Tasks_Tier,D153,Tasks_Review,"base")&gt;0),"PENDING REVIEW – priced, not bookable until human approval",IF(COUNTIFS(Tasks_TaskID,A153,Tasks_Tier,D153,Tasks_Review,"as-needed")&gt;0,"Bookable (re-evaluate if regulated as-needed line selected)","Bookable"))</f>
        <v>PENDING REVIEW – priced, not bookable until human approval</v>
      </c>
    </row>
    <row r="154" customFormat="false" ht="17.15" hidden="false" customHeight="false" outlineLevel="0" collapsed="false">
      <c r="A154" s="2" t="s">
        <v>1171</v>
      </c>
      <c r="B154" s="2" t="s">
        <v>229</v>
      </c>
      <c r="C154" s="2" t="s">
        <v>1172</v>
      </c>
      <c r="D154" s="2" t="s">
        <v>1051</v>
      </c>
      <c r="E154" s="2" t="s">
        <v>1895</v>
      </c>
      <c r="F154" s="3" t="n">
        <f aca="false">INDEX(Sum_Base,MATCH(A154,Sum_BaseTasks,0),MATCH(D154,Sum_BaseTiers,0))</f>
        <v>0</v>
      </c>
      <c r="G154" s="2" t="str">
        <f aca="false">IF(ISNUMBER(MATCH(A154&amp;"|"&amp;D154,LR_Key,0)),A154&amp;"|"&amp;D154,A154&amp;"|All")</f>
        <v>FIXX-PST-002|All</v>
      </c>
      <c r="H154" s="3" t="n">
        <f aca="false">IFERROR(INDEX(LR_TypLabor,MATCH(G154,LR_Key,0)),"")</f>
        <v>3582</v>
      </c>
      <c r="I154" s="12" t="n">
        <f aca="false">INDEX(Urg_Mult,MATCH(E154,Urg_Levels,0))</f>
        <v>1</v>
      </c>
      <c r="J154" s="3" t="n">
        <f aca="false">IF(ISNUMBER(H154),MAX(H154,IFERROR(INDEX(MW_Floor,MATCH(G154,MW_Key,0)),0))*I154,"")</f>
        <v>3582</v>
      </c>
      <c r="K154" s="3" t="n">
        <f aca="false">IF(ISNUMBER(J154),F154+J154,"")</f>
        <v>3582</v>
      </c>
      <c r="L154" s="3" t="n">
        <f aca="false">IF(ISNUMBER(H154),MAX(H154,IFERROR(INDEX(MW_Floor,MATCH(G154,MW_Key,0)),0))*I154,"")</f>
        <v>3582</v>
      </c>
      <c r="M154" s="2" t="str">
        <f aca="false">IFERROR(INDEX(LR_Flag,MATCH(G154,LR_Key,0)),"")</f>
        <v>regulated</v>
      </c>
      <c r="N154" s="2" t="str">
        <f aca="false">IFERROR(INDEX(MW_Check,MATCH(G154,MW_Key,0)),"")</f>
        <v>OK</v>
      </c>
      <c r="O154" s="0" t="str">
        <f aca="false">IF(NOT(ISNUMBER(H154)),"LABOR QUOTE NEEDED – total incomplete",IF(N154="BELOW FLOOR","CHECK: typical labor below wage floor – payout and customer labor raised to floor",IF(M154&lt;&gt;"none","Labor rate flagged: "&amp;M154,"OK")))</f>
        <v>Labor rate flagged: regulated</v>
      </c>
      <c r="P154" s="0" t="s">
        <v>1173</v>
      </c>
      <c r="Q154" s="8" t="s">
        <v>1174</v>
      </c>
      <c r="R154" s="2" t="str">
        <f aca="false">IF(OR(M154="regulated",COUNTIFS(Tasks_TaskID,A154,Tasks_Tier,D154,Tasks_Review,"base")&gt;0),"PENDING REVIEW – priced, not bookable until human approval",IF(COUNTIFS(Tasks_TaskID,A154,Tasks_Tier,D154,Tasks_Review,"as-needed")&gt;0,"Bookable (re-evaluate if regulated as-needed line selected)","Bookable"))</f>
        <v>PENDING REVIEW – priced, not bookable until human approval</v>
      </c>
    </row>
    <row r="155" customFormat="false" ht="17.15" hidden="false" customHeight="false" outlineLevel="0" collapsed="false">
      <c r="A155" s="2" t="s">
        <v>1171</v>
      </c>
      <c r="B155" s="2" t="s">
        <v>229</v>
      </c>
      <c r="C155" s="2" t="s">
        <v>1172</v>
      </c>
      <c r="D155" s="2" t="s">
        <v>1051</v>
      </c>
      <c r="E155" s="2" t="s">
        <v>1896</v>
      </c>
      <c r="F155" s="3" t="n">
        <f aca="false">INDEX(Sum_Base,MATCH(A155,Sum_BaseTasks,0),MATCH(D155,Sum_BaseTiers,0))</f>
        <v>0</v>
      </c>
      <c r="G155" s="2" t="str">
        <f aca="false">IF(ISNUMBER(MATCH(A155&amp;"|"&amp;D155,LR_Key,0)),A155&amp;"|"&amp;D155,A155&amp;"|All")</f>
        <v>FIXX-PST-002|All</v>
      </c>
      <c r="H155" s="3" t="n">
        <f aca="false">IFERROR(INDEX(LR_TypLabor,MATCH(G155,LR_Key,0)),"")</f>
        <v>3582</v>
      </c>
      <c r="I155" s="12" t="n">
        <f aca="false">INDEX(Urg_Mult,MATCH(E155,Urg_Levels,0))</f>
        <v>1.15</v>
      </c>
      <c r="J155" s="3" t="n">
        <f aca="false">IF(ISNUMBER(H155),MAX(H155,IFERROR(INDEX(MW_Floor,MATCH(G155,MW_Key,0)),0))*I155,"")</f>
        <v>4119.3</v>
      </c>
      <c r="K155" s="3" t="n">
        <f aca="false">IF(ISNUMBER(J155),F155+J155,"")</f>
        <v>4119.3</v>
      </c>
      <c r="L155" s="3" t="n">
        <f aca="false">IF(ISNUMBER(H155),MAX(H155,IFERROR(INDEX(MW_Floor,MATCH(G155,MW_Key,0)),0))*I155,"")</f>
        <v>4119.3</v>
      </c>
      <c r="M155" s="2" t="str">
        <f aca="false">IFERROR(INDEX(LR_Flag,MATCH(G155,LR_Key,0)),"")</f>
        <v>regulated</v>
      </c>
      <c r="N155" s="2" t="str">
        <f aca="false">IFERROR(INDEX(MW_Check,MATCH(G155,MW_Key,0)),"")</f>
        <v>OK</v>
      </c>
      <c r="O155" s="0" t="str">
        <f aca="false">IF(NOT(ISNUMBER(H155)),"LABOR QUOTE NEEDED – total incomplete",IF(N155="BELOW FLOOR","CHECK: typical labor below wage floor – payout and customer labor raised to floor",IF(M155&lt;&gt;"none","Labor rate flagged: "&amp;M155,"OK")))</f>
        <v>Labor rate flagged: regulated</v>
      </c>
      <c r="P155" s="0" t="s">
        <v>1173</v>
      </c>
      <c r="Q155" s="8" t="s">
        <v>1174</v>
      </c>
      <c r="R155" s="2" t="str">
        <f aca="false">IF(OR(M155="regulated",COUNTIFS(Tasks_TaskID,A155,Tasks_Tier,D155,Tasks_Review,"base")&gt;0),"PENDING REVIEW – priced, not bookable until human approval",IF(COUNTIFS(Tasks_TaskID,A155,Tasks_Tier,D155,Tasks_Review,"as-needed")&gt;0,"Bookable (re-evaluate if regulated as-needed line selected)","Bookable"))</f>
        <v>PENDING REVIEW – priced, not bookable until human approval</v>
      </c>
    </row>
    <row r="156" customFormat="false" ht="17.15" hidden="false" customHeight="false" outlineLevel="0" collapsed="false">
      <c r="A156" s="2" t="s">
        <v>1171</v>
      </c>
      <c r="B156" s="2" t="s">
        <v>229</v>
      </c>
      <c r="C156" s="2" t="s">
        <v>1172</v>
      </c>
      <c r="D156" s="2" t="s">
        <v>1051</v>
      </c>
      <c r="E156" s="2" t="s">
        <v>1897</v>
      </c>
      <c r="F156" s="3" t="n">
        <f aca="false">INDEX(Sum_Base,MATCH(A156,Sum_BaseTasks,0),MATCH(D156,Sum_BaseTiers,0))</f>
        <v>0</v>
      </c>
      <c r="G156" s="2" t="str">
        <f aca="false">IF(ISNUMBER(MATCH(A156&amp;"|"&amp;D156,LR_Key,0)),A156&amp;"|"&amp;D156,A156&amp;"|All")</f>
        <v>FIXX-PST-002|All</v>
      </c>
      <c r="H156" s="3" t="n">
        <f aca="false">IFERROR(INDEX(LR_TypLabor,MATCH(G156,LR_Key,0)),"")</f>
        <v>3582</v>
      </c>
      <c r="I156" s="12" t="n">
        <f aca="false">INDEX(Urg_Mult,MATCH(E156,Urg_Levels,0))</f>
        <v>1.3</v>
      </c>
      <c r="J156" s="3" t="n">
        <f aca="false">IF(ISNUMBER(H156),MAX(H156,IFERROR(INDEX(MW_Floor,MATCH(G156,MW_Key,0)),0))*I156,"")</f>
        <v>4656.6</v>
      </c>
      <c r="K156" s="3" t="n">
        <f aca="false">IF(ISNUMBER(J156),F156+J156,"")</f>
        <v>4656.6</v>
      </c>
      <c r="L156" s="3" t="n">
        <f aca="false">IF(ISNUMBER(H156),MAX(H156,IFERROR(INDEX(MW_Floor,MATCH(G156,MW_Key,0)),0))*I156,"")</f>
        <v>4656.6</v>
      </c>
      <c r="M156" s="2" t="str">
        <f aca="false">IFERROR(INDEX(LR_Flag,MATCH(G156,LR_Key,0)),"")</f>
        <v>regulated</v>
      </c>
      <c r="N156" s="2" t="str">
        <f aca="false">IFERROR(INDEX(MW_Check,MATCH(G156,MW_Key,0)),"")</f>
        <v>OK</v>
      </c>
      <c r="O156" s="0" t="str">
        <f aca="false">IF(NOT(ISNUMBER(H156)),"LABOR QUOTE NEEDED – total incomplete",IF(N156="BELOW FLOOR","CHECK: typical labor below wage floor – payout and customer labor raised to floor",IF(M156&lt;&gt;"none","Labor rate flagged: "&amp;M156,"OK")))</f>
        <v>Labor rate flagged: regulated</v>
      </c>
      <c r="P156" s="0" t="s">
        <v>1173</v>
      </c>
      <c r="Q156" s="8" t="s">
        <v>1174</v>
      </c>
      <c r="R156" s="2" t="str">
        <f aca="false">IF(OR(M156="regulated",COUNTIFS(Tasks_TaskID,A156,Tasks_Tier,D156,Tasks_Review,"base")&gt;0),"PENDING REVIEW – priced, not bookable until human approval",IF(COUNTIFS(Tasks_TaskID,A156,Tasks_Tier,D156,Tasks_Review,"as-needed")&gt;0,"Bookable (re-evaluate if regulated as-needed line selected)","Bookable"))</f>
        <v>PENDING REVIEW – priced, not bookable until human approval</v>
      </c>
    </row>
    <row r="157" customFormat="false" ht="17.15" hidden="false" customHeight="false" outlineLevel="0" collapsed="false">
      <c r="A157" s="2" t="s">
        <v>1171</v>
      </c>
      <c r="B157" s="2" t="s">
        <v>229</v>
      </c>
      <c r="C157" s="2" t="s">
        <v>1172</v>
      </c>
      <c r="D157" s="2" t="s">
        <v>1051</v>
      </c>
      <c r="E157" s="2" t="s">
        <v>1898</v>
      </c>
      <c r="F157" s="3" t="n">
        <f aca="false">INDEX(Sum_Base,MATCH(A157,Sum_BaseTasks,0),MATCH(D157,Sum_BaseTiers,0))</f>
        <v>0</v>
      </c>
      <c r="G157" s="2" t="str">
        <f aca="false">IF(ISNUMBER(MATCH(A157&amp;"|"&amp;D157,LR_Key,0)),A157&amp;"|"&amp;D157,A157&amp;"|All")</f>
        <v>FIXX-PST-002|All</v>
      </c>
      <c r="H157" s="3" t="n">
        <f aca="false">IFERROR(INDEX(LR_TypLabor,MATCH(G157,LR_Key,0)),"")</f>
        <v>3582</v>
      </c>
      <c r="I157" s="12" t="n">
        <f aca="false">INDEX(Urg_Mult,MATCH(E157,Urg_Levels,0))</f>
        <v>1.5</v>
      </c>
      <c r="J157" s="3" t="n">
        <f aca="false">IF(ISNUMBER(H157),MAX(H157,IFERROR(INDEX(MW_Floor,MATCH(G157,MW_Key,0)),0))*I157,"")</f>
        <v>5373</v>
      </c>
      <c r="K157" s="3" t="n">
        <f aca="false">IF(ISNUMBER(J157),F157+J157,"")</f>
        <v>5373</v>
      </c>
      <c r="L157" s="3" t="n">
        <f aca="false">IF(ISNUMBER(H157),MAX(H157,IFERROR(INDEX(MW_Floor,MATCH(G157,MW_Key,0)),0))*I157,"")</f>
        <v>5373</v>
      </c>
      <c r="M157" s="2" t="str">
        <f aca="false">IFERROR(INDEX(LR_Flag,MATCH(G157,LR_Key,0)),"")</f>
        <v>regulated</v>
      </c>
      <c r="N157" s="2" t="str">
        <f aca="false">IFERROR(INDEX(MW_Check,MATCH(G157,MW_Key,0)),"")</f>
        <v>OK</v>
      </c>
      <c r="O157" s="0" t="str">
        <f aca="false">IF(NOT(ISNUMBER(H157)),"LABOR QUOTE NEEDED – total incomplete",IF(N157="BELOW FLOOR","CHECK: typical labor below wage floor – payout and customer labor raised to floor",IF(M157&lt;&gt;"none","Labor rate flagged: "&amp;M157,"OK")))</f>
        <v>Labor rate flagged: regulated</v>
      </c>
      <c r="P157" s="0" t="s">
        <v>1173</v>
      </c>
      <c r="Q157" s="8" t="s">
        <v>1174</v>
      </c>
      <c r="R157" s="2" t="str">
        <f aca="false">IF(OR(M157="regulated",COUNTIFS(Tasks_TaskID,A157,Tasks_Tier,D157,Tasks_Review,"base")&gt;0),"PENDING REVIEW – priced, not bookable until human approval",IF(COUNTIFS(Tasks_TaskID,A157,Tasks_Tier,D157,Tasks_Review,"as-needed")&gt;0,"Bookable (re-evaluate if regulated as-needed line selected)","Bookable"))</f>
        <v>PENDING REVIEW – priced, not bookable until human approval</v>
      </c>
    </row>
    <row r="158" customFormat="false" ht="15" hidden="false" customHeight="false" outlineLevel="0" collapsed="false">
      <c r="A158" s="2" t="s">
        <v>1178</v>
      </c>
      <c r="B158" s="2" t="s">
        <v>229</v>
      </c>
      <c r="C158" s="2" t="s">
        <v>1179</v>
      </c>
      <c r="D158" s="2" t="s">
        <v>1042</v>
      </c>
      <c r="E158" s="2" t="s">
        <v>1895</v>
      </c>
      <c r="F158" s="3" t="n">
        <f aca="false">INDEX(Sum_Base,MATCH(A158,Sum_BaseTasks,0),MATCH(D158,Sum_BaseTiers,0))</f>
        <v>0</v>
      </c>
      <c r="G158" s="2" t="str">
        <f aca="false">IF(ISNUMBER(MATCH(A158&amp;"|"&amp;D158,LR_Key,0)),A158&amp;"|"&amp;D158,A158&amp;"|All")</f>
        <v>FIXX-PST-003|All</v>
      </c>
      <c r="H158" s="3" t="n">
        <f aca="false">IFERROR(INDEX(LR_TypLabor,MATCH(G158,LR_Key,0)),"")</f>
        <v>1200</v>
      </c>
      <c r="I158" s="12" t="n">
        <f aca="false">INDEX(Urg_Mult,MATCH(E158,Urg_Levels,0))</f>
        <v>1</v>
      </c>
      <c r="J158" s="3" t="n">
        <f aca="false">IF(ISNUMBER(H158),MAX(H158,IFERROR(INDEX(MW_Floor,MATCH(G158,MW_Key,0)),0))*I158,"")</f>
        <v>1200</v>
      </c>
      <c r="K158" s="3" t="n">
        <f aca="false">IF(ISNUMBER(J158),F158+J158,"")</f>
        <v>1200</v>
      </c>
      <c r="L158" s="3" t="n">
        <f aca="false">IF(ISNUMBER(H158),MAX(H158,IFERROR(INDEX(MW_Floor,MATCH(G158,MW_Key,0)),0))*I158,"")</f>
        <v>1200</v>
      </c>
      <c r="M158" s="2" t="str">
        <f aca="false">IFERROR(INDEX(LR_Flag,MATCH(G158,LR_Key,0)),"")</f>
        <v>regulated</v>
      </c>
      <c r="N158" s="2" t="str">
        <f aca="false">IFERROR(INDEX(MW_Check,MATCH(G158,MW_Key,0)),"")</f>
        <v>OK</v>
      </c>
      <c r="O158" s="0" t="str">
        <f aca="false">IF(NOT(ISNUMBER(H158)),"LABOR QUOTE NEEDED – total incomplete",IF(N158="BELOW FLOOR","CHECK: typical labor below wage floor – payout and customer labor raised to floor",IF(M158&lt;&gt;"none","Labor rate flagged: "&amp;M158,"OK")))</f>
        <v>Labor rate flagged: regulated</v>
      </c>
      <c r="P158" s="0" t="s">
        <v>1180</v>
      </c>
      <c r="Q158" s="8" t="s">
        <v>1181</v>
      </c>
      <c r="R158" s="2" t="str">
        <f aca="false">IF(OR(M158="regulated",COUNTIFS(Tasks_TaskID,A158,Tasks_Tier,D158,Tasks_Review,"base")&gt;0),"PENDING REVIEW – priced, not bookable until human approval",IF(COUNTIFS(Tasks_TaskID,A158,Tasks_Tier,D158,Tasks_Review,"as-needed")&gt;0,"Bookable (re-evaluate if regulated as-needed line selected)","Bookable"))</f>
        <v>PENDING REVIEW – priced, not bookable until human approval</v>
      </c>
    </row>
    <row r="159" customFormat="false" ht="15" hidden="false" customHeight="false" outlineLevel="0" collapsed="false">
      <c r="A159" s="2" t="s">
        <v>1178</v>
      </c>
      <c r="B159" s="2" t="s">
        <v>229</v>
      </c>
      <c r="C159" s="2" t="s">
        <v>1179</v>
      </c>
      <c r="D159" s="2" t="s">
        <v>1042</v>
      </c>
      <c r="E159" s="2" t="s">
        <v>1896</v>
      </c>
      <c r="F159" s="3" t="n">
        <f aca="false">INDEX(Sum_Base,MATCH(A159,Sum_BaseTasks,0),MATCH(D159,Sum_BaseTiers,0))</f>
        <v>0</v>
      </c>
      <c r="G159" s="2" t="str">
        <f aca="false">IF(ISNUMBER(MATCH(A159&amp;"|"&amp;D159,LR_Key,0)),A159&amp;"|"&amp;D159,A159&amp;"|All")</f>
        <v>FIXX-PST-003|All</v>
      </c>
      <c r="H159" s="3" t="n">
        <f aca="false">IFERROR(INDEX(LR_TypLabor,MATCH(G159,LR_Key,0)),"")</f>
        <v>1200</v>
      </c>
      <c r="I159" s="12" t="n">
        <f aca="false">INDEX(Urg_Mult,MATCH(E159,Urg_Levels,0))</f>
        <v>1.15</v>
      </c>
      <c r="J159" s="3" t="n">
        <f aca="false">IF(ISNUMBER(H159),MAX(H159,IFERROR(INDEX(MW_Floor,MATCH(G159,MW_Key,0)),0))*I159,"")</f>
        <v>1380</v>
      </c>
      <c r="K159" s="3" t="n">
        <f aca="false">IF(ISNUMBER(J159),F159+J159,"")</f>
        <v>1380</v>
      </c>
      <c r="L159" s="3" t="n">
        <f aca="false">IF(ISNUMBER(H159),MAX(H159,IFERROR(INDEX(MW_Floor,MATCH(G159,MW_Key,0)),0))*I159,"")</f>
        <v>1380</v>
      </c>
      <c r="M159" s="2" t="str">
        <f aca="false">IFERROR(INDEX(LR_Flag,MATCH(G159,LR_Key,0)),"")</f>
        <v>regulated</v>
      </c>
      <c r="N159" s="2" t="str">
        <f aca="false">IFERROR(INDEX(MW_Check,MATCH(G159,MW_Key,0)),"")</f>
        <v>OK</v>
      </c>
      <c r="O159" s="0" t="str">
        <f aca="false">IF(NOT(ISNUMBER(H159)),"LABOR QUOTE NEEDED – total incomplete",IF(N159="BELOW FLOOR","CHECK: typical labor below wage floor – payout and customer labor raised to floor",IF(M159&lt;&gt;"none","Labor rate flagged: "&amp;M159,"OK")))</f>
        <v>Labor rate flagged: regulated</v>
      </c>
      <c r="P159" s="0" t="s">
        <v>1180</v>
      </c>
      <c r="Q159" s="8" t="s">
        <v>1181</v>
      </c>
      <c r="R159" s="2" t="str">
        <f aca="false">IF(OR(M159="regulated",COUNTIFS(Tasks_TaskID,A159,Tasks_Tier,D159,Tasks_Review,"base")&gt;0),"PENDING REVIEW – priced, not bookable until human approval",IF(COUNTIFS(Tasks_TaskID,A159,Tasks_Tier,D159,Tasks_Review,"as-needed")&gt;0,"Bookable (re-evaluate if regulated as-needed line selected)","Bookable"))</f>
        <v>PENDING REVIEW – priced, not bookable until human approval</v>
      </c>
    </row>
    <row r="160" customFormat="false" ht="15" hidden="false" customHeight="false" outlineLevel="0" collapsed="false">
      <c r="A160" s="2" t="s">
        <v>1178</v>
      </c>
      <c r="B160" s="2" t="s">
        <v>229</v>
      </c>
      <c r="C160" s="2" t="s">
        <v>1179</v>
      </c>
      <c r="D160" s="2" t="s">
        <v>1042</v>
      </c>
      <c r="E160" s="2" t="s">
        <v>1897</v>
      </c>
      <c r="F160" s="3" t="n">
        <f aca="false">INDEX(Sum_Base,MATCH(A160,Sum_BaseTasks,0),MATCH(D160,Sum_BaseTiers,0))</f>
        <v>0</v>
      </c>
      <c r="G160" s="2" t="str">
        <f aca="false">IF(ISNUMBER(MATCH(A160&amp;"|"&amp;D160,LR_Key,0)),A160&amp;"|"&amp;D160,A160&amp;"|All")</f>
        <v>FIXX-PST-003|All</v>
      </c>
      <c r="H160" s="3" t="n">
        <f aca="false">IFERROR(INDEX(LR_TypLabor,MATCH(G160,LR_Key,0)),"")</f>
        <v>1200</v>
      </c>
      <c r="I160" s="12" t="n">
        <f aca="false">INDEX(Urg_Mult,MATCH(E160,Urg_Levels,0))</f>
        <v>1.3</v>
      </c>
      <c r="J160" s="3" t="n">
        <f aca="false">IF(ISNUMBER(H160),MAX(H160,IFERROR(INDEX(MW_Floor,MATCH(G160,MW_Key,0)),0))*I160,"")</f>
        <v>1560</v>
      </c>
      <c r="K160" s="3" t="n">
        <f aca="false">IF(ISNUMBER(J160),F160+J160,"")</f>
        <v>1560</v>
      </c>
      <c r="L160" s="3" t="n">
        <f aca="false">IF(ISNUMBER(H160),MAX(H160,IFERROR(INDEX(MW_Floor,MATCH(G160,MW_Key,0)),0))*I160,"")</f>
        <v>1560</v>
      </c>
      <c r="M160" s="2" t="str">
        <f aca="false">IFERROR(INDEX(LR_Flag,MATCH(G160,LR_Key,0)),"")</f>
        <v>regulated</v>
      </c>
      <c r="N160" s="2" t="str">
        <f aca="false">IFERROR(INDEX(MW_Check,MATCH(G160,MW_Key,0)),"")</f>
        <v>OK</v>
      </c>
      <c r="O160" s="0" t="str">
        <f aca="false">IF(NOT(ISNUMBER(H160)),"LABOR QUOTE NEEDED – total incomplete",IF(N160="BELOW FLOOR","CHECK: typical labor below wage floor – payout and customer labor raised to floor",IF(M160&lt;&gt;"none","Labor rate flagged: "&amp;M160,"OK")))</f>
        <v>Labor rate flagged: regulated</v>
      </c>
      <c r="P160" s="0" t="s">
        <v>1180</v>
      </c>
      <c r="Q160" s="8" t="s">
        <v>1181</v>
      </c>
      <c r="R160" s="2" t="str">
        <f aca="false">IF(OR(M160="regulated",COUNTIFS(Tasks_TaskID,A160,Tasks_Tier,D160,Tasks_Review,"base")&gt;0),"PENDING REVIEW – priced, not bookable until human approval",IF(COUNTIFS(Tasks_TaskID,A160,Tasks_Tier,D160,Tasks_Review,"as-needed")&gt;0,"Bookable (re-evaluate if regulated as-needed line selected)","Bookable"))</f>
        <v>PENDING REVIEW – priced, not bookable until human approval</v>
      </c>
    </row>
    <row r="161" customFormat="false" ht="15" hidden="false" customHeight="false" outlineLevel="0" collapsed="false">
      <c r="A161" s="2" t="s">
        <v>1178</v>
      </c>
      <c r="B161" s="2" t="s">
        <v>229</v>
      </c>
      <c r="C161" s="2" t="s">
        <v>1179</v>
      </c>
      <c r="D161" s="2" t="s">
        <v>1042</v>
      </c>
      <c r="E161" s="2" t="s">
        <v>1898</v>
      </c>
      <c r="F161" s="3" t="n">
        <f aca="false">INDEX(Sum_Base,MATCH(A161,Sum_BaseTasks,0),MATCH(D161,Sum_BaseTiers,0))</f>
        <v>0</v>
      </c>
      <c r="G161" s="2" t="str">
        <f aca="false">IF(ISNUMBER(MATCH(A161&amp;"|"&amp;D161,LR_Key,0)),A161&amp;"|"&amp;D161,A161&amp;"|All")</f>
        <v>FIXX-PST-003|All</v>
      </c>
      <c r="H161" s="3" t="n">
        <f aca="false">IFERROR(INDEX(LR_TypLabor,MATCH(G161,LR_Key,0)),"")</f>
        <v>1200</v>
      </c>
      <c r="I161" s="12" t="n">
        <f aca="false">INDEX(Urg_Mult,MATCH(E161,Urg_Levels,0))</f>
        <v>1.5</v>
      </c>
      <c r="J161" s="3" t="n">
        <f aca="false">IF(ISNUMBER(H161),MAX(H161,IFERROR(INDEX(MW_Floor,MATCH(G161,MW_Key,0)),0))*I161,"")</f>
        <v>1800</v>
      </c>
      <c r="K161" s="3" t="n">
        <f aca="false">IF(ISNUMBER(J161),F161+J161,"")</f>
        <v>1800</v>
      </c>
      <c r="L161" s="3" t="n">
        <f aca="false">IF(ISNUMBER(H161),MAX(H161,IFERROR(INDEX(MW_Floor,MATCH(G161,MW_Key,0)),0))*I161,"")</f>
        <v>1800</v>
      </c>
      <c r="M161" s="2" t="str">
        <f aca="false">IFERROR(INDEX(LR_Flag,MATCH(G161,LR_Key,0)),"")</f>
        <v>regulated</v>
      </c>
      <c r="N161" s="2" t="str">
        <f aca="false">IFERROR(INDEX(MW_Check,MATCH(G161,MW_Key,0)),"")</f>
        <v>OK</v>
      </c>
      <c r="O161" s="0" t="str">
        <f aca="false">IF(NOT(ISNUMBER(H161)),"LABOR QUOTE NEEDED – total incomplete",IF(N161="BELOW FLOOR","CHECK: typical labor below wage floor – payout and customer labor raised to floor",IF(M161&lt;&gt;"none","Labor rate flagged: "&amp;M161,"OK")))</f>
        <v>Labor rate flagged: regulated</v>
      </c>
      <c r="P161" s="0" t="s">
        <v>1180</v>
      </c>
      <c r="Q161" s="8" t="s">
        <v>1181</v>
      </c>
      <c r="R161" s="2" t="str">
        <f aca="false">IF(OR(M161="regulated",COUNTIFS(Tasks_TaskID,A161,Tasks_Tier,D161,Tasks_Review,"base")&gt;0),"PENDING REVIEW – priced, not bookable until human approval",IF(COUNTIFS(Tasks_TaskID,A161,Tasks_Tier,D161,Tasks_Review,"as-needed")&gt;0,"Bookable (re-evaluate if regulated as-needed line selected)","Bookable"))</f>
        <v>PENDING REVIEW – priced, not bookable until human approval</v>
      </c>
    </row>
    <row r="162" customFormat="false" ht="15" hidden="false" customHeight="false" outlineLevel="0" collapsed="false">
      <c r="A162" s="2" t="s">
        <v>1178</v>
      </c>
      <c r="B162" s="2" t="s">
        <v>229</v>
      </c>
      <c r="C162" s="2" t="s">
        <v>1179</v>
      </c>
      <c r="D162" s="2" t="s">
        <v>1049</v>
      </c>
      <c r="E162" s="2" t="s">
        <v>1895</v>
      </c>
      <c r="F162" s="3" t="n">
        <f aca="false">INDEX(Sum_Base,MATCH(A162,Sum_BaseTasks,0),MATCH(D162,Sum_BaseTiers,0))</f>
        <v>0</v>
      </c>
      <c r="G162" s="2" t="str">
        <f aca="false">IF(ISNUMBER(MATCH(A162&amp;"|"&amp;D162,LR_Key,0)),A162&amp;"|"&amp;D162,A162&amp;"|All")</f>
        <v>FIXX-PST-003|All</v>
      </c>
      <c r="H162" s="3" t="n">
        <f aca="false">IFERROR(INDEX(LR_TypLabor,MATCH(G162,LR_Key,0)),"")</f>
        <v>1200</v>
      </c>
      <c r="I162" s="12" t="n">
        <f aca="false">INDEX(Urg_Mult,MATCH(E162,Urg_Levels,0))</f>
        <v>1</v>
      </c>
      <c r="J162" s="3" t="n">
        <f aca="false">IF(ISNUMBER(H162),MAX(H162,IFERROR(INDEX(MW_Floor,MATCH(G162,MW_Key,0)),0))*I162,"")</f>
        <v>1200</v>
      </c>
      <c r="K162" s="3" t="n">
        <f aca="false">IF(ISNUMBER(J162),F162+J162,"")</f>
        <v>1200</v>
      </c>
      <c r="L162" s="3" t="n">
        <f aca="false">IF(ISNUMBER(H162),MAX(H162,IFERROR(INDEX(MW_Floor,MATCH(G162,MW_Key,0)),0))*I162,"")</f>
        <v>1200</v>
      </c>
      <c r="M162" s="2" t="str">
        <f aca="false">IFERROR(INDEX(LR_Flag,MATCH(G162,LR_Key,0)),"")</f>
        <v>regulated</v>
      </c>
      <c r="N162" s="2" t="str">
        <f aca="false">IFERROR(INDEX(MW_Check,MATCH(G162,MW_Key,0)),"")</f>
        <v>OK</v>
      </c>
      <c r="O162" s="0" t="str">
        <f aca="false">IF(NOT(ISNUMBER(H162)),"LABOR QUOTE NEEDED – total incomplete",IF(N162="BELOW FLOOR","CHECK: typical labor below wage floor – payout and customer labor raised to floor",IF(M162&lt;&gt;"none","Labor rate flagged: "&amp;M162,"OK")))</f>
        <v>Labor rate flagged: regulated</v>
      </c>
      <c r="P162" s="0" t="s">
        <v>1180</v>
      </c>
      <c r="Q162" s="8" t="s">
        <v>1181</v>
      </c>
      <c r="R162" s="2" t="str">
        <f aca="false">IF(OR(M162="regulated",COUNTIFS(Tasks_TaskID,A162,Tasks_Tier,D162,Tasks_Review,"base")&gt;0),"PENDING REVIEW – priced, not bookable until human approval",IF(COUNTIFS(Tasks_TaskID,A162,Tasks_Tier,D162,Tasks_Review,"as-needed")&gt;0,"Bookable (re-evaluate if regulated as-needed line selected)","Bookable"))</f>
        <v>PENDING REVIEW – priced, not bookable until human approval</v>
      </c>
    </row>
    <row r="163" customFormat="false" ht="15" hidden="false" customHeight="false" outlineLevel="0" collapsed="false">
      <c r="A163" s="2" t="s">
        <v>1178</v>
      </c>
      <c r="B163" s="2" t="s">
        <v>229</v>
      </c>
      <c r="C163" s="2" t="s">
        <v>1179</v>
      </c>
      <c r="D163" s="2" t="s">
        <v>1049</v>
      </c>
      <c r="E163" s="2" t="s">
        <v>1896</v>
      </c>
      <c r="F163" s="3" t="n">
        <f aca="false">INDEX(Sum_Base,MATCH(A163,Sum_BaseTasks,0),MATCH(D163,Sum_BaseTiers,0))</f>
        <v>0</v>
      </c>
      <c r="G163" s="2" t="str">
        <f aca="false">IF(ISNUMBER(MATCH(A163&amp;"|"&amp;D163,LR_Key,0)),A163&amp;"|"&amp;D163,A163&amp;"|All")</f>
        <v>FIXX-PST-003|All</v>
      </c>
      <c r="H163" s="3" t="n">
        <f aca="false">IFERROR(INDEX(LR_TypLabor,MATCH(G163,LR_Key,0)),"")</f>
        <v>1200</v>
      </c>
      <c r="I163" s="12" t="n">
        <f aca="false">INDEX(Urg_Mult,MATCH(E163,Urg_Levels,0))</f>
        <v>1.15</v>
      </c>
      <c r="J163" s="3" t="n">
        <f aca="false">IF(ISNUMBER(H163),MAX(H163,IFERROR(INDEX(MW_Floor,MATCH(G163,MW_Key,0)),0))*I163,"")</f>
        <v>1380</v>
      </c>
      <c r="K163" s="3" t="n">
        <f aca="false">IF(ISNUMBER(J163),F163+J163,"")</f>
        <v>1380</v>
      </c>
      <c r="L163" s="3" t="n">
        <f aca="false">IF(ISNUMBER(H163),MAX(H163,IFERROR(INDEX(MW_Floor,MATCH(G163,MW_Key,0)),0))*I163,"")</f>
        <v>1380</v>
      </c>
      <c r="M163" s="2" t="str">
        <f aca="false">IFERROR(INDEX(LR_Flag,MATCH(G163,LR_Key,0)),"")</f>
        <v>regulated</v>
      </c>
      <c r="N163" s="2" t="str">
        <f aca="false">IFERROR(INDEX(MW_Check,MATCH(G163,MW_Key,0)),"")</f>
        <v>OK</v>
      </c>
      <c r="O163" s="0" t="str">
        <f aca="false">IF(NOT(ISNUMBER(H163)),"LABOR QUOTE NEEDED – total incomplete",IF(N163="BELOW FLOOR","CHECK: typical labor below wage floor – payout and customer labor raised to floor",IF(M163&lt;&gt;"none","Labor rate flagged: "&amp;M163,"OK")))</f>
        <v>Labor rate flagged: regulated</v>
      </c>
      <c r="P163" s="0" t="s">
        <v>1180</v>
      </c>
      <c r="Q163" s="8" t="s">
        <v>1181</v>
      </c>
      <c r="R163" s="2" t="str">
        <f aca="false">IF(OR(M163="regulated",COUNTIFS(Tasks_TaskID,A163,Tasks_Tier,D163,Tasks_Review,"base")&gt;0),"PENDING REVIEW – priced, not bookable until human approval",IF(COUNTIFS(Tasks_TaskID,A163,Tasks_Tier,D163,Tasks_Review,"as-needed")&gt;0,"Bookable (re-evaluate if regulated as-needed line selected)","Bookable"))</f>
        <v>PENDING REVIEW – priced, not bookable until human approval</v>
      </c>
    </row>
    <row r="164" customFormat="false" ht="15" hidden="false" customHeight="false" outlineLevel="0" collapsed="false">
      <c r="A164" s="2" t="s">
        <v>1178</v>
      </c>
      <c r="B164" s="2" t="s">
        <v>229</v>
      </c>
      <c r="C164" s="2" t="s">
        <v>1179</v>
      </c>
      <c r="D164" s="2" t="s">
        <v>1049</v>
      </c>
      <c r="E164" s="2" t="s">
        <v>1897</v>
      </c>
      <c r="F164" s="3" t="n">
        <f aca="false">INDEX(Sum_Base,MATCH(A164,Sum_BaseTasks,0),MATCH(D164,Sum_BaseTiers,0))</f>
        <v>0</v>
      </c>
      <c r="G164" s="2" t="str">
        <f aca="false">IF(ISNUMBER(MATCH(A164&amp;"|"&amp;D164,LR_Key,0)),A164&amp;"|"&amp;D164,A164&amp;"|All")</f>
        <v>FIXX-PST-003|All</v>
      </c>
      <c r="H164" s="3" t="n">
        <f aca="false">IFERROR(INDEX(LR_TypLabor,MATCH(G164,LR_Key,0)),"")</f>
        <v>1200</v>
      </c>
      <c r="I164" s="12" t="n">
        <f aca="false">INDEX(Urg_Mult,MATCH(E164,Urg_Levels,0))</f>
        <v>1.3</v>
      </c>
      <c r="J164" s="3" t="n">
        <f aca="false">IF(ISNUMBER(H164),MAX(H164,IFERROR(INDEX(MW_Floor,MATCH(G164,MW_Key,0)),0))*I164,"")</f>
        <v>1560</v>
      </c>
      <c r="K164" s="3" t="n">
        <f aca="false">IF(ISNUMBER(J164),F164+J164,"")</f>
        <v>1560</v>
      </c>
      <c r="L164" s="3" t="n">
        <f aca="false">IF(ISNUMBER(H164),MAX(H164,IFERROR(INDEX(MW_Floor,MATCH(G164,MW_Key,0)),0))*I164,"")</f>
        <v>1560</v>
      </c>
      <c r="M164" s="2" t="str">
        <f aca="false">IFERROR(INDEX(LR_Flag,MATCH(G164,LR_Key,0)),"")</f>
        <v>regulated</v>
      </c>
      <c r="N164" s="2" t="str">
        <f aca="false">IFERROR(INDEX(MW_Check,MATCH(G164,MW_Key,0)),"")</f>
        <v>OK</v>
      </c>
      <c r="O164" s="0" t="str">
        <f aca="false">IF(NOT(ISNUMBER(H164)),"LABOR QUOTE NEEDED – total incomplete",IF(N164="BELOW FLOOR","CHECK: typical labor below wage floor – payout and customer labor raised to floor",IF(M164&lt;&gt;"none","Labor rate flagged: "&amp;M164,"OK")))</f>
        <v>Labor rate flagged: regulated</v>
      </c>
      <c r="P164" s="0" t="s">
        <v>1180</v>
      </c>
      <c r="Q164" s="8" t="s">
        <v>1181</v>
      </c>
      <c r="R164" s="2" t="str">
        <f aca="false">IF(OR(M164="regulated",COUNTIFS(Tasks_TaskID,A164,Tasks_Tier,D164,Tasks_Review,"base")&gt;0),"PENDING REVIEW – priced, not bookable until human approval",IF(COUNTIFS(Tasks_TaskID,A164,Tasks_Tier,D164,Tasks_Review,"as-needed")&gt;0,"Bookable (re-evaluate if regulated as-needed line selected)","Bookable"))</f>
        <v>PENDING REVIEW – priced, not bookable until human approval</v>
      </c>
    </row>
    <row r="165" customFormat="false" ht="15" hidden="false" customHeight="false" outlineLevel="0" collapsed="false">
      <c r="A165" s="2" t="s">
        <v>1178</v>
      </c>
      <c r="B165" s="2" t="s">
        <v>229</v>
      </c>
      <c r="C165" s="2" t="s">
        <v>1179</v>
      </c>
      <c r="D165" s="2" t="s">
        <v>1049</v>
      </c>
      <c r="E165" s="2" t="s">
        <v>1898</v>
      </c>
      <c r="F165" s="3" t="n">
        <f aca="false">INDEX(Sum_Base,MATCH(A165,Sum_BaseTasks,0),MATCH(D165,Sum_BaseTiers,0))</f>
        <v>0</v>
      </c>
      <c r="G165" s="2" t="str">
        <f aca="false">IF(ISNUMBER(MATCH(A165&amp;"|"&amp;D165,LR_Key,0)),A165&amp;"|"&amp;D165,A165&amp;"|All")</f>
        <v>FIXX-PST-003|All</v>
      </c>
      <c r="H165" s="3" t="n">
        <f aca="false">IFERROR(INDEX(LR_TypLabor,MATCH(G165,LR_Key,0)),"")</f>
        <v>1200</v>
      </c>
      <c r="I165" s="12" t="n">
        <f aca="false">INDEX(Urg_Mult,MATCH(E165,Urg_Levels,0))</f>
        <v>1.5</v>
      </c>
      <c r="J165" s="3" t="n">
        <f aca="false">IF(ISNUMBER(H165),MAX(H165,IFERROR(INDEX(MW_Floor,MATCH(G165,MW_Key,0)),0))*I165,"")</f>
        <v>1800</v>
      </c>
      <c r="K165" s="3" t="n">
        <f aca="false">IF(ISNUMBER(J165),F165+J165,"")</f>
        <v>1800</v>
      </c>
      <c r="L165" s="3" t="n">
        <f aca="false">IF(ISNUMBER(H165),MAX(H165,IFERROR(INDEX(MW_Floor,MATCH(G165,MW_Key,0)),0))*I165,"")</f>
        <v>1800</v>
      </c>
      <c r="M165" s="2" t="str">
        <f aca="false">IFERROR(INDEX(LR_Flag,MATCH(G165,LR_Key,0)),"")</f>
        <v>regulated</v>
      </c>
      <c r="N165" s="2" t="str">
        <f aca="false">IFERROR(INDEX(MW_Check,MATCH(G165,MW_Key,0)),"")</f>
        <v>OK</v>
      </c>
      <c r="O165" s="0" t="str">
        <f aca="false">IF(NOT(ISNUMBER(H165)),"LABOR QUOTE NEEDED – total incomplete",IF(N165="BELOW FLOOR","CHECK: typical labor below wage floor – payout and customer labor raised to floor",IF(M165&lt;&gt;"none","Labor rate flagged: "&amp;M165,"OK")))</f>
        <v>Labor rate flagged: regulated</v>
      </c>
      <c r="P165" s="0" t="s">
        <v>1180</v>
      </c>
      <c r="Q165" s="8" t="s">
        <v>1181</v>
      </c>
      <c r="R165" s="2" t="str">
        <f aca="false">IF(OR(M165="regulated",COUNTIFS(Tasks_TaskID,A165,Tasks_Tier,D165,Tasks_Review,"base")&gt;0),"PENDING REVIEW – priced, not bookable until human approval",IF(COUNTIFS(Tasks_TaskID,A165,Tasks_Tier,D165,Tasks_Review,"as-needed")&gt;0,"Bookable (re-evaluate if regulated as-needed line selected)","Bookable"))</f>
        <v>PENDING REVIEW – priced, not bookable until human approval</v>
      </c>
    </row>
    <row r="166" customFormat="false" ht="15" hidden="false" customHeight="false" outlineLevel="0" collapsed="false">
      <c r="A166" s="2" t="s">
        <v>1178</v>
      </c>
      <c r="B166" s="2" t="s">
        <v>229</v>
      </c>
      <c r="C166" s="2" t="s">
        <v>1179</v>
      </c>
      <c r="D166" s="2" t="s">
        <v>1051</v>
      </c>
      <c r="E166" s="2" t="s">
        <v>1895</v>
      </c>
      <c r="F166" s="3" t="n">
        <f aca="false">INDEX(Sum_Base,MATCH(A166,Sum_BaseTasks,0),MATCH(D166,Sum_BaseTiers,0))</f>
        <v>0</v>
      </c>
      <c r="G166" s="2" t="str">
        <f aca="false">IF(ISNUMBER(MATCH(A166&amp;"|"&amp;D166,LR_Key,0)),A166&amp;"|"&amp;D166,A166&amp;"|All")</f>
        <v>FIXX-PST-003|All</v>
      </c>
      <c r="H166" s="3" t="n">
        <f aca="false">IFERROR(INDEX(LR_TypLabor,MATCH(G166,LR_Key,0)),"")</f>
        <v>1200</v>
      </c>
      <c r="I166" s="12" t="n">
        <f aca="false">INDEX(Urg_Mult,MATCH(E166,Urg_Levels,0))</f>
        <v>1</v>
      </c>
      <c r="J166" s="3" t="n">
        <f aca="false">IF(ISNUMBER(H166),MAX(H166,IFERROR(INDEX(MW_Floor,MATCH(G166,MW_Key,0)),0))*I166,"")</f>
        <v>1200</v>
      </c>
      <c r="K166" s="3" t="n">
        <f aca="false">IF(ISNUMBER(J166),F166+J166,"")</f>
        <v>1200</v>
      </c>
      <c r="L166" s="3" t="n">
        <f aca="false">IF(ISNUMBER(H166),MAX(H166,IFERROR(INDEX(MW_Floor,MATCH(G166,MW_Key,0)),0))*I166,"")</f>
        <v>1200</v>
      </c>
      <c r="M166" s="2" t="str">
        <f aca="false">IFERROR(INDEX(LR_Flag,MATCH(G166,LR_Key,0)),"")</f>
        <v>regulated</v>
      </c>
      <c r="N166" s="2" t="str">
        <f aca="false">IFERROR(INDEX(MW_Check,MATCH(G166,MW_Key,0)),"")</f>
        <v>OK</v>
      </c>
      <c r="O166" s="0" t="str">
        <f aca="false">IF(NOT(ISNUMBER(H166)),"LABOR QUOTE NEEDED – total incomplete",IF(N166="BELOW FLOOR","CHECK: typical labor below wage floor – payout and customer labor raised to floor",IF(M166&lt;&gt;"none","Labor rate flagged: "&amp;M166,"OK")))</f>
        <v>Labor rate flagged: regulated</v>
      </c>
      <c r="P166" s="0" t="s">
        <v>1180</v>
      </c>
      <c r="Q166" s="8" t="s">
        <v>1181</v>
      </c>
      <c r="R166" s="2" t="str">
        <f aca="false">IF(OR(M166="regulated",COUNTIFS(Tasks_TaskID,A166,Tasks_Tier,D166,Tasks_Review,"base")&gt;0),"PENDING REVIEW – priced, not bookable until human approval",IF(COUNTIFS(Tasks_TaskID,A166,Tasks_Tier,D166,Tasks_Review,"as-needed")&gt;0,"Bookable (re-evaluate if regulated as-needed line selected)","Bookable"))</f>
        <v>PENDING REVIEW – priced, not bookable until human approval</v>
      </c>
    </row>
    <row r="167" customFormat="false" ht="15" hidden="false" customHeight="false" outlineLevel="0" collapsed="false">
      <c r="A167" s="2" t="s">
        <v>1178</v>
      </c>
      <c r="B167" s="2" t="s">
        <v>229</v>
      </c>
      <c r="C167" s="2" t="s">
        <v>1179</v>
      </c>
      <c r="D167" s="2" t="s">
        <v>1051</v>
      </c>
      <c r="E167" s="2" t="s">
        <v>1896</v>
      </c>
      <c r="F167" s="3" t="n">
        <f aca="false">INDEX(Sum_Base,MATCH(A167,Sum_BaseTasks,0),MATCH(D167,Sum_BaseTiers,0))</f>
        <v>0</v>
      </c>
      <c r="G167" s="2" t="str">
        <f aca="false">IF(ISNUMBER(MATCH(A167&amp;"|"&amp;D167,LR_Key,0)),A167&amp;"|"&amp;D167,A167&amp;"|All")</f>
        <v>FIXX-PST-003|All</v>
      </c>
      <c r="H167" s="3" t="n">
        <f aca="false">IFERROR(INDEX(LR_TypLabor,MATCH(G167,LR_Key,0)),"")</f>
        <v>1200</v>
      </c>
      <c r="I167" s="12" t="n">
        <f aca="false">INDEX(Urg_Mult,MATCH(E167,Urg_Levels,0))</f>
        <v>1.15</v>
      </c>
      <c r="J167" s="3" t="n">
        <f aca="false">IF(ISNUMBER(H167),MAX(H167,IFERROR(INDEX(MW_Floor,MATCH(G167,MW_Key,0)),0))*I167,"")</f>
        <v>1380</v>
      </c>
      <c r="K167" s="3" t="n">
        <f aca="false">IF(ISNUMBER(J167),F167+J167,"")</f>
        <v>1380</v>
      </c>
      <c r="L167" s="3" t="n">
        <f aca="false">IF(ISNUMBER(H167),MAX(H167,IFERROR(INDEX(MW_Floor,MATCH(G167,MW_Key,0)),0))*I167,"")</f>
        <v>1380</v>
      </c>
      <c r="M167" s="2" t="str">
        <f aca="false">IFERROR(INDEX(LR_Flag,MATCH(G167,LR_Key,0)),"")</f>
        <v>regulated</v>
      </c>
      <c r="N167" s="2" t="str">
        <f aca="false">IFERROR(INDEX(MW_Check,MATCH(G167,MW_Key,0)),"")</f>
        <v>OK</v>
      </c>
      <c r="O167" s="0" t="str">
        <f aca="false">IF(NOT(ISNUMBER(H167)),"LABOR QUOTE NEEDED – total incomplete",IF(N167="BELOW FLOOR","CHECK: typical labor below wage floor – payout and customer labor raised to floor",IF(M167&lt;&gt;"none","Labor rate flagged: "&amp;M167,"OK")))</f>
        <v>Labor rate flagged: regulated</v>
      </c>
      <c r="P167" s="0" t="s">
        <v>1180</v>
      </c>
      <c r="Q167" s="8" t="s">
        <v>1181</v>
      </c>
      <c r="R167" s="2" t="str">
        <f aca="false">IF(OR(M167="regulated",COUNTIFS(Tasks_TaskID,A167,Tasks_Tier,D167,Tasks_Review,"base")&gt;0),"PENDING REVIEW – priced, not bookable until human approval",IF(COUNTIFS(Tasks_TaskID,A167,Tasks_Tier,D167,Tasks_Review,"as-needed")&gt;0,"Bookable (re-evaluate if regulated as-needed line selected)","Bookable"))</f>
        <v>PENDING REVIEW – priced, not bookable until human approval</v>
      </c>
    </row>
    <row r="168" customFormat="false" ht="15" hidden="false" customHeight="false" outlineLevel="0" collapsed="false">
      <c r="A168" s="2" t="s">
        <v>1178</v>
      </c>
      <c r="B168" s="2" t="s">
        <v>229</v>
      </c>
      <c r="C168" s="2" t="s">
        <v>1179</v>
      </c>
      <c r="D168" s="2" t="s">
        <v>1051</v>
      </c>
      <c r="E168" s="2" t="s">
        <v>1897</v>
      </c>
      <c r="F168" s="3" t="n">
        <f aca="false">INDEX(Sum_Base,MATCH(A168,Sum_BaseTasks,0),MATCH(D168,Sum_BaseTiers,0))</f>
        <v>0</v>
      </c>
      <c r="G168" s="2" t="str">
        <f aca="false">IF(ISNUMBER(MATCH(A168&amp;"|"&amp;D168,LR_Key,0)),A168&amp;"|"&amp;D168,A168&amp;"|All")</f>
        <v>FIXX-PST-003|All</v>
      </c>
      <c r="H168" s="3" t="n">
        <f aca="false">IFERROR(INDEX(LR_TypLabor,MATCH(G168,LR_Key,0)),"")</f>
        <v>1200</v>
      </c>
      <c r="I168" s="12" t="n">
        <f aca="false">INDEX(Urg_Mult,MATCH(E168,Urg_Levels,0))</f>
        <v>1.3</v>
      </c>
      <c r="J168" s="3" t="n">
        <f aca="false">IF(ISNUMBER(H168),MAX(H168,IFERROR(INDEX(MW_Floor,MATCH(G168,MW_Key,0)),0))*I168,"")</f>
        <v>1560</v>
      </c>
      <c r="K168" s="3" t="n">
        <f aca="false">IF(ISNUMBER(J168),F168+J168,"")</f>
        <v>1560</v>
      </c>
      <c r="L168" s="3" t="n">
        <f aca="false">IF(ISNUMBER(H168),MAX(H168,IFERROR(INDEX(MW_Floor,MATCH(G168,MW_Key,0)),0))*I168,"")</f>
        <v>1560</v>
      </c>
      <c r="M168" s="2" t="str">
        <f aca="false">IFERROR(INDEX(LR_Flag,MATCH(G168,LR_Key,0)),"")</f>
        <v>regulated</v>
      </c>
      <c r="N168" s="2" t="str">
        <f aca="false">IFERROR(INDEX(MW_Check,MATCH(G168,MW_Key,0)),"")</f>
        <v>OK</v>
      </c>
      <c r="O168" s="0" t="str">
        <f aca="false">IF(NOT(ISNUMBER(H168)),"LABOR QUOTE NEEDED – total incomplete",IF(N168="BELOW FLOOR","CHECK: typical labor below wage floor – payout and customer labor raised to floor",IF(M168&lt;&gt;"none","Labor rate flagged: "&amp;M168,"OK")))</f>
        <v>Labor rate flagged: regulated</v>
      </c>
      <c r="P168" s="0" t="s">
        <v>1180</v>
      </c>
      <c r="Q168" s="8" t="s">
        <v>1181</v>
      </c>
      <c r="R168" s="2" t="str">
        <f aca="false">IF(OR(M168="regulated",COUNTIFS(Tasks_TaskID,A168,Tasks_Tier,D168,Tasks_Review,"base")&gt;0),"PENDING REVIEW – priced, not bookable until human approval",IF(COUNTIFS(Tasks_TaskID,A168,Tasks_Tier,D168,Tasks_Review,"as-needed")&gt;0,"Bookable (re-evaluate if regulated as-needed line selected)","Bookable"))</f>
        <v>PENDING REVIEW – priced, not bookable until human approval</v>
      </c>
    </row>
    <row r="169" customFormat="false" ht="15" hidden="false" customHeight="false" outlineLevel="0" collapsed="false">
      <c r="A169" s="2" t="s">
        <v>1178</v>
      </c>
      <c r="B169" s="2" t="s">
        <v>229</v>
      </c>
      <c r="C169" s="2" t="s">
        <v>1179</v>
      </c>
      <c r="D169" s="2" t="s">
        <v>1051</v>
      </c>
      <c r="E169" s="2" t="s">
        <v>1898</v>
      </c>
      <c r="F169" s="3" t="n">
        <f aca="false">INDEX(Sum_Base,MATCH(A169,Sum_BaseTasks,0),MATCH(D169,Sum_BaseTiers,0))</f>
        <v>0</v>
      </c>
      <c r="G169" s="2" t="str">
        <f aca="false">IF(ISNUMBER(MATCH(A169&amp;"|"&amp;D169,LR_Key,0)),A169&amp;"|"&amp;D169,A169&amp;"|All")</f>
        <v>FIXX-PST-003|All</v>
      </c>
      <c r="H169" s="3" t="n">
        <f aca="false">IFERROR(INDEX(LR_TypLabor,MATCH(G169,LR_Key,0)),"")</f>
        <v>1200</v>
      </c>
      <c r="I169" s="12" t="n">
        <f aca="false">INDEX(Urg_Mult,MATCH(E169,Urg_Levels,0))</f>
        <v>1.5</v>
      </c>
      <c r="J169" s="3" t="n">
        <f aca="false">IF(ISNUMBER(H169),MAX(H169,IFERROR(INDEX(MW_Floor,MATCH(G169,MW_Key,0)),0))*I169,"")</f>
        <v>1800</v>
      </c>
      <c r="K169" s="3" t="n">
        <f aca="false">IF(ISNUMBER(J169),F169+J169,"")</f>
        <v>1800</v>
      </c>
      <c r="L169" s="3" t="n">
        <f aca="false">IF(ISNUMBER(H169),MAX(H169,IFERROR(INDEX(MW_Floor,MATCH(G169,MW_Key,0)),0))*I169,"")</f>
        <v>1800</v>
      </c>
      <c r="M169" s="2" t="str">
        <f aca="false">IFERROR(INDEX(LR_Flag,MATCH(G169,LR_Key,0)),"")</f>
        <v>regulated</v>
      </c>
      <c r="N169" s="2" t="str">
        <f aca="false">IFERROR(INDEX(MW_Check,MATCH(G169,MW_Key,0)),"")</f>
        <v>OK</v>
      </c>
      <c r="O169" s="0" t="str">
        <f aca="false">IF(NOT(ISNUMBER(H169)),"LABOR QUOTE NEEDED – total incomplete",IF(N169="BELOW FLOOR","CHECK: typical labor below wage floor – payout and customer labor raised to floor",IF(M169&lt;&gt;"none","Labor rate flagged: "&amp;M169,"OK")))</f>
        <v>Labor rate flagged: regulated</v>
      </c>
      <c r="P169" s="0" t="s">
        <v>1180</v>
      </c>
      <c r="Q169" s="8" t="s">
        <v>1181</v>
      </c>
      <c r="R169" s="2" t="str">
        <f aca="false">IF(OR(M169="regulated",COUNTIFS(Tasks_TaskID,A169,Tasks_Tier,D169,Tasks_Review,"base")&gt;0),"PENDING REVIEW – priced, not bookable until human approval",IF(COUNTIFS(Tasks_TaskID,A169,Tasks_Tier,D169,Tasks_Review,"as-needed")&gt;0,"Bookable (re-evaluate if regulated as-needed line selected)","Bookable"))</f>
        <v>PENDING REVIEW – priced, not bookable until human approval</v>
      </c>
    </row>
    <row r="170" customFormat="false" ht="17.15" hidden="false" customHeight="false" outlineLevel="0" collapsed="false">
      <c r="A170" s="2" t="s">
        <v>1185</v>
      </c>
      <c r="B170" s="2" t="s">
        <v>273</v>
      </c>
      <c r="C170" s="2" t="s">
        <v>1186</v>
      </c>
      <c r="D170" s="2" t="s">
        <v>1042</v>
      </c>
      <c r="E170" s="2" t="s">
        <v>1895</v>
      </c>
      <c r="F170" s="3" t="n">
        <f aca="false">INDEX(Sum_Base,MATCH(A170,Sum_BaseTasks,0),MATCH(D170,Sum_BaseTiers,0))</f>
        <v>809.778825</v>
      </c>
      <c r="G170" s="2" t="str">
        <f aca="false">IF(ISNUMBER(MATCH(A170&amp;"|"&amp;D170,LR_Key,0)),A170&amp;"|"&amp;D170,A170&amp;"|All")</f>
        <v>FIXX-GRD-001|All</v>
      </c>
      <c r="H170" s="3" t="n">
        <f aca="false">IFERROR(INDEX(LR_TypLabor,MATCH(G170,LR_Key,0)),"")</f>
        <v>330</v>
      </c>
      <c r="I170" s="12" t="n">
        <f aca="false">INDEX(Urg_Mult,MATCH(E170,Urg_Levels,0))</f>
        <v>1</v>
      </c>
      <c r="J170" s="3" t="n">
        <f aca="false">IF(ISNUMBER(H170),MAX(H170,IFERROR(INDEX(MW_Floor,MATCH(G170,MW_Key,0)),0))*I170,"")</f>
        <v>330</v>
      </c>
      <c r="K170" s="3" t="n">
        <f aca="false">IF(ISNUMBER(J170),F170+J170,"")</f>
        <v>1139.778825</v>
      </c>
      <c r="L170" s="3" t="n">
        <f aca="false">IF(ISNUMBER(H170),MAX(H170,IFERROR(INDEX(MW_Floor,MATCH(G170,MW_Key,0)),0))*I170,"")</f>
        <v>330</v>
      </c>
      <c r="M170" s="2" t="str">
        <f aca="false">IFERROR(INDEX(LR_Flag,MATCH(G170,LR_Key,0)),"")</f>
        <v>none</v>
      </c>
      <c r="N170" s="2" t="str">
        <f aca="false">IFERROR(INDEX(MW_Check,MATCH(G170,MW_Key,0)),"")</f>
        <v>OK</v>
      </c>
      <c r="O170" s="0" t="str">
        <f aca="false">IF(NOT(ISNUMBER(H170)),"LABOR QUOTE NEEDED – total incomplete",IF(N170="BELOW FLOOR","CHECK: typical labor below wage floor – payout and customer labor raised to floor",IF(M170&lt;&gt;"none","Labor rate flagged: "&amp;M170,"OK")))</f>
        <v>OK</v>
      </c>
      <c r="P170" s="0" t="s">
        <v>1188</v>
      </c>
      <c r="Q170" s="8" t="s">
        <v>1189</v>
      </c>
      <c r="R170" s="2" t="str">
        <f aca="false">IF(OR(M170="regulated",COUNTIFS(Tasks_TaskID,A170,Tasks_Tier,D170,Tasks_Review,"base")&gt;0),"PENDING REVIEW – priced, not bookable until human approval",IF(COUNTIFS(Tasks_TaskID,A170,Tasks_Tier,D170,Tasks_Review,"as-needed")&gt;0,"Bookable (re-evaluate if regulated as-needed line selected)","Bookable"))</f>
        <v>Bookable</v>
      </c>
    </row>
    <row r="171" customFormat="false" ht="17.15" hidden="false" customHeight="false" outlineLevel="0" collapsed="false">
      <c r="A171" s="2" t="s">
        <v>1185</v>
      </c>
      <c r="B171" s="2" t="s">
        <v>273</v>
      </c>
      <c r="C171" s="2" t="s">
        <v>1186</v>
      </c>
      <c r="D171" s="2" t="s">
        <v>1042</v>
      </c>
      <c r="E171" s="2" t="s">
        <v>1896</v>
      </c>
      <c r="F171" s="3" t="n">
        <f aca="false">INDEX(Sum_Base,MATCH(A171,Sum_BaseTasks,0),MATCH(D171,Sum_BaseTiers,0))</f>
        <v>809.778825</v>
      </c>
      <c r="G171" s="2" t="str">
        <f aca="false">IF(ISNUMBER(MATCH(A171&amp;"|"&amp;D171,LR_Key,0)),A171&amp;"|"&amp;D171,A171&amp;"|All")</f>
        <v>FIXX-GRD-001|All</v>
      </c>
      <c r="H171" s="3" t="n">
        <f aca="false">IFERROR(INDEX(LR_TypLabor,MATCH(G171,LR_Key,0)),"")</f>
        <v>330</v>
      </c>
      <c r="I171" s="12" t="n">
        <f aca="false">INDEX(Urg_Mult,MATCH(E171,Urg_Levels,0))</f>
        <v>1.15</v>
      </c>
      <c r="J171" s="3" t="n">
        <f aca="false">IF(ISNUMBER(H171),MAX(H171,IFERROR(INDEX(MW_Floor,MATCH(G171,MW_Key,0)),0))*I171,"")</f>
        <v>379.5</v>
      </c>
      <c r="K171" s="3" t="n">
        <f aca="false">IF(ISNUMBER(J171),F171+J171,"")</f>
        <v>1189.278825</v>
      </c>
      <c r="L171" s="3" t="n">
        <f aca="false">IF(ISNUMBER(H171),MAX(H171,IFERROR(INDEX(MW_Floor,MATCH(G171,MW_Key,0)),0))*I171,"")</f>
        <v>379.5</v>
      </c>
      <c r="M171" s="2" t="str">
        <f aca="false">IFERROR(INDEX(LR_Flag,MATCH(G171,LR_Key,0)),"")</f>
        <v>none</v>
      </c>
      <c r="N171" s="2" t="str">
        <f aca="false">IFERROR(INDEX(MW_Check,MATCH(G171,MW_Key,0)),"")</f>
        <v>OK</v>
      </c>
      <c r="O171" s="0" t="str">
        <f aca="false">IF(NOT(ISNUMBER(H171)),"LABOR QUOTE NEEDED – total incomplete",IF(N171="BELOW FLOOR","CHECK: typical labor below wage floor – payout and customer labor raised to floor",IF(M171&lt;&gt;"none","Labor rate flagged: "&amp;M171,"OK")))</f>
        <v>OK</v>
      </c>
      <c r="P171" s="0" t="s">
        <v>1188</v>
      </c>
      <c r="Q171" s="8" t="s">
        <v>1189</v>
      </c>
      <c r="R171" s="2" t="str">
        <f aca="false">IF(OR(M171="regulated",COUNTIFS(Tasks_TaskID,A171,Tasks_Tier,D171,Tasks_Review,"base")&gt;0),"PENDING REVIEW – priced, not bookable until human approval",IF(COUNTIFS(Tasks_TaskID,A171,Tasks_Tier,D171,Tasks_Review,"as-needed")&gt;0,"Bookable (re-evaluate if regulated as-needed line selected)","Bookable"))</f>
        <v>Bookable</v>
      </c>
    </row>
    <row r="172" customFormat="false" ht="17.15" hidden="false" customHeight="false" outlineLevel="0" collapsed="false">
      <c r="A172" s="2" t="s">
        <v>1185</v>
      </c>
      <c r="B172" s="2" t="s">
        <v>273</v>
      </c>
      <c r="C172" s="2" t="s">
        <v>1186</v>
      </c>
      <c r="D172" s="2" t="s">
        <v>1042</v>
      </c>
      <c r="E172" s="2" t="s">
        <v>1897</v>
      </c>
      <c r="F172" s="3" t="n">
        <f aca="false">INDEX(Sum_Base,MATCH(A172,Sum_BaseTasks,0),MATCH(D172,Sum_BaseTiers,0))</f>
        <v>809.778825</v>
      </c>
      <c r="G172" s="2" t="str">
        <f aca="false">IF(ISNUMBER(MATCH(A172&amp;"|"&amp;D172,LR_Key,0)),A172&amp;"|"&amp;D172,A172&amp;"|All")</f>
        <v>FIXX-GRD-001|All</v>
      </c>
      <c r="H172" s="3" t="n">
        <f aca="false">IFERROR(INDEX(LR_TypLabor,MATCH(G172,LR_Key,0)),"")</f>
        <v>330</v>
      </c>
      <c r="I172" s="12" t="n">
        <f aca="false">INDEX(Urg_Mult,MATCH(E172,Urg_Levels,0))</f>
        <v>1.3</v>
      </c>
      <c r="J172" s="3" t="n">
        <f aca="false">IF(ISNUMBER(H172),MAX(H172,IFERROR(INDEX(MW_Floor,MATCH(G172,MW_Key,0)),0))*I172,"")</f>
        <v>429</v>
      </c>
      <c r="K172" s="3" t="n">
        <f aca="false">IF(ISNUMBER(J172),F172+J172,"")</f>
        <v>1238.778825</v>
      </c>
      <c r="L172" s="3" t="n">
        <f aca="false">IF(ISNUMBER(H172),MAX(H172,IFERROR(INDEX(MW_Floor,MATCH(G172,MW_Key,0)),0))*I172,"")</f>
        <v>429</v>
      </c>
      <c r="M172" s="2" t="str">
        <f aca="false">IFERROR(INDEX(LR_Flag,MATCH(G172,LR_Key,0)),"")</f>
        <v>none</v>
      </c>
      <c r="N172" s="2" t="str">
        <f aca="false">IFERROR(INDEX(MW_Check,MATCH(G172,MW_Key,0)),"")</f>
        <v>OK</v>
      </c>
      <c r="O172" s="0" t="str">
        <f aca="false">IF(NOT(ISNUMBER(H172)),"LABOR QUOTE NEEDED – total incomplete",IF(N172="BELOW FLOOR","CHECK: typical labor below wage floor – payout and customer labor raised to floor",IF(M172&lt;&gt;"none","Labor rate flagged: "&amp;M172,"OK")))</f>
        <v>OK</v>
      </c>
      <c r="P172" s="0" t="s">
        <v>1188</v>
      </c>
      <c r="Q172" s="8" t="s">
        <v>1189</v>
      </c>
      <c r="R172" s="2" t="str">
        <f aca="false">IF(OR(M172="regulated",COUNTIFS(Tasks_TaskID,A172,Tasks_Tier,D172,Tasks_Review,"base")&gt;0),"PENDING REVIEW – priced, not bookable until human approval",IF(COUNTIFS(Tasks_TaskID,A172,Tasks_Tier,D172,Tasks_Review,"as-needed")&gt;0,"Bookable (re-evaluate if regulated as-needed line selected)","Bookable"))</f>
        <v>Bookable</v>
      </c>
    </row>
    <row r="173" customFormat="false" ht="17.15" hidden="false" customHeight="false" outlineLevel="0" collapsed="false">
      <c r="A173" s="2" t="s">
        <v>1185</v>
      </c>
      <c r="B173" s="2" t="s">
        <v>273</v>
      </c>
      <c r="C173" s="2" t="s">
        <v>1186</v>
      </c>
      <c r="D173" s="2" t="s">
        <v>1042</v>
      </c>
      <c r="E173" s="2" t="s">
        <v>1898</v>
      </c>
      <c r="F173" s="3" t="n">
        <f aca="false">INDEX(Sum_Base,MATCH(A173,Sum_BaseTasks,0),MATCH(D173,Sum_BaseTiers,0))</f>
        <v>809.778825</v>
      </c>
      <c r="G173" s="2" t="str">
        <f aca="false">IF(ISNUMBER(MATCH(A173&amp;"|"&amp;D173,LR_Key,0)),A173&amp;"|"&amp;D173,A173&amp;"|All")</f>
        <v>FIXX-GRD-001|All</v>
      </c>
      <c r="H173" s="3" t="n">
        <f aca="false">IFERROR(INDEX(LR_TypLabor,MATCH(G173,LR_Key,0)),"")</f>
        <v>330</v>
      </c>
      <c r="I173" s="12" t="n">
        <f aca="false">INDEX(Urg_Mult,MATCH(E173,Urg_Levels,0))</f>
        <v>1.5</v>
      </c>
      <c r="J173" s="3" t="n">
        <f aca="false">IF(ISNUMBER(H173),MAX(H173,IFERROR(INDEX(MW_Floor,MATCH(G173,MW_Key,0)),0))*I173,"")</f>
        <v>495</v>
      </c>
      <c r="K173" s="3" t="n">
        <f aca="false">IF(ISNUMBER(J173),F173+J173,"")</f>
        <v>1304.778825</v>
      </c>
      <c r="L173" s="3" t="n">
        <f aca="false">IF(ISNUMBER(H173),MAX(H173,IFERROR(INDEX(MW_Floor,MATCH(G173,MW_Key,0)),0))*I173,"")</f>
        <v>495</v>
      </c>
      <c r="M173" s="2" t="str">
        <f aca="false">IFERROR(INDEX(LR_Flag,MATCH(G173,LR_Key,0)),"")</f>
        <v>none</v>
      </c>
      <c r="N173" s="2" t="str">
        <f aca="false">IFERROR(INDEX(MW_Check,MATCH(G173,MW_Key,0)),"")</f>
        <v>OK</v>
      </c>
      <c r="O173" s="0" t="str">
        <f aca="false">IF(NOT(ISNUMBER(H173)),"LABOR QUOTE NEEDED – total incomplete",IF(N173="BELOW FLOOR","CHECK: typical labor below wage floor – payout and customer labor raised to floor",IF(M173&lt;&gt;"none","Labor rate flagged: "&amp;M173,"OK")))</f>
        <v>OK</v>
      </c>
      <c r="P173" s="0" t="s">
        <v>1188</v>
      </c>
      <c r="Q173" s="8" t="s">
        <v>1189</v>
      </c>
      <c r="R173" s="2" t="str">
        <f aca="false">IF(OR(M173="regulated",COUNTIFS(Tasks_TaskID,A173,Tasks_Tier,D173,Tasks_Review,"base")&gt;0),"PENDING REVIEW – priced, not bookable until human approval",IF(COUNTIFS(Tasks_TaskID,A173,Tasks_Tier,D173,Tasks_Review,"as-needed")&gt;0,"Bookable (re-evaluate if regulated as-needed line selected)","Bookable"))</f>
        <v>Bookable</v>
      </c>
    </row>
    <row r="174" customFormat="false" ht="17.15" hidden="false" customHeight="false" outlineLevel="0" collapsed="false">
      <c r="A174" s="2" t="s">
        <v>1185</v>
      </c>
      <c r="B174" s="2" t="s">
        <v>273</v>
      </c>
      <c r="C174" s="2" t="s">
        <v>1186</v>
      </c>
      <c r="D174" s="2" t="s">
        <v>1049</v>
      </c>
      <c r="E174" s="2" t="s">
        <v>1895</v>
      </c>
      <c r="F174" s="3" t="n">
        <f aca="false">INDEX(Sum_Base,MATCH(A174,Sum_BaseTasks,0),MATCH(D174,Sum_BaseTiers,0))</f>
        <v>910.416655</v>
      </c>
      <c r="G174" s="2" t="str">
        <f aca="false">IF(ISNUMBER(MATCH(A174&amp;"|"&amp;D174,LR_Key,0)),A174&amp;"|"&amp;D174,A174&amp;"|All")</f>
        <v>FIXX-GRD-001|All</v>
      </c>
      <c r="H174" s="3" t="n">
        <f aca="false">IFERROR(INDEX(LR_TypLabor,MATCH(G174,LR_Key,0)),"")</f>
        <v>330</v>
      </c>
      <c r="I174" s="12" t="n">
        <f aca="false">INDEX(Urg_Mult,MATCH(E174,Urg_Levels,0))</f>
        <v>1</v>
      </c>
      <c r="J174" s="3" t="n">
        <f aca="false">IF(ISNUMBER(H174),MAX(H174,IFERROR(INDEX(MW_Floor,MATCH(G174,MW_Key,0)),0))*I174,"")</f>
        <v>330</v>
      </c>
      <c r="K174" s="3" t="n">
        <f aca="false">IF(ISNUMBER(J174),F174+J174,"")</f>
        <v>1240.416655</v>
      </c>
      <c r="L174" s="3" t="n">
        <f aca="false">IF(ISNUMBER(H174),MAX(H174,IFERROR(INDEX(MW_Floor,MATCH(G174,MW_Key,0)),0))*I174,"")</f>
        <v>330</v>
      </c>
      <c r="M174" s="2" t="str">
        <f aca="false">IFERROR(INDEX(LR_Flag,MATCH(G174,LR_Key,0)),"")</f>
        <v>none</v>
      </c>
      <c r="N174" s="2" t="str">
        <f aca="false">IFERROR(INDEX(MW_Check,MATCH(G174,MW_Key,0)),"")</f>
        <v>OK</v>
      </c>
      <c r="O174" s="0" t="str">
        <f aca="false">IF(NOT(ISNUMBER(H174)),"LABOR QUOTE NEEDED – total incomplete",IF(N174="BELOW FLOOR","CHECK: typical labor below wage floor – payout and customer labor raised to floor",IF(M174&lt;&gt;"none","Labor rate flagged: "&amp;M174,"OK")))</f>
        <v>OK</v>
      </c>
      <c r="P174" s="0" t="s">
        <v>1188</v>
      </c>
      <c r="Q174" s="8" t="s">
        <v>1189</v>
      </c>
      <c r="R174" s="2" t="str">
        <f aca="false">IF(OR(M174="regulated",COUNTIFS(Tasks_TaskID,A174,Tasks_Tier,D174,Tasks_Review,"base")&gt;0),"PENDING REVIEW – priced, not bookable until human approval",IF(COUNTIFS(Tasks_TaskID,A174,Tasks_Tier,D174,Tasks_Review,"as-needed")&gt;0,"Bookable (re-evaluate if regulated as-needed line selected)","Bookable"))</f>
        <v>Bookable</v>
      </c>
    </row>
    <row r="175" customFormat="false" ht="17.15" hidden="false" customHeight="false" outlineLevel="0" collapsed="false">
      <c r="A175" s="2" t="s">
        <v>1185</v>
      </c>
      <c r="B175" s="2" t="s">
        <v>273</v>
      </c>
      <c r="C175" s="2" t="s">
        <v>1186</v>
      </c>
      <c r="D175" s="2" t="s">
        <v>1049</v>
      </c>
      <c r="E175" s="2" t="s">
        <v>1896</v>
      </c>
      <c r="F175" s="3" t="n">
        <f aca="false">INDEX(Sum_Base,MATCH(A175,Sum_BaseTasks,0),MATCH(D175,Sum_BaseTiers,0))</f>
        <v>910.416655</v>
      </c>
      <c r="G175" s="2" t="str">
        <f aca="false">IF(ISNUMBER(MATCH(A175&amp;"|"&amp;D175,LR_Key,0)),A175&amp;"|"&amp;D175,A175&amp;"|All")</f>
        <v>FIXX-GRD-001|All</v>
      </c>
      <c r="H175" s="3" t="n">
        <f aca="false">IFERROR(INDEX(LR_TypLabor,MATCH(G175,LR_Key,0)),"")</f>
        <v>330</v>
      </c>
      <c r="I175" s="12" t="n">
        <f aca="false">INDEX(Urg_Mult,MATCH(E175,Urg_Levels,0))</f>
        <v>1.15</v>
      </c>
      <c r="J175" s="3" t="n">
        <f aca="false">IF(ISNUMBER(H175),MAX(H175,IFERROR(INDEX(MW_Floor,MATCH(G175,MW_Key,0)),0))*I175,"")</f>
        <v>379.5</v>
      </c>
      <c r="K175" s="3" t="n">
        <f aca="false">IF(ISNUMBER(J175),F175+J175,"")</f>
        <v>1289.916655</v>
      </c>
      <c r="L175" s="3" t="n">
        <f aca="false">IF(ISNUMBER(H175),MAX(H175,IFERROR(INDEX(MW_Floor,MATCH(G175,MW_Key,0)),0))*I175,"")</f>
        <v>379.5</v>
      </c>
      <c r="M175" s="2" t="str">
        <f aca="false">IFERROR(INDEX(LR_Flag,MATCH(G175,LR_Key,0)),"")</f>
        <v>none</v>
      </c>
      <c r="N175" s="2" t="str">
        <f aca="false">IFERROR(INDEX(MW_Check,MATCH(G175,MW_Key,0)),"")</f>
        <v>OK</v>
      </c>
      <c r="O175" s="0" t="str">
        <f aca="false">IF(NOT(ISNUMBER(H175)),"LABOR QUOTE NEEDED – total incomplete",IF(N175="BELOW FLOOR","CHECK: typical labor below wage floor – payout and customer labor raised to floor",IF(M175&lt;&gt;"none","Labor rate flagged: "&amp;M175,"OK")))</f>
        <v>OK</v>
      </c>
      <c r="P175" s="0" t="s">
        <v>1188</v>
      </c>
      <c r="Q175" s="8" t="s">
        <v>1189</v>
      </c>
      <c r="R175" s="2" t="str">
        <f aca="false">IF(OR(M175="regulated",COUNTIFS(Tasks_TaskID,A175,Tasks_Tier,D175,Tasks_Review,"base")&gt;0),"PENDING REVIEW – priced, not bookable until human approval",IF(COUNTIFS(Tasks_TaskID,A175,Tasks_Tier,D175,Tasks_Review,"as-needed")&gt;0,"Bookable (re-evaluate if regulated as-needed line selected)","Bookable"))</f>
        <v>Bookable</v>
      </c>
    </row>
    <row r="176" customFormat="false" ht="17.15" hidden="false" customHeight="false" outlineLevel="0" collapsed="false">
      <c r="A176" s="2" t="s">
        <v>1185</v>
      </c>
      <c r="B176" s="2" t="s">
        <v>273</v>
      </c>
      <c r="C176" s="2" t="s">
        <v>1186</v>
      </c>
      <c r="D176" s="2" t="s">
        <v>1049</v>
      </c>
      <c r="E176" s="2" t="s">
        <v>1897</v>
      </c>
      <c r="F176" s="3" t="n">
        <f aca="false">INDEX(Sum_Base,MATCH(A176,Sum_BaseTasks,0),MATCH(D176,Sum_BaseTiers,0))</f>
        <v>910.416655</v>
      </c>
      <c r="G176" s="2" t="str">
        <f aca="false">IF(ISNUMBER(MATCH(A176&amp;"|"&amp;D176,LR_Key,0)),A176&amp;"|"&amp;D176,A176&amp;"|All")</f>
        <v>FIXX-GRD-001|All</v>
      </c>
      <c r="H176" s="3" t="n">
        <f aca="false">IFERROR(INDEX(LR_TypLabor,MATCH(G176,LR_Key,0)),"")</f>
        <v>330</v>
      </c>
      <c r="I176" s="12" t="n">
        <f aca="false">INDEX(Urg_Mult,MATCH(E176,Urg_Levels,0))</f>
        <v>1.3</v>
      </c>
      <c r="J176" s="3" t="n">
        <f aca="false">IF(ISNUMBER(H176),MAX(H176,IFERROR(INDEX(MW_Floor,MATCH(G176,MW_Key,0)),0))*I176,"")</f>
        <v>429</v>
      </c>
      <c r="K176" s="3" t="n">
        <f aca="false">IF(ISNUMBER(J176),F176+J176,"")</f>
        <v>1339.416655</v>
      </c>
      <c r="L176" s="3" t="n">
        <f aca="false">IF(ISNUMBER(H176),MAX(H176,IFERROR(INDEX(MW_Floor,MATCH(G176,MW_Key,0)),0))*I176,"")</f>
        <v>429</v>
      </c>
      <c r="M176" s="2" t="str">
        <f aca="false">IFERROR(INDEX(LR_Flag,MATCH(G176,LR_Key,0)),"")</f>
        <v>none</v>
      </c>
      <c r="N176" s="2" t="str">
        <f aca="false">IFERROR(INDEX(MW_Check,MATCH(G176,MW_Key,0)),"")</f>
        <v>OK</v>
      </c>
      <c r="O176" s="0" t="str">
        <f aca="false">IF(NOT(ISNUMBER(H176)),"LABOR QUOTE NEEDED – total incomplete",IF(N176="BELOW FLOOR","CHECK: typical labor below wage floor – payout and customer labor raised to floor",IF(M176&lt;&gt;"none","Labor rate flagged: "&amp;M176,"OK")))</f>
        <v>OK</v>
      </c>
      <c r="P176" s="0" t="s">
        <v>1188</v>
      </c>
      <c r="Q176" s="8" t="s">
        <v>1189</v>
      </c>
      <c r="R176" s="2" t="str">
        <f aca="false">IF(OR(M176="regulated",COUNTIFS(Tasks_TaskID,A176,Tasks_Tier,D176,Tasks_Review,"base")&gt;0),"PENDING REVIEW – priced, not bookable until human approval",IF(COUNTIFS(Tasks_TaskID,A176,Tasks_Tier,D176,Tasks_Review,"as-needed")&gt;0,"Bookable (re-evaluate if regulated as-needed line selected)","Bookable"))</f>
        <v>Bookable</v>
      </c>
    </row>
    <row r="177" customFormat="false" ht="17.15" hidden="false" customHeight="false" outlineLevel="0" collapsed="false">
      <c r="A177" s="2" t="s">
        <v>1185</v>
      </c>
      <c r="B177" s="2" t="s">
        <v>273</v>
      </c>
      <c r="C177" s="2" t="s">
        <v>1186</v>
      </c>
      <c r="D177" s="2" t="s">
        <v>1049</v>
      </c>
      <c r="E177" s="2" t="s">
        <v>1898</v>
      </c>
      <c r="F177" s="3" t="n">
        <f aca="false">INDEX(Sum_Base,MATCH(A177,Sum_BaseTasks,0),MATCH(D177,Sum_BaseTiers,0))</f>
        <v>910.416655</v>
      </c>
      <c r="G177" s="2" t="str">
        <f aca="false">IF(ISNUMBER(MATCH(A177&amp;"|"&amp;D177,LR_Key,0)),A177&amp;"|"&amp;D177,A177&amp;"|All")</f>
        <v>FIXX-GRD-001|All</v>
      </c>
      <c r="H177" s="3" t="n">
        <f aca="false">IFERROR(INDEX(LR_TypLabor,MATCH(G177,LR_Key,0)),"")</f>
        <v>330</v>
      </c>
      <c r="I177" s="12" t="n">
        <f aca="false">INDEX(Urg_Mult,MATCH(E177,Urg_Levels,0))</f>
        <v>1.5</v>
      </c>
      <c r="J177" s="3" t="n">
        <f aca="false">IF(ISNUMBER(H177),MAX(H177,IFERROR(INDEX(MW_Floor,MATCH(G177,MW_Key,0)),0))*I177,"")</f>
        <v>495</v>
      </c>
      <c r="K177" s="3" t="n">
        <f aca="false">IF(ISNUMBER(J177),F177+J177,"")</f>
        <v>1405.416655</v>
      </c>
      <c r="L177" s="3" t="n">
        <f aca="false">IF(ISNUMBER(H177),MAX(H177,IFERROR(INDEX(MW_Floor,MATCH(G177,MW_Key,0)),0))*I177,"")</f>
        <v>495</v>
      </c>
      <c r="M177" s="2" t="str">
        <f aca="false">IFERROR(INDEX(LR_Flag,MATCH(G177,LR_Key,0)),"")</f>
        <v>none</v>
      </c>
      <c r="N177" s="2" t="str">
        <f aca="false">IFERROR(INDEX(MW_Check,MATCH(G177,MW_Key,0)),"")</f>
        <v>OK</v>
      </c>
      <c r="O177" s="0" t="str">
        <f aca="false">IF(NOT(ISNUMBER(H177)),"LABOR QUOTE NEEDED – total incomplete",IF(N177="BELOW FLOOR","CHECK: typical labor below wage floor – payout and customer labor raised to floor",IF(M177&lt;&gt;"none","Labor rate flagged: "&amp;M177,"OK")))</f>
        <v>OK</v>
      </c>
      <c r="P177" s="0" t="s">
        <v>1188</v>
      </c>
      <c r="Q177" s="8" t="s">
        <v>1189</v>
      </c>
      <c r="R177" s="2" t="str">
        <f aca="false">IF(OR(M177="regulated",COUNTIFS(Tasks_TaskID,A177,Tasks_Tier,D177,Tasks_Review,"base")&gt;0),"PENDING REVIEW – priced, not bookable until human approval",IF(COUNTIFS(Tasks_TaskID,A177,Tasks_Tier,D177,Tasks_Review,"as-needed")&gt;0,"Bookable (re-evaluate if regulated as-needed line selected)","Bookable"))</f>
        <v>Bookable</v>
      </c>
    </row>
    <row r="178" customFormat="false" ht="17.15" hidden="false" customHeight="false" outlineLevel="0" collapsed="false">
      <c r="A178" s="2" t="s">
        <v>1185</v>
      </c>
      <c r="B178" s="2" t="s">
        <v>273</v>
      </c>
      <c r="C178" s="2" t="s">
        <v>1186</v>
      </c>
      <c r="D178" s="2" t="s">
        <v>1051</v>
      </c>
      <c r="E178" s="2" t="s">
        <v>1895</v>
      </c>
      <c r="F178" s="3" t="n">
        <f aca="false">INDEX(Sum_Base,MATCH(A178,Sum_BaseTasks,0),MATCH(D178,Sum_BaseTiers,0))</f>
        <v>1053.416655</v>
      </c>
      <c r="G178" s="2" t="str">
        <f aca="false">IF(ISNUMBER(MATCH(A178&amp;"|"&amp;D178,LR_Key,0)),A178&amp;"|"&amp;D178,A178&amp;"|All")</f>
        <v>FIXX-GRD-001|All</v>
      </c>
      <c r="H178" s="3" t="n">
        <f aca="false">IFERROR(INDEX(LR_TypLabor,MATCH(G178,LR_Key,0)),"")</f>
        <v>330</v>
      </c>
      <c r="I178" s="12" t="n">
        <f aca="false">INDEX(Urg_Mult,MATCH(E178,Urg_Levels,0))</f>
        <v>1</v>
      </c>
      <c r="J178" s="3" t="n">
        <f aca="false">IF(ISNUMBER(H178),MAX(H178,IFERROR(INDEX(MW_Floor,MATCH(G178,MW_Key,0)),0))*I178,"")</f>
        <v>330</v>
      </c>
      <c r="K178" s="3" t="n">
        <f aca="false">IF(ISNUMBER(J178),F178+J178,"")</f>
        <v>1383.416655</v>
      </c>
      <c r="L178" s="3" t="n">
        <f aca="false">IF(ISNUMBER(H178),MAX(H178,IFERROR(INDEX(MW_Floor,MATCH(G178,MW_Key,0)),0))*I178,"")</f>
        <v>330</v>
      </c>
      <c r="M178" s="2" t="str">
        <f aca="false">IFERROR(INDEX(LR_Flag,MATCH(G178,LR_Key,0)),"")</f>
        <v>none</v>
      </c>
      <c r="N178" s="2" t="str">
        <f aca="false">IFERROR(INDEX(MW_Check,MATCH(G178,MW_Key,0)),"")</f>
        <v>OK</v>
      </c>
      <c r="O178" s="0" t="str">
        <f aca="false">IF(NOT(ISNUMBER(H178)),"LABOR QUOTE NEEDED – total incomplete",IF(N178="BELOW FLOOR","CHECK: typical labor below wage floor – payout and customer labor raised to floor",IF(M178&lt;&gt;"none","Labor rate flagged: "&amp;M178,"OK")))</f>
        <v>OK</v>
      </c>
      <c r="P178" s="0" t="s">
        <v>1188</v>
      </c>
      <c r="Q178" s="8" t="s">
        <v>1189</v>
      </c>
      <c r="R178" s="2" t="str">
        <f aca="false">IF(OR(M178="regulated",COUNTIFS(Tasks_TaskID,A178,Tasks_Tier,D178,Tasks_Review,"base")&gt;0),"PENDING REVIEW – priced, not bookable until human approval",IF(COUNTIFS(Tasks_TaskID,A178,Tasks_Tier,D178,Tasks_Review,"as-needed")&gt;0,"Bookable (re-evaluate if regulated as-needed line selected)","Bookable"))</f>
        <v>Bookable</v>
      </c>
    </row>
    <row r="179" customFormat="false" ht="17.15" hidden="false" customHeight="false" outlineLevel="0" collapsed="false">
      <c r="A179" s="2" t="s">
        <v>1185</v>
      </c>
      <c r="B179" s="2" t="s">
        <v>273</v>
      </c>
      <c r="C179" s="2" t="s">
        <v>1186</v>
      </c>
      <c r="D179" s="2" t="s">
        <v>1051</v>
      </c>
      <c r="E179" s="2" t="s">
        <v>1896</v>
      </c>
      <c r="F179" s="3" t="n">
        <f aca="false">INDEX(Sum_Base,MATCH(A179,Sum_BaseTasks,0),MATCH(D179,Sum_BaseTiers,0))</f>
        <v>1053.416655</v>
      </c>
      <c r="G179" s="2" t="str">
        <f aca="false">IF(ISNUMBER(MATCH(A179&amp;"|"&amp;D179,LR_Key,0)),A179&amp;"|"&amp;D179,A179&amp;"|All")</f>
        <v>FIXX-GRD-001|All</v>
      </c>
      <c r="H179" s="3" t="n">
        <f aca="false">IFERROR(INDEX(LR_TypLabor,MATCH(G179,LR_Key,0)),"")</f>
        <v>330</v>
      </c>
      <c r="I179" s="12" t="n">
        <f aca="false">INDEX(Urg_Mult,MATCH(E179,Urg_Levels,0))</f>
        <v>1.15</v>
      </c>
      <c r="J179" s="3" t="n">
        <f aca="false">IF(ISNUMBER(H179),MAX(H179,IFERROR(INDEX(MW_Floor,MATCH(G179,MW_Key,0)),0))*I179,"")</f>
        <v>379.5</v>
      </c>
      <c r="K179" s="3" t="n">
        <f aca="false">IF(ISNUMBER(J179),F179+J179,"")</f>
        <v>1432.916655</v>
      </c>
      <c r="L179" s="3" t="n">
        <f aca="false">IF(ISNUMBER(H179),MAX(H179,IFERROR(INDEX(MW_Floor,MATCH(G179,MW_Key,0)),0))*I179,"")</f>
        <v>379.5</v>
      </c>
      <c r="M179" s="2" t="str">
        <f aca="false">IFERROR(INDEX(LR_Flag,MATCH(G179,LR_Key,0)),"")</f>
        <v>none</v>
      </c>
      <c r="N179" s="2" t="str">
        <f aca="false">IFERROR(INDEX(MW_Check,MATCH(G179,MW_Key,0)),"")</f>
        <v>OK</v>
      </c>
      <c r="O179" s="0" t="str">
        <f aca="false">IF(NOT(ISNUMBER(H179)),"LABOR QUOTE NEEDED – total incomplete",IF(N179="BELOW FLOOR","CHECK: typical labor below wage floor – payout and customer labor raised to floor",IF(M179&lt;&gt;"none","Labor rate flagged: "&amp;M179,"OK")))</f>
        <v>OK</v>
      </c>
      <c r="P179" s="0" t="s">
        <v>1188</v>
      </c>
      <c r="Q179" s="8" t="s">
        <v>1189</v>
      </c>
      <c r="R179" s="2" t="str">
        <f aca="false">IF(OR(M179="regulated",COUNTIFS(Tasks_TaskID,A179,Tasks_Tier,D179,Tasks_Review,"base")&gt;0),"PENDING REVIEW – priced, not bookable until human approval",IF(COUNTIFS(Tasks_TaskID,A179,Tasks_Tier,D179,Tasks_Review,"as-needed")&gt;0,"Bookable (re-evaluate if regulated as-needed line selected)","Bookable"))</f>
        <v>Bookable</v>
      </c>
    </row>
    <row r="180" customFormat="false" ht="17.15" hidden="false" customHeight="false" outlineLevel="0" collapsed="false">
      <c r="A180" s="2" t="s">
        <v>1185</v>
      </c>
      <c r="B180" s="2" t="s">
        <v>273</v>
      </c>
      <c r="C180" s="2" t="s">
        <v>1186</v>
      </c>
      <c r="D180" s="2" t="s">
        <v>1051</v>
      </c>
      <c r="E180" s="2" t="s">
        <v>1897</v>
      </c>
      <c r="F180" s="3" t="n">
        <f aca="false">INDEX(Sum_Base,MATCH(A180,Sum_BaseTasks,0),MATCH(D180,Sum_BaseTiers,0))</f>
        <v>1053.416655</v>
      </c>
      <c r="G180" s="2" t="str">
        <f aca="false">IF(ISNUMBER(MATCH(A180&amp;"|"&amp;D180,LR_Key,0)),A180&amp;"|"&amp;D180,A180&amp;"|All")</f>
        <v>FIXX-GRD-001|All</v>
      </c>
      <c r="H180" s="3" t="n">
        <f aca="false">IFERROR(INDEX(LR_TypLabor,MATCH(G180,LR_Key,0)),"")</f>
        <v>330</v>
      </c>
      <c r="I180" s="12" t="n">
        <f aca="false">INDEX(Urg_Mult,MATCH(E180,Urg_Levels,0))</f>
        <v>1.3</v>
      </c>
      <c r="J180" s="3" t="n">
        <f aca="false">IF(ISNUMBER(H180),MAX(H180,IFERROR(INDEX(MW_Floor,MATCH(G180,MW_Key,0)),0))*I180,"")</f>
        <v>429</v>
      </c>
      <c r="K180" s="3" t="n">
        <f aca="false">IF(ISNUMBER(J180),F180+J180,"")</f>
        <v>1482.416655</v>
      </c>
      <c r="L180" s="3" t="n">
        <f aca="false">IF(ISNUMBER(H180),MAX(H180,IFERROR(INDEX(MW_Floor,MATCH(G180,MW_Key,0)),0))*I180,"")</f>
        <v>429</v>
      </c>
      <c r="M180" s="2" t="str">
        <f aca="false">IFERROR(INDEX(LR_Flag,MATCH(G180,LR_Key,0)),"")</f>
        <v>none</v>
      </c>
      <c r="N180" s="2" t="str">
        <f aca="false">IFERROR(INDEX(MW_Check,MATCH(G180,MW_Key,0)),"")</f>
        <v>OK</v>
      </c>
      <c r="O180" s="0" t="str">
        <f aca="false">IF(NOT(ISNUMBER(H180)),"LABOR QUOTE NEEDED – total incomplete",IF(N180="BELOW FLOOR","CHECK: typical labor below wage floor – payout and customer labor raised to floor",IF(M180&lt;&gt;"none","Labor rate flagged: "&amp;M180,"OK")))</f>
        <v>OK</v>
      </c>
      <c r="P180" s="0" t="s">
        <v>1188</v>
      </c>
      <c r="Q180" s="8" t="s">
        <v>1189</v>
      </c>
      <c r="R180" s="2" t="str">
        <f aca="false">IF(OR(M180="regulated",COUNTIFS(Tasks_TaskID,A180,Tasks_Tier,D180,Tasks_Review,"base")&gt;0),"PENDING REVIEW – priced, not bookable until human approval",IF(COUNTIFS(Tasks_TaskID,A180,Tasks_Tier,D180,Tasks_Review,"as-needed")&gt;0,"Bookable (re-evaluate if regulated as-needed line selected)","Bookable"))</f>
        <v>Bookable</v>
      </c>
    </row>
    <row r="181" customFormat="false" ht="17.15" hidden="false" customHeight="false" outlineLevel="0" collapsed="false">
      <c r="A181" s="2" t="s">
        <v>1185</v>
      </c>
      <c r="B181" s="2" t="s">
        <v>273</v>
      </c>
      <c r="C181" s="2" t="s">
        <v>1186</v>
      </c>
      <c r="D181" s="2" t="s">
        <v>1051</v>
      </c>
      <c r="E181" s="2" t="s">
        <v>1898</v>
      </c>
      <c r="F181" s="3" t="n">
        <f aca="false">INDEX(Sum_Base,MATCH(A181,Sum_BaseTasks,0),MATCH(D181,Sum_BaseTiers,0))</f>
        <v>1053.416655</v>
      </c>
      <c r="G181" s="2" t="str">
        <f aca="false">IF(ISNUMBER(MATCH(A181&amp;"|"&amp;D181,LR_Key,0)),A181&amp;"|"&amp;D181,A181&amp;"|All")</f>
        <v>FIXX-GRD-001|All</v>
      </c>
      <c r="H181" s="3" t="n">
        <f aca="false">IFERROR(INDEX(LR_TypLabor,MATCH(G181,LR_Key,0)),"")</f>
        <v>330</v>
      </c>
      <c r="I181" s="12" t="n">
        <f aca="false">INDEX(Urg_Mult,MATCH(E181,Urg_Levels,0))</f>
        <v>1.5</v>
      </c>
      <c r="J181" s="3" t="n">
        <f aca="false">IF(ISNUMBER(H181),MAX(H181,IFERROR(INDEX(MW_Floor,MATCH(G181,MW_Key,0)),0))*I181,"")</f>
        <v>495</v>
      </c>
      <c r="K181" s="3" t="n">
        <f aca="false">IF(ISNUMBER(J181),F181+J181,"")</f>
        <v>1548.416655</v>
      </c>
      <c r="L181" s="3" t="n">
        <f aca="false">IF(ISNUMBER(H181),MAX(H181,IFERROR(INDEX(MW_Floor,MATCH(G181,MW_Key,0)),0))*I181,"")</f>
        <v>495</v>
      </c>
      <c r="M181" s="2" t="str">
        <f aca="false">IFERROR(INDEX(LR_Flag,MATCH(G181,LR_Key,0)),"")</f>
        <v>none</v>
      </c>
      <c r="N181" s="2" t="str">
        <f aca="false">IFERROR(INDEX(MW_Check,MATCH(G181,MW_Key,0)),"")</f>
        <v>OK</v>
      </c>
      <c r="O181" s="0" t="str">
        <f aca="false">IF(NOT(ISNUMBER(H181)),"LABOR QUOTE NEEDED – total incomplete",IF(N181="BELOW FLOOR","CHECK: typical labor below wage floor – payout and customer labor raised to floor",IF(M181&lt;&gt;"none","Labor rate flagged: "&amp;M181,"OK")))</f>
        <v>OK</v>
      </c>
      <c r="P181" s="0" t="s">
        <v>1188</v>
      </c>
      <c r="Q181" s="8" t="s">
        <v>1189</v>
      </c>
      <c r="R181" s="2" t="str">
        <f aca="false">IF(OR(M181="regulated",COUNTIFS(Tasks_TaskID,A181,Tasks_Tier,D181,Tasks_Review,"base")&gt;0),"PENDING REVIEW – priced, not bookable until human approval",IF(COUNTIFS(Tasks_TaskID,A181,Tasks_Tier,D181,Tasks_Review,"as-needed")&gt;0,"Bookable (re-evaluate if regulated as-needed line selected)","Bookable"))</f>
        <v>Bookable</v>
      </c>
    </row>
    <row r="182" customFormat="false" ht="17.15" hidden="false" customHeight="false" outlineLevel="0" collapsed="false">
      <c r="A182" s="2" t="s">
        <v>1228</v>
      </c>
      <c r="B182" s="2" t="s">
        <v>273</v>
      </c>
      <c r="C182" s="2" t="s">
        <v>1229</v>
      </c>
      <c r="D182" s="2" t="s">
        <v>1042</v>
      </c>
      <c r="E182" s="2" t="s">
        <v>1895</v>
      </c>
      <c r="F182" s="3" t="n">
        <f aca="false">INDEX(Sum_Base,MATCH(A182,Sum_BaseTasks,0),MATCH(D182,Sum_BaseTiers,0))</f>
        <v>92.634645</v>
      </c>
      <c r="G182" s="2" t="str">
        <f aca="false">IF(ISNUMBER(MATCH(A182&amp;"|"&amp;D182,LR_Key,0)),A182&amp;"|"&amp;D182,A182&amp;"|All")</f>
        <v>FIXX-GRD-002|All</v>
      </c>
      <c r="H182" s="3" t="n">
        <f aca="false">IFERROR(INDEX(LR_TypLabor,MATCH(G182,LR_Key,0)),"")</f>
        <v>342</v>
      </c>
      <c r="I182" s="12" t="n">
        <f aca="false">INDEX(Urg_Mult,MATCH(E182,Urg_Levels,0))</f>
        <v>1</v>
      </c>
      <c r="J182" s="3" t="n">
        <f aca="false">IF(ISNUMBER(H182),MAX(H182,IFERROR(INDEX(MW_Floor,MATCH(G182,MW_Key,0)),0))*I182,"")</f>
        <v>342</v>
      </c>
      <c r="K182" s="3" t="n">
        <f aca="false">IF(ISNUMBER(J182),F182+J182,"")</f>
        <v>434.634645</v>
      </c>
      <c r="L182" s="3" t="n">
        <f aca="false">IF(ISNUMBER(H182),MAX(H182,IFERROR(INDEX(MW_Floor,MATCH(G182,MW_Key,0)),0))*I182,"")</f>
        <v>342</v>
      </c>
      <c r="M182" s="2" t="str">
        <f aca="false">IFERROR(INDEX(LR_Flag,MATCH(G182,LR_Key,0)),"")</f>
        <v>assumption</v>
      </c>
      <c r="N182" s="2" t="str">
        <f aca="false">IFERROR(INDEX(MW_Check,MATCH(G182,MW_Key,0)),"")</f>
        <v>OK</v>
      </c>
      <c r="O182" s="0" t="str">
        <f aca="false">IF(NOT(ISNUMBER(H182)),"LABOR QUOTE NEEDED – total incomplete",IF(N182="BELOW FLOOR","CHECK: typical labor below wage floor – payout and customer labor raised to floor",IF(M182&lt;&gt;"none","Labor rate flagged: "&amp;M182,"OK")))</f>
        <v>Labor rate flagged: assumption</v>
      </c>
      <c r="P182" s="0" t="s">
        <v>1231</v>
      </c>
      <c r="Q182" s="8" t="s">
        <v>1232</v>
      </c>
      <c r="R182" s="2" t="str">
        <f aca="false">IF(OR(M182="regulated",COUNTIFS(Tasks_TaskID,A182,Tasks_Tier,D182,Tasks_Review,"base")&gt;0),"PENDING REVIEW – priced, not bookable until human approval",IF(COUNTIFS(Tasks_TaskID,A182,Tasks_Tier,D182,Tasks_Review,"as-needed")&gt;0,"Bookable (re-evaluate if regulated as-needed line selected)","Bookable"))</f>
        <v>Bookable</v>
      </c>
    </row>
    <row r="183" customFormat="false" ht="17.15" hidden="false" customHeight="false" outlineLevel="0" collapsed="false">
      <c r="A183" s="2" t="s">
        <v>1228</v>
      </c>
      <c r="B183" s="2" t="s">
        <v>273</v>
      </c>
      <c r="C183" s="2" t="s">
        <v>1229</v>
      </c>
      <c r="D183" s="2" t="s">
        <v>1042</v>
      </c>
      <c r="E183" s="2" t="s">
        <v>1896</v>
      </c>
      <c r="F183" s="3" t="n">
        <f aca="false">INDEX(Sum_Base,MATCH(A183,Sum_BaseTasks,0),MATCH(D183,Sum_BaseTiers,0))</f>
        <v>92.634645</v>
      </c>
      <c r="G183" s="2" t="str">
        <f aca="false">IF(ISNUMBER(MATCH(A183&amp;"|"&amp;D183,LR_Key,0)),A183&amp;"|"&amp;D183,A183&amp;"|All")</f>
        <v>FIXX-GRD-002|All</v>
      </c>
      <c r="H183" s="3" t="n">
        <f aca="false">IFERROR(INDEX(LR_TypLabor,MATCH(G183,LR_Key,0)),"")</f>
        <v>342</v>
      </c>
      <c r="I183" s="12" t="n">
        <f aca="false">INDEX(Urg_Mult,MATCH(E183,Urg_Levels,0))</f>
        <v>1.15</v>
      </c>
      <c r="J183" s="3" t="n">
        <f aca="false">IF(ISNUMBER(H183),MAX(H183,IFERROR(INDEX(MW_Floor,MATCH(G183,MW_Key,0)),0))*I183,"")</f>
        <v>393.3</v>
      </c>
      <c r="K183" s="3" t="n">
        <f aca="false">IF(ISNUMBER(J183),F183+J183,"")</f>
        <v>485.934645</v>
      </c>
      <c r="L183" s="3" t="n">
        <f aca="false">IF(ISNUMBER(H183),MAX(H183,IFERROR(INDEX(MW_Floor,MATCH(G183,MW_Key,0)),0))*I183,"")</f>
        <v>393.3</v>
      </c>
      <c r="M183" s="2" t="str">
        <f aca="false">IFERROR(INDEX(LR_Flag,MATCH(G183,LR_Key,0)),"")</f>
        <v>assumption</v>
      </c>
      <c r="N183" s="2" t="str">
        <f aca="false">IFERROR(INDEX(MW_Check,MATCH(G183,MW_Key,0)),"")</f>
        <v>OK</v>
      </c>
      <c r="O183" s="0" t="str">
        <f aca="false">IF(NOT(ISNUMBER(H183)),"LABOR QUOTE NEEDED – total incomplete",IF(N183="BELOW FLOOR","CHECK: typical labor below wage floor – payout and customer labor raised to floor",IF(M183&lt;&gt;"none","Labor rate flagged: "&amp;M183,"OK")))</f>
        <v>Labor rate flagged: assumption</v>
      </c>
      <c r="P183" s="0" t="s">
        <v>1231</v>
      </c>
      <c r="Q183" s="8" t="s">
        <v>1232</v>
      </c>
      <c r="R183" s="2" t="str">
        <f aca="false">IF(OR(M183="regulated",COUNTIFS(Tasks_TaskID,A183,Tasks_Tier,D183,Tasks_Review,"base")&gt;0),"PENDING REVIEW – priced, not bookable until human approval",IF(COUNTIFS(Tasks_TaskID,A183,Tasks_Tier,D183,Tasks_Review,"as-needed")&gt;0,"Bookable (re-evaluate if regulated as-needed line selected)","Bookable"))</f>
        <v>Bookable</v>
      </c>
    </row>
    <row r="184" customFormat="false" ht="17.15" hidden="false" customHeight="false" outlineLevel="0" collapsed="false">
      <c r="A184" s="2" t="s">
        <v>1228</v>
      </c>
      <c r="B184" s="2" t="s">
        <v>273</v>
      </c>
      <c r="C184" s="2" t="s">
        <v>1229</v>
      </c>
      <c r="D184" s="2" t="s">
        <v>1042</v>
      </c>
      <c r="E184" s="2" t="s">
        <v>1897</v>
      </c>
      <c r="F184" s="3" t="n">
        <f aca="false">INDEX(Sum_Base,MATCH(A184,Sum_BaseTasks,0),MATCH(D184,Sum_BaseTiers,0))</f>
        <v>92.634645</v>
      </c>
      <c r="G184" s="2" t="str">
        <f aca="false">IF(ISNUMBER(MATCH(A184&amp;"|"&amp;D184,LR_Key,0)),A184&amp;"|"&amp;D184,A184&amp;"|All")</f>
        <v>FIXX-GRD-002|All</v>
      </c>
      <c r="H184" s="3" t="n">
        <f aca="false">IFERROR(INDEX(LR_TypLabor,MATCH(G184,LR_Key,0)),"")</f>
        <v>342</v>
      </c>
      <c r="I184" s="12" t="n">
        <f aca="false">INDEX(Urg_Mult,MATCH(E184,Urg_Levels,0))</f>
        <v>1.3</v>
      </c>
      <c r="J184" s="3" t="n">
        <f aca="false">IF(ISNUMBER(H184),MAX(H184,IFERROR(INDEX(MW_Floor,MATCH(G184,MW_Key,0)),0))*I184,"")</f>
        <v>444.6</v>
      </c>
      <c r="K184" s="3" t="n">
        <f aca="false">IF(ISNUMBER(J184),F184+J184,"")</f>
        <v>537.234645</v>
      </c>
      <c r="L184" s="3" t="n">
        <f aca="false">IF(ISNUMBER(H184),MAX(H184,IFERROR(INDEX(MW_Floor,MATCH(G184,MW_Key,0)),0))*I184,"")</f>
        <v>444.6</v>
      </c>
      <c r="M184" s="2" t="str">
        <f aca="false">IFERROR(INDEX(LR_Flag,MATCH(G184,LR_Key,0)),"")</f>
        <v>assumption</v>
      </c>
      <c r="N184" s="2" t="str">
        <f aca="false">IFERROR(INDEX(MW_Check,MATCH(G184,MW_Key,0)),"")</f>
        <v>OK</v>
      </c>
      <c r="O184" s="0" t="str">
        <f aca="false">IF(NOT(ISNUMBER(H184)),"LABOR QUOTE NEEDED – total incomplete",IF(N184="BELOW FLOOR","CHECK: typical labor below wage floor – payout and customer labor raised to floor",IF(M184&lt;&gt;"none","Labor rate flagged: "&amp;M184,"OK")))</f>
        <v>Labor rate flagged: assumption</v>
      </c>
      <c r="P184" s="0" t="s">
        <v>1231</v>
      </c>
      <c r="Q184" s="8" t="s">
        <v>1232</v>
      </c>
      <c r="R184" s="2" t="str">
        <f aca="false">IF(OR(M184="regulated",COUNTIFS(Tasks_TaskID,A184,Tasks_Tier,D184,Tasks_Review,"base")&gt;0),"PENDING REVIEW – priced, not bookable until human approval",IF(COUNTIFS(Tasks_TaskID,A184,Tasks_Tier,D184,Tasks_Review,"as-needed")&gt;0,"Bookable (re-evaluate if regulated as-needed line selected)","Bookable"))</f>
        <v>Bookable</v>
      </c>
    </row>
    <row r="185" customFormat="false" ht="17.15" hidden="false" customHeight="false" outlineLevel="0" collapsed="false">
      <c r="A185" s="2" t="s">
        <v>1228</v>
      </c>
      <c r="B185" s="2" t="s">
        <v>273</v>
      </c>
      <c r="C185" s="2" t="s">
        <v>1229</v>
      </c>
      <c r="D185" s="2" t="s">
        <v>1042</v>
      </c>
      <c r="E185" s="2" t="s">
        <v>1898</v>
      </c>
      <c r="F185" s="3" t="n">
        <f aca="false">INDEX(Sum_Base,MATCH(A185,Sum_BaseTasks,0),MATCH(D185,Sum_BaseTiers,0))</f>
        <v>92.634645</v>
      </c>
      <c r="G185" s="2" t="str">
        <f aca="false">IF(ISNUMBER(MATCH(A185&amp;"|"&amp;D185,LR_Key,0)),A185&amp;"|"&amp;D185,A185&amp;"|All")</f>
        <v>FIXX-GRD-002|All</v>
      </c>
      <c r="H185" s="3" t="n">
        <f aca="false">IFERROR(INDEX(LR_TypLabor,MATCH(G185,LR_Key,0)),"")</f>
        <v>342</v>
      </c>
      <c r="I185" s="12" t="n">
        <f aca="false">INDEX(Urg_Mult,MATCH(E185,Urg_Levels,0))</f>
        <v>1.5</v>
      </c>
      <c r="J185" s="3" t="n">
        <f aca="false">IF(ISNUMBER(H185),MAX(H185,IFERROR(INDEX(MW_Floor,MATCH(G185,MW_Key,0)),0))*I185,"")</f>
        <v>513</v>
      </c>
      <c r="K185" s="3" t="n">
        <f aca="false">IF(ISNUMBER(J185),F185+J185,"")</f>
        <v>605.634645</v>
      </c>
      <c r="L185" s="3" t="n">
        <f aca="false">IF(ISNUMBER(H185),MAX(H185,IFERROR(INDEX(MW_Floor,MATCH(G185,MW_Key,0)),0))*I185,"")</f>
        <v>513</v>
      </c>
      <c r="M185" s="2" t="str">
        <f aca="false">IFERROR(INDEX(LR_Flag,MATCH(G185,LR_Key,0)),"")</f>
        <v>assumption</v>
      </c>
      <c r="N185" s="2" t="str">
        <f aca="false">IFERROR(INDEX(MW_Check,MATCH(G185,MW_Key,0)),"")</f>
        <v>OK</v>
      </c>
      <c r="O185" s="0" t="str">
        <f aca="false">IF(NOT(ISNUMBER(H185)),"LABOR QUOTE NEEDED – total incomplete",IF(N185="BELOW FLOOR","CHECK: typical labor below wage floor – payout and customer labor raised to floor",IF(M185&lt;&gt;"none","Labor rate flagged: "&amp;M185,"OK")))</f>
        <v>Labor rate flagged: assumption</v>
      </c>
      <c r="P185" s="0" t="s">
        <v>1231</v>
      </c>
      <c r="Q185" s="8" t="s">
        <v>1232</v>
      </c>
      <c r="R185" s="2" t="str">
        <f aca="false">IF(OR(M185="regulated",COUNTIFS(Tasks_TaskID,A185,Tasks_Tier,D185,Tasks_Review,"base")&gt;0),"PENDING REVIEW – priced, not bookable until human approval",IF(COUNTIFS(Tasks_TaskID,A185,Tasks_Tier,D185,Tasks_Review,"as-needed")&gt;0,"Bookable (re-evaluate if regulated as-needed line selected)","Bookable"))</f>
        <v>Bookable</v>
      </c>
    </row>
    <row r="186" customFormat="false" ht="17.15" hidden="false" customHeight="false" outlineLevel="0" collapsed="false">
      <c r="A186" s="2" t="s">
        <v>1228</v>
      </c>
      <c r="B186" s="2" t="s">
        <v>273</v>
      </c>
      <c r="C186" s="2" t="s">
        <v>1229</v>
      </c>
      <c r="D186" s="2" t="s">
        <v>1049</v>
      </c>
      <c r="E186" s="2" t="s">
        <v>1895</v>
      </c>
      <c r="F186" s="3" t="n">
        <f aca="false">INDEX(Sum_Base,MATCH(A186,Sum_BaseTasks,0),MATCH(D186,Sum_BaseTiers,0))</f>
        <v>161.160785</v>
      </c>
      <c r="G186" s="2" t="str">
        <f aca="false">IF(ISNUMBER(MATCH(A186&amp;"|"&amp;D186,LR_Key,0)),A186&amp;"|"&amp;D186,A186&amp;"|All")</f>
        <v>FIXX-GRD-002|All</v>
      </c>
      <c r="H186" s="3" t="n">
        <f aca="false">IFERROR(INDEX(LR_TypLabor,MATCH(G186,LR_Key,0)),"")</f>
        <v>342</v>
      </c>
      <c r="I186" s="12" t="n">
        <f aca="false">INDEX(Urg_Mult,MATCH(E186,Urg_Levels,0))</f>
        <v>1</v>
      </c>
      <c r="J186" s="3" t="n">
        <f aca="false">IF(ISNUMBER(H186),MAX(H186,IFERROR(INDEX(MW_Floor,MATCH(G186,MW_Key,0)),0))*I186,"")</f>
        <v>342</v>
      </c>
      <c r="K186" s="3" t="n">
        <f aca="false">IF(ISNUMBER(J186),F186+J186,"")</f>
        <v>503.160785</v>
      </c>
      <c r="L186" s="3" t="n">
        <f aca="false">IF(ISNUMBER(H186),MAX(H186,IFERROR(INDEX(MW_Floor,MATCH(G186,MW_Key,0)),0))*I186,"")</f>
        <v>342</v>
      </c>
      <c r="M186" s="2" t="str">
        <f aca="false">IFERROR(INDEX(LR_Flag,MATCH(G186,LR_Key,0)),"")</f>
        <v>assumption</v>
      </c>
      <c r="N186" s="2" t="str">
        <f aca="false">IFERROR(INDEX(MW_Check,MATCH(G186,MW_Key,0)),"")</f>
        <v>OK</v>
      </c>
      <c r="O186" s="0" t="str">
        <f aca="false">IF(NOT(ISNUMBER(H186)),"LABOR QUOTE NEEDED – total incomplete",IF(N186="BELOW FLOOR","CHECK: typical labor below wage floor – payout and customer labor raised to floor",IF(M186&lt;&gt;"none","Labor rate flagged: "&amp;M186,"OK")))</f>
        <v>Labor rate flagged: assumption</v>
      </c>
      <c r="P186" s="0" t="s">
        <v>1231</v>
      </c>
      <c r="Q186" s="8" t="s">
        <v>1232</v>
      </c>
      <c r="R186" s="2" t="str">
        <f aca="false">IF(OR(M186="regulated",COUNTIFS(Tasks_TaskID,A186,Tasks_Tier,D186,Tasks_Review,"base")&gt;0),"PENDING REVIEW – priced, not bookable until human approval",IF(COUNTIFS(Tasks_TaskID,A186,Tasks_Tier,D186,Tasks_Review,"as-needed")&gt;0,"Bookable (re-evaluate if regulated as-needed line selected)","Bookable"))</f>
        <v>Bookable</v>
      </c>
    </row>
    <row r="187" customFormat="false" ht="17.15" hidden="false" customHeight="false" outlineLevel="0" collapsed="false">
      <c r="A187" s="2" t="s">
        <v>1228</v>
      </c>
      <c r="B187" s="2" t="s">
        <v>273</v>
      </c>
      <c r="C187" s="2" t="s">
        <v>1229</v>
      </c>
      <c r="D187" s="2" t="s">
        <v>1049</v>
      </c>
      <c r="E187" s="2" t="s">
        <v>1896</v>
      </c>
      <c r="F187" s="3" t="n">
        <f aca="false">INDEX(Sum_Base,MATCH(A187,Sum_BaseTasks,0),MATCH(D187,Sum_BaseTiers,0))</f>
        <v>161.160785</v>
      </c>
      <c r="G187" s="2" t="str">
        <f aca="false">IF(ISNUMBER(MATCH(A187&amp;"|"&amp;D187,LR_Key,0)),A187&amp;"|"&amp;D187,A187&amp;"|All")</f>
        <v>FIXX-GRD-002|All</v>
      </c>
      <c r="H187" s="3" t="n">
        <f aca="false">IFERROR(INDEX(LR_TypLabor,MATCH(G187,LR_Key,0)),"")</f>
        <v>342</v>
      </c>
      <c r="I187" s="12" t="n">
        <f aca="false">INDEX(Urg_Mult,MATCH(E187,Urg_Levels,0))</f>
        <v>1.15</v>
      </c>
      <c r="J187" s="3" t="n">
        <f aca="false">IF(ISNUMBER(H187),MAX(H187,IFERROR(INDEX(MW_Floor,MATCH(G187,MW_Key,0)),0))*I187,"")</f>
        <v>393.3</v>
      </c>
      <c r="K187" s="3" t="n">
        <f aca="false">IF(ISNUMBER(J187),F187+J187,"")</f>
        <v>554.460785</v>
      </c>
      <c r="L187" s="3" t="n">
        <f aca="false">IF(ISNUMBER(H187),MAX(H187,IFERROR(INDEX(MW_Floor,MATCH(G187,MW_Key,0)),0))*I187,"")</f>
        <v>393.3</v>
      </c>
      <c r="M187" s="2" t="str">
        <f aca="false">IFERROR(INDEX(LR_Flag,MATCH(G187,LR_Key,0)),"")</f>
        <v>assumption</v>
      </c>
      <c r="N187" s="2" t="str">
        <f aca="false">IFERROR(INDEX(MW_Check,MATCH(G187,MW_Key,0)),"")</f>
        <v>OK</v>
      </c>
      <c r="O187" s="0" t="str">
        <f aca="false">IF(NOT(ISNUMBER(H187)),"LABOR QUOTE NEEDED – total incomplete",IF(N187="BELOW FLOOR","CHECK: typical labor below wage floor – payout and customer labor raised to floor",IF(M187&lt;&gt;"none","Labor rate flagged: "&amp;M187,"OK")))</f>
        <v>Labor rate flagged: assumption</v>
      </c>
      <c r="P187" s="0" t="s">
        <v>1231</v>
      </c>
      <c r="Q187" s="8" t="s">
        <v>1232</v>
      </c>
      <c r="R187" s="2" t="str">
        <f aca="false">IF(OR(M187="regulated",COUNTIFS(Tasks_TaskID,A187,Tasks_Tier,D187,Tasks_Review,"base")&gt;0),"PENDING REVIEW – priced, not bookable until human approval",IF(COUNTIFS(Tasks_TaskID,A187,Tasks_Tier,D187,Tasks_Review,"as-needed")&gt;0,"Bookable (re-evaluate if regulated as-needed line selected)","Bookable"))</f>
        <v>Bookable</v>
      </c>
    </row>
    <row r="188" customFormat="false" ht="17.15" hidden="false" customHeight="false" outlineLevel="0" collapsed="false">
      <c r="A188" s="2" t="s">
        <v>1228</v>
      </c>
      <c r="B188" s="2" t="s">
        <v>273</v>
      </c>
      <c r="C188" s="2" t="s">
        <v>1229</v>
      </c>
      <c r="D188" s="2" t="s">
        <v>1049</v>
      </c>
      <c r="E188" s="2" t="s">
        <v>1897</v>
      </c>
      <c r="F188" s="3" t="n">
        <f aca="false">INDEX(Sum_Base,MATCH(A188,Sum_BaseTasks,0),MATCH(D188,Sum_BaseTiers,0))</f>
        <v>161.160785</v>
      </c>
      <c r="G188" s="2" t="str">
        <f aca="false">IF(ISNUMBER(MATCH(A188&amp;"|"&amp;D188,LR_Key,0)),A188&amp;"|"&amp;D188,A188&amp;"|All")</f>
        <v>FIXX-GRD-002|All</v>
      </c>
      <c r="H188" s="3" t="n">
        <f aca="false">IFERROR(INDEX(LR_TypLabor,MATCH(G188,LR_Key,0)),"")</f>
        <v>342</v>
      </c>
      <c r="I188" s="12" t="n">
        <f aca="false">INDEX(Urg_Mult,MATCH(E188,Urg_Levels,0))</f>
        <v>1.3</v>
      </c>
      <c r="J188" s="3" t="n">
        <f aca="false">IF(ISNUMBER(H188),MAX(H188,IFERROR(INDEX(MW_Floor,MATCH(G188,MW_Key,0)),0))*I188,"")</f>
        <v>444.6</v>
      </c>
      <c r="K188" s="3" t="n">
        <f aca="false">IF(ISNUMBER(J188),F188+J188,"")</f>
        <v>605.760785</v>
      </c>
      <c r="L188" s="3" t="n">
        <f aca="false">IF(ISNUMBER(H188),MAX(H188,IFERROR(INDEX(MW_Floor,MATCH(G188,MW_Key,0)),0))*I188,"")</f>
        <v>444.6</v>
      </c>
      <c r="M188" s="2" t="str">
        <f aca="false">IFERROR(INDEX(LR_Flag,MATCH(G188,LR_Key,0)),"")</f>
        <v>assumption</v>
      </c>
      <c r="N188" s="2" t="str">
        <f aca="false">IFERROR(INDEX(MW_Check,MATCH(G188,MW_Key,0)),"")</f>
        <v>OK</v>
      </c>
      <c r="O188" s="0" t="str">
        <f aca="false">IF(NOT(ISNUMBER(H188)),"LABOR QUOTE NEEDED – total incomplete",IF(N188="BELOW FLOOR","CHECK: typical labor below wage floor – payout and customer labor raised to floor",IF(M188&lt;&gt;"none","Labor rate flagged: "&amp;M188,"OK")))</f>
        <v>Labor rate flagged: assumption</v>
      </c>
      <c r="P188" s="0" t="s">
        <v>1231</v>
      </c>
      <c r="Q188" s="8" t="s">
        <v>1232</v>
      </c>
      <c r="R188" s="2" t="str">
        <f aca="false">IF(OR(M188="regulated",COUNTIFS(Tasks_TaskID,A188,Tasks_Tier,D188,Tasks_Review,"base")&gt;0),"PENDING REVIEW – priced, not bookable until human approval",IF(COUNTIFS(Tasks_TaskID,A188,Tasks_Tier,D188,Tasks_Review,"as-needed")&gt;0,"Bookable (re-evaluate if regulated as-needed line selected)","Bookable"))</f>
        <v>Bookable</v>
      </c>
    </row>
    <row r="189" customFormat="false" ht="17.15" hidden="false" customHeight="false" outlineLevel="0" collapsed="false">
      <c r="A189" s="2" t="s">
        <v>1228</v>
      </c>
      <c r="B189" s="2" t="s">
        <v>273</v>
      </c>
      <c r="C189" s="2" t="s">
        <v>1229</v>
      </c>
      <c r="D189" s="2" t="s">
        <v>1049</v>
      </c>
      <c r="E189" s="2" t="s">
        <v>1898</v>
      </c>
      <c r="F189" s="3" t="n">
        <f aca="false">INDEX(Sum_Base,MATCH(A189,Sum_BaseTasks,0),MATCH(D189,Sum_BaseTiers,0))</f>
        <v>161.160785</v>
      </c>
      <c r="G189" s="2" t="str">
        <f aca="false">IF(ISNUMBER(MATCH(A189&amp;"|"&amp;D189,LR_Key,0)),A189&amp;"|"&amp;D189,A189&amp;"|All")</f>
        <v>FIXX-GRD-002|All</v>
      </c>
      <c r="H189" s="3" t="n">
        <f aca="false">IFERROR(INDEX(LR_TypLabor,MATCH(G189,LR_Key,0)),"")</f>
        <v>342</v>
      </c>
      <c r="I189" s="12" t="n">
        <f aca="false">INDEX(Urg_Mult,MATCH(E189,Urg_Levels,0))</f>
        <v>1.5</v>
      </c>
      <c r="J189" s="3" t="n">
        <f aca="false">IF(ISNUMBER(H189),MAX(H189,IFERROR(INDEX(MW_Floor,MATCH(G189,MW_Key,0)),0))*I189,"")</f>
        <v>513</v>
      </c>
      <c r="K189" s="3" t="n">
        <f aca="false">IF(ISNUMBER(J189),F189+J189,"")</f>
        <v>674.160785</v>
      </c>
      <c r="L189" s="3" t="n">
        <f aca="false">IF(ISNUMBER(H189),MAX(H189,IFERROR(INDEX(MW_Floor,MATCH(G189,MW_Key,0)),0))*I189,"")</f>
        <v>513</v>
      </c>
      <c r="M189" s="2" t="str">
        <f aca="false">IFERROR(INDEX(LR_Flag,MATCH(G189,LR_Key,0)),"")</f>
        <v>assumption</v>
      </c>
      <c r="N189" s="2" t="str">
        <f aca="false">IFERROR(INDEX(MW_Check,MATCH(G189,MW_Key,0)),"")</f>
        <v>OK</v>
      </c>
      <c r="O189" s="0" t="str">
        <f aca="false">IF(NOT(ISNUMBER(H189)),"LABOR QUOTE NEEDED – total incomplete",IF(N189="BELOW FLOOR","CHECK: typical labor below wage floor – payout and customer labor raised to floor",IF(M189&lt;&gt;"none","Labor rate flagged: "&amp;M189,"OK")))</f>
        <v>Labor rate flagged: assumption</v>
      </c>
      <c r="P189" s="0" t="s">
        <v>1231</v>
      </c>
      <c r="Q189" s="8" t="s">
        <v>1232</v>
      </c>
      <c r="R189" s="2" t="str">
        <f aca="false">IF(OR(M189="regulated",COUNTIFS(Tasks_TaskID,A189,Tasks_Tier,D189,Tasks_Review,"base")&gt;0),"PENDING REVIEW – priced, not bookable until human approval",IF(COUNTIFS(Tasks_TaskID,A189,Tasks_Tier,D189,Tasks_Review,"as-needed")&gt;0,"Bookable (re-evaluate if regulated as-needed line selected)","Bookable"))</f>
        <v>Bookable</v>
      </c>
    </row>
    <row r="190" customFormat="false" ht="17.15" hidden="false" customHeight="false" outlineLevel="0" collapsed="false">
      <c r="A190" s="2" t="s">
        <v>1228</v>
      </c>
      <c r="B190" s="2" t="s">
        <v>273</v>
      </c>
      <c r="C190" s="2" t="s">
        <v>1229</v>
      </c>
      <c r="D190" s="2" t="s">
        <v>1051</v>
      </c>
      <c r="E190" s="2" t="s">
        <v>1895</v>
      </c>
      <c r="F190" s="3" t="n">
        <f aca="false">INDEX(Sum_Base,MATCH(A190,Sum_BaseTasks,0),MATCH(D190,Sum_BaseTiers,0))</f>
        <v>143.231096</v>
      </c>
      <c r="G190" s="2" t="str">
        <f aca="false">IF(ISNUMBER(MATCH(A190&amp;"|"&amp;D190,LR_Key,0)),A190&amp;"|"&amp;D190,A190&amp;"|All")</f>
        <v>FIXX-GRD-002|All</v>
      </c>
      <c r="H190" s="3" t="n">
        <f aca="false">IFERROR(INDEX(LR_TypLabor,MATCH(G190,LR_Key,0)),"")</f>
        <v>342</v>
      </c>
      <c r="I190" s="12" t="n">
        <f aca="false">INDEX(Urg_Mult,MATCH(E190,Urg_Levels,0))</f>
        <v>1</v>
      </c>
      <c r="J190" s="3" t="n">
        <f aca="false">IF(ISNUMBER(H190),MAX(H190,IFERROR(INDEX(MW_Floor,MATCH(G190,MW_Key,0)),0))*I190,"")</f>
        <v>342</v>
      </c>
      <c r="K190" s="3" t="n">
        <f aca="false">IF(ISNUMBER(J190),F190+J190,"")</f>
        <v>485.231096</v>
      </c>
      <c r="L190" s="3" t="n">
        <f aca="false">IF(ISNUMBER(H190),MAX(H190,IFERROR(INDEX(MW_Floor,MATCH(G190,MW_Key,0)),0))*I190,"")</f>
        <v>342</v>
      </c>
      <c r="M190" s="2" t="str">
        <f aca="false">IFERROR(INDEX(LR_Flag,MATCH(G190,LR_Key,0)),"")</f>
        <v>assumption</v>
      </c>
      <c r="N190" s="2" t="str">
        <f aca="false">IFERROR(INDEX(MW_Check,MATCH(G190,MW_Key,0)),"")</f>
        <v>OK</v>
      </c>
      <c r="O190" s="0" t="str">
        <f aca="false">IF(NOT(ISNUMBER(H190)),"LABOR QUOTE NEEDED – total incomplete",IF(N190="BELOW FLOOR","CHECK: typical labor below wage floor – payout and customer labor raised to floor",IF(M190&lt;&gt;"none","Labor rate flagged: "&amp;M190,"OK")))</f>
        <v>Labor rate flagged: assumption</v>
      </c>
      <c r="P190" s="0" t="s">
        <v>1231</v>
      </c>
      <c r="Q190" s="8" t="s">
        <v>1232</v>
      </c>
      <c r="R190" s="2" t="str">
        <f aca="false">IF(OR(M190="regulated",COUNTIFS(Tasks_TaskID,A190,Tasks_Tier,D190,Tasks_Review,"base")&gt;0),"PENDING REVIEW – priced, not bookable until human approval",IF(COUNTIFS(Tasks_TaskID,A190,Tasks_Tier,D190,Tasks_Review,"as-needed")&gt;0,"Bookable (re-evaluate if regulated as-needed line selected)","Bookable"))</f>
        <v>Bookable</v>
      </c>
    </row>
    <row r="191" customFormat="false" ht="17.15" hidden="false" customHeight="false" outlineLevel="0" collapsed="false">
      <c r="A191" s="2" t="s">
        <v>1228</v>
      </c>
      <c r="B191" s="2" t="s">
        <v>273</v>
      </c>
      <c r="C191" s="2" t="s">
        <v>1229</v>
      </c>
      <c r="D191" s="2" t="s">
        <v>1051</v>
      </c>
      <c r="E191" s="2" t="s">
        <v>1896</v>
      </c>
      <c r="F191" s="3" t="n">
        <f aca="false">INDEX(Sum_Base,MATCH(A191,Sum_BaseTasks,0),MATCH(D191,Sum_BaseTiers,0))</f>
        <v>143.231096</v>
      </c>
      <c r="G191" s="2" t="str">
        <f aca="false">IF(ISNUMBER(MATCH(A191&amp;"|"&amp;D191,LR_Key,0)),A191&amp;"|"&amp;D191,A191&amp;"|All")</f>
        <v>FIXX-GRD-002|All</v>
      </c>
      <c r="H191" s="3" t="n">
        <f aca="false">IFERROR(INDEX(LR_TypLabor,MATCH(G191,LR_Key,0)),"")</f>
        <v>342</v>
      </c>
      <c r="I191" s="12" t="n">
        <f aca="false">INDEX(Urg_Mult,MATCH(E191,Urg_Levels,0))</f>
        <v>1.15</v>
      </c>
      <c r="J191" s="3" t="n">
        <f aca="false">IF(ISNUMBER(H191),MAX(H191,IFERROR(INDEX(MW_Floor,MATCH(G191,MW_Key,0)),0))*I191,"")</f>
        <v>393.3</v>
      </c>
      <c r="K191" s="3" t="n">
        <f aca="false">IF(ISNUMBER(J191),F191+J191,"")</f>
        <v>536.531096</v>
      </c>
      <c r="L191" s="3" t="n">
        <f aca="false">IF(ISNUMBER(H191),MAX(H191,IFERROR(INDEX(MW_Floor,MATCH(G191,MW_Key,0)),0))*I191,"")</f>
        <v>393.3</v>
      </c>
      <c r="M191" s="2" t="str">
        <f aca="false">IFERROR(INDEX(LR_Flag,MATCH(G191,LR_Key,0)),"")</f>
        <v>assumption</v>
      </c>
      <c r="N191" s="2" t="str">
        <f aca="false">IFERROR(INDEX(MW_Check,MATCH(G191,MW_Key,0)),"")</f>
        <v>OK</v>
      </c>
      <c r="O191" s="0" t="str">
        <f aca="false">IF(NOT(ISNUMBER(H191)),"LABOR QUOTE NEEDED – total incomplete",IF(N191="BELOW FLOOR","CHECK: typical labor below wage floor – payout and customer labor raised to floor",IF(M191&lt;&gt;"none","Labor rate flagged: "&amp;M191,"OK")))</f>
        <v>Labor rate flagged: assumption</v>
      </c>
      <c r="P191" s="0" t="s">
        <v>1231</v>
      </c>
      <c r="Q191" s="8" t="s">
        <v>1232</v>
      </c>
      <c r="R191" s="2" t="str">
        <f aca="false">IF(OR(M191="regulated",COUNTIFS(Tasks_TaskID,A191,Tasks_Tier,D191,Tasks_Review,"base")&gt;0),"PENDING REVIEW – priced, not bookable until human approval",IF(COUNTIFS(Tasks_TaskID,A191,Tasks_Tier,D191,Tasks_Review,"as-needed")&gt;0,"Bookable (re-evaluate if regulated as-needed line selected)","Bookable"))</f>
        <v>Bookable</v>
      </c>
    </row>
    <row r="192" customFormat="false" ht="17.15" hidden="false" customHeight="false" outlineLevel="0" collapsed="false">
      <c r="A192" s="2" t="s">
        <v>1228</v>
      </c>
      <c r="B192" s="2" t="s">
        <v>273</v>
      </c>
      <c r="C192" s="2" t="s">
        <v>1229</v>
      </c>
      <c r="D192" s="2" t="s">
        <v>1051</v>
      </c>
      <c r="E192" s="2" t="s">
        <v>1897</v>
      </c>
      <c r="F192" s="3" t="n">
        <f aca="false">INDEX(Sum_Base,MATCH(A192,Sum_BaseTasks,0),MATCH(D192,Sum_BaseTiers,0))</f>
        <v>143.231096</v>
      </c>
      <c r="G192" s="2" t="str">
        <f aca="false">IF(ISNUMBER(MATCH(A192&amp;"|"&amp;D192,LR_Key,0)),A192&amp;"|"&amp;D192,A192&amp;"|All")</f>
        <v>FIXX-GRD-002|All</v>
      </c>
      <c r="H192" s="3" t="n">
        <f aca="false">IFERROR(INDEX(LR_TypLabor,MATCH(G192,LR_Key,0)),"")</f>
        <v>342</v>
      </c>
      <c r="I192" s="12" t="n">
        <f aca="false">INDEX(Urg_Mult,MATCH(E192,Urg_Levels,0))</f>
        <v>1.3</v>
      </c>
      <c r="J192" s="3" t="n">
        <f aca="false">IF(ISNUMBER(H192),MAX(H192,IFERROR(INDEX(MW_Floor,MATCH(G192,MW_Key,0)),0))*I192,"")</f>
        <v>444.6</v>
      </c>
      <c r="K192" s="3" t="n">
        <f aca="false">IF(ISNUMBER(J192),F192+J192,"")</f>
        <v>587.831096</v>
      </c>
      <c r="L192" s="3" t="n">
        <f aca="false">IF(ISNUMBER(H192),MAX(H192,IFERROR(INDEX(MW_Floor,MATCH(G192,MW_Key,0)),0))*I192,"")</f>
        <v>444.6</v>
      </c>
      <c r="M192" s="2" t="str">
        <f aca="false">IFERROR(INDEX(LR_Flag,MATCH(G192,LR_Key,0)),"")</f>
        <v>assumption</v>
      </c>
      <c r="N192" s="2" t="str">
        <f aca="false">IFERROR(INDEX(MW_Check,MATCH(G192,MW_Key,0)),"")</f>
        <v>OK</v>
      </c>
      <c r="O192" s="0" t="str">
        <f aca="false">IF(NOT(ISNUMBER(H192)),"LABOR QUOTE NEEDED – total incomplete",IF(N192="BELOW FLOOR","CHECK: typical labor below wage floor – payout and customer labor raised to floor",IF(M192&lt;&gt;"none","Labor rate flagged: "&amp;M192,"OK")))</f>
        <v>Labor rate flagged: assumption</v>
      </c>
      <c r="P192" s="0" t="s">
        <v>1231</v>
      </c>
      <c r="Q192" s="8" t="s">
        <v>1232</v>
      </c>
      <c r="R192" s="2" t="str">
        <f aca="false">IF(OR(M192="regulated",COUNTIFS(Tasks_TaskID,A192,Tasks_Tier,D192,Tasks_Review,"base")&gt;0),"PENDING REVIEW – priced, not bookable until human approval",IF(COUNTIFS(Tasks_TaskID,A192,Tasks_Tier,D192,Tasks_Review,"as-needed")&gt;0,"Bookable (re-evaluate if regulated as-needed line selected)","Bookable"))</f>
        <v>Bookable</v>
      </c>
    </row>
    <row r="193" customFormat="false" ht="17.15" hidden="false" customHeight="false" outlineLevel="0" collapsed="false">
      <c r="A193" s="2" t="s">
        <v>1228</v>
      </c>
      <c r="B193" s="2" t="s">
        <v>273</v>
      </c>
      <c r="C193" s="2" t="s">
        <v>1229</v>
      </c>
      <c r="D193" s="2" t="s">
        <v>1051</v>
      </c>
      <c r="E193" s="2" t="s">
        <v>1898</v>
      </c>
      <c r="F193" s="3" t="n">
        <f aca="false">INDEX(Sum_Base,MATCH(A193,Sum_BaseTasks,0),MATCH(D193,Sum_BaseTiers,0))</f>
        <v>143.231096</v>
      </c>
      <c r="G193" s="2" t="str">
        <f aca="false">IF(ISNUMBER(MATCH(A193&amp;"|"&amp;D193,LR_Key,0)),A193&amp;"|"&amp;D193,A193&amp;"|All")</f>
        <v>FIXX-GRD-002|All</v>
      </c>
      <c r="H193" s="3" t="n">
        <f aca="false">IFERROR(INDEX(LR_TypLabor,MATCH(G193,LR_Key,0)),"")</f>
        <v>342</v>
      </c>
      <c r="I193" s="12" t="n">
        <f aca="false">INDEX(Urg_Mult,MATCH(E193,Urg_Levels,0))</f>
        <v>1.5</v>
      </c>
      <c r="J193" s="3" t="n">
        <f aca="false">IF(ISNUMBER(H193),MAX(H193,IFERROR(INDEX(MW_Floor,MATCH(G193,MW_Key,0)),0))*I193,"")</f>
        <v>513</v>
      </c>
      <c r="K193" s="3" t="n">
        <f aca="false">IF(ISNUMBER(J193),F193+J193,"")</f>
        <v>656.231096</v>
      </c>
      <c r="L193" s="3" t="n">
        <f aca="false">IF(ISNUMBER(H193),MAX(H193,IFERROR(INDEX(MW_Floor,MATCH(G193,MW_Key,0)),0))*I193,"")</f>
        <v>513</v>
      </c>
      <c r="M193" s="2" t="str">
        <f aca="false">IFERROR(INDEX(LR_Flag,MATCH(G193,LR_Key,0)),"")</f>
        <v>assumption</v>
      </c>
      <c r="N193" s="2" t="str">
        <f aca="false">IFERROR(INDEX(MW_Check,MATCH(G193,MW_Key,0)),"")</f>
        <v>OK</v>
      </c>
      <c r="O193" s="0" t="str">
        <f aca="false">IF(NOT(ISNUMBER(H193)),"LABOR QUOTE NEEDED – total incomplete",IF(N193="BELOW FLOOR","CHECK: typical labor below wage floor – payout and customer labor raised to floor",IF(M193&lt;&gt;"none","Labor rate flagged: "&amp;M193,"OK")))</f>
        <v>Labor rate flagged: assumption</v>
      </c>
      <c r="P193" s="0" t="s">
        <v>1231</v>
      </c>
      <c r="Q193" s="8" t="s">
        <v>1232</v>
      </c>
      <c r="R193" s="2" t="str">
        <f aca="false">IF(OR(M193="regulated",COUNTIFS(Tasks_TaskID,A193,Tasks_Tier,D193,Tasks_Review,"base")&gt;0),"PENDING REVIEW – priced, not bookable until human approval",IF(COUNTIFS(Tasks_TaskID,A193,Tasks_Tier,D193,Tasks_Review,"as-needed")&gt;0,"Bookable (re-evaluate if regulated as-needed line selected)","Bookable"))</f>
        <v>Bookable</v>
      </c>
    </row>
    <row r="194" customFormat="false" ht="17.15" hidden="false" customHeight="false" outlineLevel="0" collapsed="false">
      <c r="A194" s="2" t="s">
        <v>1249</v>
      </c>
      <c r="B194" s="2" t="s">
        <v>273</v>
      </c>
      <c r="C194" s="2" t="s">
        <v>1250</v>
      </c>
      <c r="D194" s="2" t="s">
        <v>1042</v>
      </c>
      <c r="E194" s="2" t="s">
        <v>1895</v>
      </c>
      <c r="F194" s="3" t="n">
        <f aca="false">INDEX(Sum_Base,MATCH(A194,Sum_BaseTasks,0),MATCH(D194,Sum_BaseTiers,0))</f>
        <v>30.65</v>
      </c>
      <c r="G194" s="2" t="str">
        <f aca="false">IF(ISNUMBER(MATCH(A194&amp;"|"&amp;D194,LR_Key,0)),A194&amp;"|"&amp;D194,A194&amp;"|All")</f>
        <v>FIXX-GRD-003|All</v>
      </c>
      <c r="H194" s="3" t="n">
        <f aca="false">IFERROR(INDEX(LR_TypLabor,MATCH(G194,LR_Key,0)),"")</f>
        <v>335</v>
      </c>
      <c r="I194" s="12" t="n">
        <f aca="false">INDEX(Urg_Mult,MATCH(E194,Urg_Levels,0))</f>
        <v>1</v>
      </c>
      <c r="J194" s="3" t="n">
        <f aca="false">IF(ISNUMBER(H194),MAX(H194,IFERROR(INDEX(MW_Floor,MATCH(G194,MW_Key,0)),0))*I194,"")</f>
        <v>335</v>
      </c>
      <c r="K194" s="3" t="n">
        <f aca="false">IF(ISNUMBER(J194),F194+J194,"")</f>
        <v>365.65</v>
      </c>
      <c r="L194" s="3" t="n">
        <f aca="false">IF(ISNUMBER(H194),MAX(H194,IFERROR(INDEX(MW_Floor,MATCH(G194,MW_Key,0)),0))*I194,"")</f>
        <v>335</v>
      </c>
      <c r="M194" s="2" t="str">
        <f aca="false">IFERROR(INDEX(LR_Flag,MATCH(G194,LR_Key,0)),"")</f>
        <v>divergent sources</v>
      </c>
      <c r="N194" s="2" t="str">
        <f aca="false">IFERROR(INDEX(MW_Check,MATCH(G194,MW_Key,0)),"")</f>
        <v>OK</v>
      </c>
      <c r="O194" s="0" t="str">
        <f aca="false">IF(NOT(ISNUMBER(H194)),"LABOR QUOTE NEEDED – total incomplete",IF(N194="BELOW FLOOR","CHECK: typical labor below wage floor – payout and customer labor raised to floor",IF(M194&lt;&gt;"none","Labor rate flagged: "&amp;M194,"OK")))</f>
        <v>Labor rate flagged: divergent sources</v>
      </c>
      <c r="P194" s="0" t="s">
        <v>1252</v>
      </c>
      <c r="Q194" s="8" t="s">
        <v>1253</v>
      </c>
      <c r="R194" s="2" t="str">
        <f aca="false">IF(OR(M194="regulated",COUNTIFS(Tasks_TaskID,A194,Tasks_Tier,D194,Tasks_Review,"base")&gt;0),"PENDING REVIEW – priced, not bookable until human approval",IF(COUNTIFS(Tasks_TaskID,A194,Tasks_Tier,D194,Tasks_Review,"as-needed")&gt;0,"Bookable (re-evaluate if regulated as-needed line selected)","Bookable"))</f>
        <v>Bookable</v>
      </c>
    </row>
    <row r="195" customFormat="false" ht="17.15" hidden="false" customHeight="false" outlineLevel="0" collapsed="false">
      <c r="A195" s="2" t="s">
        <v>1249</v>
      </c>
      <c r="B195" s="2" t="s">
        <v>273</v>
      </c>
      <c r="C195" s="2" t="s">
        <v>1250</v>
      </c>
      <c r="D195" s="2" t="s">
        <v>1042</v>
      </c>
      <c r="E195" s="2" t="s">
        <v>1896</v>
      </c>
      <c r="F195" s="3" t="n">
        <f aca="false">INDEX(Sum_Base,MATCH(A195,Sum_BaseTasks,0),MATCH(D195,Sum_BaseTiers,0))</f>
        <v>30.65</v>
      </c>
      <c r="G195" s="2" t="str">
        <f aca="false">IF(ISNUMBER(MATCH(A195&amp;"|"&amp;D195,LR_Key,0)),A195&amp;"|"&amp;D195,A195&amp;"|All")</f>
        <v>FIXX-GRD-003|All</v>
      </c>
      <c r="H195" s="3" t="n">
        <f aca="false">IFERROR(INDEX(LR_TypLabor,MATCH(G195,LR_Key,0)),"")</f>
        <v>335</v>
      </c>
      <c r="I195" s="12" t="n">
        <f aca="false">INDEX(Urg_Mult,MATCH(E195,Urg_Levels,0))</f>
        <v>1.15</v>
      </c>
      <c r="J195" s="3" t="n">
        <f aca="false">IF(ISNUMBER(H195),MAX(H195,IFERROR(INDEX(MW_Floor,MATCH(G195,MW_Key,0)),0))*I195,"")</f>
        <v>385.25</v>
      </c>
      <c r="K195" s="3" t="n">
        <f aca="false">IF(ISNUMBER(J195),F195+J195,"")</f>
        <v>415.9</v>
      </c>
      <c r="L195" s="3" t="n">
        <f aca="false">IF(ISNUMBER(H195),MAX(H195,IFERROR(INDEX(MW_Floor,MATCH(G195,MW_Key,0)),0))*I195,"")</f>
        <v>385.25</v>
      </c>
      <c r="M195" s="2" t="str">
        <f aca="false">IFERROR(INDEX(LR_Flag,MATCH(G195,LR_Key,0)),"")</f>
        <v>divergent sources</v>
      </c>
      <c r="N195" s="2" t="str">
        <f aca="false">IFERROR(INDEX(MW_Check,MATCH(G195,MW_Key,0)),"")</f>
        <v>OK</v>
      </c>
      <c r="O195" s="0" t="str">
        <f aca="false">IF(NOT(ISNUMBER(H195)),"LABOR QUOTE NEEDED – total incomplete",IF(N195="BELOW FLOOR","CHECK: typical labor below wage floor – payout and customer labor raised to floor",IF(M195&lt;&gt;"none","Labor rate flagged: "&amp;M195,"OK")))</f>
        <v>Labor rate flagged: divergent sources</v>
      </c>
      <c r="P195" s="0" t="s">
        <v>1252</v>
      </c>
      <c r="Q195" s="8" t="s">
        <v>1253</v>
      </c>
      <c r="R195" s="2" t="str">
        <f aca="false">IF(OR(M195="regulated",COUNTIFS(Tasks_TaskID,A195,Tasks_Tier,D195,Tasks_Review,"base")&gt;0),"PENDING REVIEW – priced, not bookable until human approval",IF(COUNTIFS(Tasks_TaskID,A195,Tasks_Tier,D195,Tasks_Review,"as-needed")&gt;0,"Bookable (re-evaluate if regulated as-needed line selected)","Bookable"))</f>
        <v>Bookable</v>
      </c>
    </row>
    <row r="196" customFormat="false" ht="17.15" hidden="false" customHeight="false" outlineLevel="0" collapsed="false">
      <c r="A196" s="2" t="s">
        <v>1249</v>
      </c>
      <c r="B196" s="2" t="s">
        <v>273</v>
      </c>
      <c r="C196" s="2" t="s">
        <v>1250</v>
      </c>
      <c r="D196" s="2" t="s">
        <v>1042</v>
      </c>
      <c r="E196" s="2" t="s">
        <v>1897</v>
      </c>
      <c r="F196" s="3" t="n">
        <f aca="false">INDEX(Sum_Base,MATCH(A196,Sum_BaseTasks,0),MATCH(D196,Sum_BaseTiers,0))</f>
        <v>30.65</v>
      </c>
      <c r="G196" s="2" t="str">
        <f aca="false">IF(ISNUMBER(MATCH(A196&amp;"|"&amp;D196,LR_Key,0)),A196&amp;"|"&amp;D196,A196&amp;"|All")</f>
        <v>FIXX-GRD-003|All</v>
      </c>
      <c r="H196" s="3" t="n">
        <f aca="false">IFERROR(INDEX(LR_TypLabor,MATCH(G196,LR_Key,0)),"")</f>
        <v>335</v>
      </c>
      <c r="I196" s="12" t="n">
        <f aca="false">INDEX(Urg_Mult,MATCH(E196,Urg_Levels,0))</f>
        <v>1.3</v>
      </c>
      <c r="J196" s="3" t="n">
        <f aca="false">IF(ISNUMBER(H196),MAX(H196,IFERROR(INDEX(MW_Floor,MATCH(G196,MW_Key,0)),0))*I196,"")</f>
        <v>435.5</v>
      </c>
      <c r="K196" s="3" t="n">
        <f aca="false">IF(ISNUMBER(J196),F196+J196,"")</f>
        <v>466.15</v>
      </c>
      <c r="L196" s="3" t="n">
        <f aca="false">IF(ISNUMBER(H196),MAX(H196,IFERROR(INDEX(MW_Floor,MATCH(G196,MW_Key,0)),0))*I196,"")</f>
        <v>435.5</v>
      </c>
      <c r="M196" s="2" t="str">
        <f aca="false">IFERROR(INDEX(LR_Flag,MATCH(G196,LR_Key,0)),"")</f>
        <v>divergent sources</v>
      </c>
      <c r="N196" s="2" t="str">
        <f aca="false">IFERROR(INDEX(MW_Check,MATCH(G196,MW_Key,0)),"")</f>
        <v>OK</v>
      </c>
      <c r="O196" s="0" t="str">
        <f aca="false">IF(NOT(ISNUMBER(H196)),"LABOR QUOTE NEEDED – total incomplete",IF(N196="BELOW FLOOR","CHECK: typical labor below wage floor – payout and customer labor raised to floor",IF(M196&lt;&gt;"none","Labor rate flagged: "&amp;M196,"OK")))</f>
        <v>Labor rate flagged: divergent sources</v>
      </c>
      <c r="P196" s="0" t="s">
        <v>1252</v>
      </c>
      <c r="Q196" s="8" t="s">
        <v>1253</v>
      </c>
      <c r="R196" s="2" t="str">
        <f aca="false">IF(OR(M196="regulated",COUNTIFS(Tasks_TaskID,A196,Tasks_Tier,D196,Tasks_Review,"base")&gt;0),"PENDING REVIEW – priced, not bookable until human approval",IF(COUNTIFS(Tasks_TaskID,A196,Tasks_Tier,D196,Tasks_Review,"as-needed")&gt;0,"Bookable (re-evaluate if regulated as-needed line selected)","Bookable"))</f>
        <v>Bookable</v>
      </c>
    </row>
    <row r="197" customFormat="false" ht="17.15" hidden="false" customHeight="false" outlineLevel="0" collapsed="false">
      <c r="A197" s="2" t="s">
        <v>1249</v>
      </c>
      <c r="B197" s="2" t="s">
        <v>273</v>
      </c>
      <c r="C197" s="2" t="s">
        <v>1250</v>
      </c>
      <c r="D197" s="2" t="s">
        <v>1042</v>
      </c>
      <c r="E197" s="2" t="s">
        <v>1898</v>
      </c>
      <c r="F197" s="3" t="n">
        <f aca="false">INDEX(Sum_Base,MATCH(A197,Sum_BaseTasks,0),MATCH(D197,Sum_BaseTiers,0))</f>
        <v>30.65</v>
      </c>
      <c r="G197" s="2" t="str">
        <f aca="false">IF(ISNUMBER(MATCH(A197&amp;"|"&amp;D197,LR_Key,0)),A197&amp;"|"&amp;D197,A197&amp;"|All")</f>
        <v>FIXX-GRD-003|All</v>
      </c>
      <c r="H197" s="3" t="n">
        <f aca="false">IFERROR(INDEX(LR_TypLabor,MATCH(G197,LR_Key,0)),"")</f>
        <v>335</v>
      </c>
      <c r="I197" s="12" t="n">
        <f aca="false">INDEX(Urg_Mult,MATCH(E197,Urg_Levels,0))</f>
        <v>1.5</v>
      </c>
      <c r="J197" s="3" t="n">
        <f aca="false">IF(ISNUMBER(H197),MAX(H197,IFERROR(INDEX(MW_Floor,MATCH(G197,MW_Key,0)),0))*I197,"")</f>
        <v>502.5</v>
      </c>
      <c r="K197" s="3" t="n">
        <f aca="false">IF(ISNUMBER(J197),F197+J197,"")</f>
        <v>533.15</v>
      </c>
      <c r="L197" s="3" t="n">
        <f aca="false">IF(ISNUMBER(H197),MAX(H197,IFERROR(INDEX(MW_Floor,MATCH(G197,MW_Key,0)),0))*I197,"")</f>
        <v>502.5</v>
      </c>
      <c r="M197" s="2" t="str">
        <f aca="false">IFERROR(INDEX(LR_Flag,MATCH(G197,LR_Key,0)),"")</f>
        <v>divergent sources</v>
      </c>
      <c r="N197" s="2" t="str">
        <f aca="false">IFERROR(INDEX(MW_Check,MATCH(G197,MW_Key,0)),"")</f>
        <v>OK</v>
      </c>
      <c r="O197" s="0" t="str">
        <f aca="false">IF(NOT(ISNUMBER(H197)),"LABOR QUOTE NEEDED – total incomplete",IF(N197="BELOW FLOOR","CHECK: typical labor below wage floor – payout and customer labor raised to floor",IF(M197&lt;&gt;"none","Labor rate flagged: "&amp;M197,"OK")))</f>
        <v>Labor rate flagged: divergent sources</v>
      </c>
      <c r="P197" s="0" t="s">
        <v>1252</v>
      </c>
      <c r="Q197" s="8" t="s">
        <v>1253</v>
      </c>
      <c r="R197" s="2" t="str">
        <f aca="false">IF(OR(M197="regulated",COUNTIFS(Tasks_TaskID,A197,Tasks_Tier,D197,Tasks_Review,"base")&gt;0),"PENDING REVIEW – priced, not bookable until human approval",IF(COUNTIFS(Tasks_TaskID,A197,Tasks_Tier,D197,Tasks_Review,"as-needed")&gt;0,"Bookable (re-evaluate if regulated as-needed line selected)","Bookable"))</f>
        <v>Bookable</v>
      </c>
    </row>
    <row r="198" customFormat="false" ht="17.15" hidden="false" customHeight="false" outlineLevel="0" collapsed="false">
      <c r="A198" s="2" t="s">
        <v>1249</v>
      </c>
      <c r="B198" s="2" t="s">
        <v>273</v>
      </c>
      <c r="C198" s="2" t="s">
        <v>1250</v>
      </c>
      <c r="D198" s="2" t="s">
        <v>1049</v>
      </c>
      <c r="E198" s="2" t="s">
        <v>1895</v>
      </c>
      <c r="F198" s="3" t="n">
        <f aca="false">INDEX(Sum_Base,MATCH(A198,Sum_BaseTasks,0),MATCH(D198,Sum_BaseTiers,0))</f>
        <v>60.19</v>
      </c>
      <c r="G198" s="2" t="str">
        <f aca="false">IF(ISNUMBER(MATCH(A198&amp;"|"&amp;D198,LR_Key,0)),A198&amp;"|"&amp;D198,A198&amp;"|All")</f>
        <v>FIXX-GRD-003|All</v>
      </c>
      <c r="H198" s="3" t="n">
        <f aca="false">IFERROR(INDEX(LR_TypLabor,MATCH(G198,LR_Key,0)),"")</f>
        <v>335</v>
      </c>
      <c r="I198" s="12" t="n">
        <f aca="false">INDEX(Urg_Mult,MATCH(E198,Urg_Levels,0))</f>
        <v>1</v>
      </c>
      <c r="J198" s="3" t="n">
        <f aca="false">IF(ISNUMBER(H198),MAX(H198,IFERROR(INDEX(MW_Floor,MATCH(G198,MW_Key,0)),0))*I198,"")</f>
        <v>335</v>
      </c>
      <c r="K198" s="3" t="n">
        <f aca="false">IF(ISNUMBER(J198),F198+J198,"")</f>
        <v>395.19</v>
      </c>
      <c r="L198" s="3" t="n">
        <f aca="false">IF(ISNUMBER(H198),MAX(H198,IFERROR(INDEX(MW_Floor,MATCH(G198,MW_Key,0)),0))*I198,"")</f>
        <v>335</v>
      </c>
      <c r="M198" s="2" t="str">
        <f aca="false">IFERROR(INDEX(LR_Flag,MATCH(G198,LR_Key,0)),"")</f>
        <v>divergent sources</v>
      </c>
      <c r="N198" s="2" t="str">
        <f aca="false">IFERROR(INDEX(MW_Check,MATCH(G198,MW_Key,0)),"")</f>
        <v>OK</v>
      </c>
      <c r="O198" s="0" t="str">
        <f aca="false">IF(NOT(ISNUMBER(H198)),"LABOR QUOTE NEEDED – total incomplete",IF(N198="BELOW FLOOR","CHECK: typical labor below wage floor – payout and customer labor raised to floor",IF(M198&lt;&gt;"none","Labor rate flagged: "&amp;M198,"OK")))</f>
        <v>Labor rate flagged: divergent sources</v>
      </c>
      <c r="P198" s="0" t="s">
        <v>1252</v>
      </c>
      <c r="Q198" s="8" t="s">
        <v>1253</v>
      </c>
      <c r="R198" s="2" t="str">
        <f aca="false">IF(OR(M198="regulated",COUNTIFS(Tasks_TaskID,A198,Tasks_Tier,D198,Tasks_Review,"base")&gt;0),"PENDING REVIEW – priced, not bookable until human approval",IF(COUNTIFS(Tasks_TaskID,A198,Tasks_Tier,D198,Tasks_Review,"as-needed")&gt;0,"Bookable (re-evaluate if regulated as-needed line selected)","Bookable"))</f>
        <v>Bookable</v>
      </c>
    </row>
    <row r="199" customFormat="false" ht="17.15" hidden="false" customHeight="false" outlineLevel="0" collapsed="false">
      <c r="A199" s="2" t="s">
        <v>1249</v>
      </c>
      <c r="B199" s="2" t="s">
        <v>273</v>
      </c>
      <c r="C199" s="2" t="s">
        <v>1250</v>
      </c>
      <c r="D199" s="2" t="s">
        <v>1049</v>
      </c>
      <c r="E199" s="2" t="s">
        <v>1896</v>
      </c>
      <c r="F199" s="3" t="n">
        <f aca="false">INDEX(Sum_Base,MATCH(A199,Sum_BaseTasks,0),MATCH(D199,Sum_BaseTiers,0))</f>
        <v>60.19</v>
      </c>
      <c r="G199" s="2" t="str">
        <f aca="false">IF(ISNUMBER(MATCH(A199&amp;"|"&amp;D199,LR_Key,0)),A199&amp;"|"&amp;D199,A199&amp;"|All")</f>
        <v>FIXX-GRD-003|All</v>
      </c>
      <c r="H199" s="3" t="n">
        <f aca="false">IFERROR(INDEX(LR_TypLabor,MATCH(G199,LR_Key,0)),"")</f>
        <v>335</v>
      </c>
      <c r="I199" s="12" t="n">
        <f aca="false">INDEX(Urg_Mult,MATCH(E199,Urg_Levels,0))</f>
        <v>1.15</v>
      </c>
      <c r="J199" s="3" t="n">
        <f aca="false">IF(ISNUMBER(H199),MAX(H199,IFERROR(INDEX(MW_Floor,MATCH(G199,MW_Key,0)),0))*I199,"")</f>
        <v>385.25</v>
      </c>
      <c r="K199" s="3" t="n">
        <f aca="false">IF(ISNUMBER(J199),F199+J199,"")</f>
        <v>445.44</v>
      </c>
      <c r="L199" s="3" t="n">
        <f aca="false">IF(ISNUMBER(H199),MAX(H199,IFERROR(INDEX(MW_Floor,MATCH(G199,MW_Key,0)),0))*I199,"")</f>
        <v>385.25</v>
      </c>
      <c r="M199" s="2" t="str">
        <f aca="false">IFERROR(INDEX(LR_Flag,MATCH(G199,LR_Key,0)),"")</f>
        <v>divergent sources</v>
      </c>
      <c r="N199" s="2" t="str">
        <f aca="false">IFERROR(INDEX(MW_Check,MATCH(G199,MW_Key,0)),"")</f>
        <v>OK</v>
      </c>
      <c r="O199" s="0" t="str">
        <f aca="false">IF(NOT(ISNUMBER(H199)),"LABOR QUOTE NEEDED – total incomplete",IF(N199="BELOW FLOOR","CHECK: typical labor below wage floor – payout and customer labor raised to floor",IF(M199&lt;&gt;"none","Labor rate flagged: "&amp;M199,"OK")))</f>
        <v>Labor rate flagged: divergent sources</v>
      </c>
      <c r="P199" s="0" t="s">
        <v>1252</v>
      </c>
      <c r="Q199" s="8" t="s">
        <v>1253</v>
      </c>
      <c r="R199" s="2" t="str">
        <f aca="false">IF(OR(M199="regulated",COUNTIFS(Tasks_TaskID,A199,Tasks_Tier,D199,Tasks_Review,"base")&gt;0),"PENDING REVIEW – priced, not bookable until human approval",IF(COUNTIFS(Tasks_TaskID,A199,Tasks_Tier,D199,Tasks_Review,"as-needed")&gt;0,"Bookable (re-evaluate if regulated as-needed line selected)","Bookable"))</f>
        <v>Bookable</v>
      </c>
    </row>
    <row r="200" customFormat="false" ht="17.15" hidden="false" customHeight="false" outlineLevel="0" collapsed="false">
      <c r="A200" s="2" t="s">
        <v>1249</v>
      </c>
      <c r="B200" s="2" t="s">
        <v>273</v>
      </c>
      <c r="C200" s="2" t="s">
        <v>1250</v>
      </c>
      <c r="D200" s="2" t="s">
        <v>1049</v>
      </c>
      <c r="E200" s="2" t="s">
        <v>1897</v>
      </c>
      <c r="F200" s="3" t="n">
        <f aca="false">INDEX(Sum_Base,MATCH(A200,Sum_BaseTasks,0),MATCH(D200,Sum_BaseTiers,0))</f>
        <v>60.19</v>
      </c>
      <c r="G200" s="2" t="str">
        <f aca="false">IF(ISNUMBER(MATCH(A200&amp;"|"&amp;D200,LR_Key,0)),A200&amp;"|"&amp;D200,A200&amp;"|All")</f>
        <v>FIXX-GRD-003|All</v>
      </c>
      <c r="H200" s="3" t="n">
        <f aca="false">IFERROR(INDEX(LR_TypLabor,MATCH(G200,LR_Key,0)),"")</f>
        <v>335</v>
      </c>
      <c r="I200" s="12" t="n">
        <f aca="false">INDEX(Urg_Mult,MATCH(E200,Urg_Levels,0))</f>
        <v>1.3</v>
      </c>
      <c r="J200" s="3" t="n">
        <f aca="false">IF(ISNUMBER(H200),MAX(H200,IFERROR(INDEX(MW_Floor,MATCH(G200,MW_Key,0)),0))*I200,"")</f>
        <v>435.5</v>
      </c>
      <c r="K200" s="3" t="n">
        <f aca="false">IF(ISNUMBER(J200),F200+J200,"")</f>
        <v>495.69</v>
      </c>
      <c r="L200" s="3" t="n">
        <f aca="false">IF(ISNUMBER(H200),MAX(H200,IFERROR(INDEX(MW_Floor,MATCH(G200,MW_Key,0)),0))*I200,"")</f>
        <v>435.5</v>
      </c>
      <c r="M200" s="2" t="str">
        <f aca="false">IFERROR(INDEX(LR_Flag,MATCH(G200,LR_Key,0)),"")</f>
        <v>divergent sources</v>
      </c>
      <c r="N200" s="2" t="str">
        <f aca="false">IFERROR(INDEX(MW_Check,MATCH(G200,MW_Key,0)),"")</f>
        <v>OK</v>
      </c>
      <c r="O200" s="0" t="str">
        <f aca="false">IF(NOT(ISNUMBER(H200)),"LABOR QUOTE NEEDED – total incomplete",IF(N200="BELOW FLOOR","CHECK: typical labor below wage floor – payout and customer labor raised to floor",IF(M200&lt;&gt;"none","Labor rate flagged: "&amp;M200,"OK")))</f>
        <v>Labor rate flagged: divergent sources</v>
      </c>
      <c r="P200" s="0" t="s">
        <v>1252</v>
      </c>
      <c r="Q200" s="8" t="s">
        <v>1253</v>
      </c>
      <c r="R200" s="2" t="str">
        <f aca="false">IF(OR(M200="regulated",COUNTIFS(Tasks_TaskID,A200,Tasks_Tier,D200,Tasks_Review,"base")&gt;0),"PENDING REVIEW – priced, not bookable until human approval",IF(COUNTIFS(Tasks_TaskID,A200,Tasks_Tier,D200,Tasks_Review,"as-needed")&gt;0,"Bookable (re-evaluate if regulated as-needed line selected)","Bookable"))</f>
        <v>Bookable</v>
      </c>
    </row>
    <row r="201" customFormat="false" ht="17.15" hidden="false" customHeight="false" outlineLevel="0" collapsed="false">
      <c r="A201" s="2" t="s">
        <v>1249</v>
      </c>
      <c r="B201" s="2" t="s">
        <v>273</v>
      </c>
      <c r="C201" s="2" t="s">
        <v>1250</v>
      </c>
      <c r="D201" s="2" t="s">
        <v>1049</v>
      </c>
      <c r="E201" s="2" t="s">
        <v>1898</v>
      </c>
      <c r="F201" s="3" t="n">
        <f aca="false">INDEX(Sum_Base,MATCH(A201,Sum_BaseTasks,0),MATCH(D201,Sum_BaseTiers,0))</f>
        <v>60.19</v>
      </c>
      <c r="G201" s="2" t="str">
        <f aca="false">IF(ISNUMBER(MATCH(A201&amp;"|"&amp;D201,LR_Key,0)),A201&amp;"|"&amp;D201,A201&amp;"|All")</f>
        <v>FIXX-GRD-003|All</v>
      </c>
      <c r="H201" s="3" t="n">
        <f aca="false">IFERROR(INDEX(LR_TypLabor,MATCH(G201,LR_Key,0)),"")</f>
        <v>335</v>
      </c>
      <c r="I201" s="12" t="n">
        <f aca="false">INDEX(Urg_Mult,MATCH(E201,Urg_Levels,0))</f>
        <v>1.5</v>
      </c>
      <c r="J201" s="3" t="n">
        <f aca="false">IF(ISNUMBER(H201),MAX(H201,IFERROR(INDEX(MW_Floor,MATCH(G201,MW_Key,0)),0))*I201,"")</f>
        <v>502.5</v>
      </c>
      <c r="K201" s="3" t="n">
        <f aca="false">IF(ISNUMBER(J201),F201+J201,"")</f>
        <v>562.69</v>
      </c>
      <c r="L201" s="3" t="n">
        <f aca="false">IF(ISNUMBER(H201),MAX(H201,IFERROR(INDEX(MW_Floor,MATCH(G201,MW_Key,0)),0))*I201,"")</f>
        <v>502.5</v>
      </c>
      <c r="M201" s="2" t="str">
        <f aca="false">IFERROR(INDEX(LR_Flag,MATCH(G201,LR_Key,0)),"")</f>
        <v>divergent sources</v>
      </c>
      <c r="N201" s="2" t="str">
        <f aca="false">IFERROR(INDEX(MW_Check,MATCH(G201,MW_Key,0)),"")</f>
        <v>OK</v>
      </c>
      <c r="O201" s="0" t="str">
        <f aca="false">IF(NOT(ISNUMBER(H201)),"LABOR QUOTE NEEDED – total incomplete",IF(N201="BELOW FLOOR","CHECK: typical labor below wage floor – payout and customer labor raised to floor",IF(M201&lt;&gt;"none","Labor rate flagged: "&amp;M201,"OK")))</f>
        <v>Labor rate flagged: divergent sources</v>
      </c>
      <c r="P201" s="0" t="s">
        <v>1252</v>
      </c>
      <c r="Q201" s="8" t="s">
        <v>1253</v>
      </c>
      <c r="R201" s="2" t="str">
        <f aca="false">IF(OR(M201="regulated",COUNTIFS(Tasks_TaskID,A201,Tasks_Tier,D201,Tasks_Review,"base")&gt;0),"PENDING REVIEW – priced, not bookable until human approval",IF(COUNTIFS(Tasks_TaskID,A201,Tasks_Tier,D201,Tasks_Review,"as-needed")&gt;0,"Bookable (re-evaluate if regulated as-needed line selected)","Bookable"))</f>
        <v>Bookable</v>
      </c>
    </row>
    <row r="202" customFormat="false" ht="17.15" hidden="false" customHeight="false" outlineLevel="0" collapsed="false">
      <c r="A202" s="2" t="s">
        <v>1249</v>
      </c>
      <c r="B202" s="2" t="s">
        <v>273</v>
      </c>
      <c r="C202" s="2" t="s">
        <v>1250</v>
      </c>
      <c r="D202" s="2" t="s">
        <v>1051</v>
      </c>
      <c r="E202" s="2" t="s">
        <v>1895</v>
      </c>
      <c r="F202" s="3" t="n">
        <f aca="false">INDEX(Sum_Base,MATCH(A202,Sum_BaseTasks,0),MATCH(D202,Sum_BaseTiers,0))</f>
        <v>60.19</v>
      </c>
      <c r="G202" s="2" t="str">
        <f aca="false">IF(ISNUMBER(MATCH(A202&amp;"|"&amp;D202,LR_Key,0)),A202&amp;"|"&amp;D202,A202&amp;"|All")</f>
        <v>FIXX-GRD-003|All</v>
      </c>
      <c r="H202" s="3" t="n">
        <f aca="false">IFERROR(INDEX(LR_TypLabor,MATCH(G202,LR_Key,0)),"")</f>
        <v>335</v>
      </c>
      <c r="I202" s="12" t="n">
        <f aca="false">INDEX(Urg_Mult,MATCH(E202,Urg_Levels,0))</f>
        <v>1</v>
      </c>
      <c r="J202" s="3" t="n">
        <f aca="false">IF(ISNUMBER(H202),MAX(H202,IFERROR(INDEX(MW_Floor,MATCH(G202,MW_Key,0)),0))*I202,"")</f>
        <v>335</v>
      </c>
      <c r="K202" s="3" t="n">
        <f aca="false">IF(ISNUMBER(J202),F202+J202,"")</f>
        <v>395.19</v>
      </c>
      <c r="L202" s="3" t="n">
        <f aca="false">IF(ISNUMBER(H202),MAX(H202,IFERROR(INDEX(MW_Floor,MATCH(G202,MW_Key,0)),0))*I202,"")</f>
        <v>335</v>
      </c>
      <c r="M202" s="2" t="str">
        <f aca="false">IFERROR(INDEX(LR_Flag,MATCH(G202,LR_Key,0)),"")</f>
        <v>divergent sources</v>
      </c>
      <c r="N202" s="2" t="str">
        <f aca="false">IFERROR(INDEX(MW_Check,MATCH(G202,MW_Key,0)),"")</f>
        <v>OK</v>
      </c>
      <c r="O202" s="0" t="str">
        <f aca="false">IF(NOT(ISNUMBER(H202)),"LABOR QUOTE NEEDED – total incomplete",IF(N202="BELOW FLOOR","CHECK: typical labor below wage floor – payout and customer labor raised to floor",IF(M202&lt;&gt;"none","Labor rate flagged: "&amp;M202,"OK")))</f>
        <v>Labor rate flagged: divergent sources</v>
      </c>
      <c r="P202" s="0" t="s">
        <v>1252</v>
      </c>
      <c r="Q202" s="8" t="s">
        <v>1253</v>
      </c>
      <c r="R202" s="2" t="str">
        <f aca="false">IF(OR(M202="regulated",COUNTIFS(Tasks_TaskID,A202,Tasks_Tier,D202,Tasks_Review,"base")&gt;0),"PENDING REVIEW – priced, not bookable until human approval",IF(COUNTIFS(Tasks_TaskID,A202,Tasks_Tier,D202,Tasks_Review,"as-needed")&gt;0,"Bookable (re-evaluate if regulated as-needed line selected)","Bookable"))</f>
        <v>Bookable</v>
      </c>
    </row>
    <row r="203" customFormat="false" ht="17.15" hidden="false" customHeight="false" outlineLevel="0" collapsed="false">
      <c r="A203" s="2" t="s">
        <v>1249</v>
      </c>
      <c r="B203" s="2" t="s">
        <v>273</v>
      </c>
      <c r="C203" s="2" t="s">
        <v>1250</v>
      </c>
      <c r="D203" s="2" t="s">
        <v>1051</v>
      </c>
      <c r="E203" s="2" t="s">
        <v>1896</v>
      </c>
      <c r="F203" s="3" t="n">
        <f aca="false">INDEX(Sum_Base,MATCH(A203,Sum_BaseTasks,0),MATCH(D203,Sum_BaseTiers,0))</f>
        <v>60.19</v>
      </c>
      <c r="G203" s="2" t="str">
        <f aca="false">IF(ISNUMBER(MATCH(A203&amp;"|"&amp;D203,LR_Key,0)),A203&amp;"|"&amp;D203,A203&amp;"|All")</f>
        <v>FIXX-GRD-003|All</v>
      </c>
      <c r="H203" s="3" t="n">
        <f aca="false">IFERROR(INDEX(LR_TypLabor,MATCH(G203,LR_Key,0)),"")</f>
        <v>335</v>
      </c>
      <c r="I203" s="12" t="n">
        <f aca="false">INDEX(Urg_Mult,MATCH(E203,Urg_Levels,0))</f>
        <v>1.15</v>
      </c>
      <c r="J203" s="3" t="n">
        <f aca="false">IF(ISNUMBER(H203),MAX(H203,IFERROR(INDEX(MW_Floor,MATCH(G203,MW_Key,0)),0))*I203,"")</f>
        <v>385.25</v>
      </c>
      <c r="K203" s="3" t="n">
        <f aca="false">IF(ISNUMBER(J203),F203+J203,"")</f>
        <v>445.44</v>
      </c>
      <c r="L203" s="3" t="n">
        <f aca="false">IF(ISNUMBER(H203),MAX(H203,IFERROR(INDEX(MW_Floor,MATCH(G203,MW_Key,0)),0))*I203,"")</f>
        <v>385.25</v>
      </c>
      <c r="M203" s="2" t="str">
        <f aca="false">IFERROR(INDEX(LR_Flag,MATCH(G203,LR_Key,0)),"")</f>
        <v>divergent sources</v>
      </c>
      <c r="N203" s="2" t="str">
        <f aca="false">IFERROR(INDEX(MW_Check,MATCH(G203,MW_Key,0)),"")</f>
        <v>OK</v>
      </c>
      <c r="O203" s="0" t="str">
        <f aca="false">IF(NOT(ISNUMBER(H203)),"LABOR QUOTE NEEDED – total incomplete",IF(N203="BELOW FLOOR","CHECK: typical labor below wage floor – payout and customer labor raised to floor",IF(M203&lt;&gt;"none","Labor rate flagged: "&amp;M203,"OK")))</f>
        <v>Labor rate flagged: divergent sources</v>
      </c>
      <c r="P203" s="0" t="s">
        <v>1252</v>
      </c>
      <c r="Q203" s="8" t="s">
        <v>1253</v>
      </c>
      <c r="R203" s="2" t="str">
        <f aca="false">IF(OR(M203="regulated",COUNTIFS(Tasks_TaskID,A203,Tasks_Tier,D203,Tasks_Review,"base")&gt;0),"PENDING REVIEW – priced, not bookable until human approval",IF(COUNTIFS(Tasks_TaskID,A203,Tasks_Tier,D203,Tasks_Review,"as-needed")&gt;0,"Bookable (re-evaluate if regulated as-needed line selected)","Bookable"))</f>
        <v>Bookable</v>
      </c>
    </row>
    <row r="204" customFormat="false" ht="17.15" hidden="false" customHeight="false" outlineLevel="0" collapsed="false">
      <c r="A204" s="2" t="s">
        <v>1249</v>
      </c>
      <c r="B204" s="2" t="s">
        <v>273</v>
      </c>
      <c r="C204" s="2" t="s">
        <v>1250</v>
      </c>
      <c r="D204" s="2" t="s">
        <v>1051</v>
      </c>
      <c r="E204" s="2" t="s">
        <v>1897</v>
      </c>
      <c r="F204" s="3" t="n">
        <f aca="false">INDEX(Sum_Base,MATCH(A204,Sum_BaseTasks,0),MATCH(D204,Sum_BaseTiers,0))</f>
        <v>60.19</v>
      </c>
      <c r="G204" s="2" t="str">
        <f aca="false">IF(ISNUMBER(MATCH(A204&amp;"|"&amp;D204,LR_Key,0)),A204&amp;"|"&amp;D204,A204&amp;"|All")</f>
        <v>FIXX-GRD-003|All</v>
      </c>
      <c r="H204" s="3" t="n">
        <f aca="false">IFERROR(INDEX(LR_TypLabor,MATCH(G204,LR_Key,0)),"")</f>
        <v>335</v>
      </c>
      <c r="I204" s="12" t="n">
        <f aca="false">INDEX(Urg_Mult,MATCH(E204,Urg_Levels,0))</f>
        <v>1.3</v>
      </c>
      <c r="J204" s="3" t="n">
        <f aca="false">IF(ISNUMBER(H204),MAX(H204,IFERROR(INDEX(MW_Floor,MATCH(G204,MW_Key,0)),0))*I204,"")</f>
        <v>435.5</v>
      </c>
      <c r="K204" s="3" t="n">
        <f aca="false">IF(ISNUMBER(J204),F204+J204,"")</f>
        <v>495.69</v>
      </c>
      <c r="L204" s="3" t="n">
        <f aca="false">IF(ISNUMBER(H204),MAX(H204,IFERROR(INDEX(MW_Floor,MATCH(G204,MW_Key,0)),0))*I204,"")</f>
        <v>435.5</v>
      </c>
      <c r="M204" s="2" t="str">
        <f aca="false">IFERROR(INDEX(LR_Flag,MATCH(G204,LR_Key,0)),"")</f>
        <v>divergent sources</v>
      </c>
      <c r="N204" s="2" t="str">
        <f aca="false">IFERROR(INDEX(MW_Check,MATCH(G204,MW_Key,0)),"")</f>
        <v>OK</v>
      </c>
      <c r="O204" s="0" t="str">
        <f aca="false">IF(NOT(ISNUMBER(H204)),"LABOR QUOTE NEEDED – total incomplete",IF(N204="BELOW FLOOR","CHECK: typical labor below wage floor – payout and customer labor raised to floor",IF(M204&lt;&gt;"none","Labor rate flagged: "&amp;M204,"OK")))</f>
        <v>Labor rate flagged: divergent sources</v>
      </c>
      <c r="P204" s="0" t="s">
        <v>1252</v>
      </c>
      <c r="Q204" s="8" t="s">
        <v>1253</v>
      </c>
      <c r="R204" s="2" t="str">
        <f aca="false">IF(OR(M204="regulated",COUNTIFS(Tasks_TaskID,A204,Tasks_Tier,D204,Tasks_Review,"base")&gt;0),"PENDING REVIEW – priced, not bookable until human approval",IF(COUNTIFS(Tasks_TaskID,A204,Tasks_Tier,D204,Tasks_Review,"as-needed")&gt;0,"Bookable (re-evaluate if regulated as-needed line selected)","Bookable"))</f>
        <v>Bookable</v>
      </c>
    </row>
    <row r="205" customFormat="false" ht="17.15" hidden="false" customHeight="false" outlineLevel="0" collapsed="false">
      <c r="A205" s="2" t="s">
        <v>1249</v>
      </c>
      <c r="B205" s="2" t="s">
        <v>273</v>
      </c>
      <c r="C205" s="2" t="s">
        <v>1250</v>
      </c>
      <c r="D205" s="2" t="s">
        <v>1051</v>
      </c>
      <c r="E205" s="2" t="s">
        <v>1898</v>
      </c>
      <c r="F205" s="3" t="n">
        <f aca="false">INDEX(Sum_Base,MATCH(A205,Sum_BaseTasks,0),MATCH(D205,Sum_BaseTiers,0))</f>
        <v>60.19</v>
      </c>
      <c r="G205" s="2" t="str">
        <f aca="false">IF(ISNUMBER(MATCH(A205&amp;"|"&amp;D205,LR_Key,0)),A205&amp;"|"&amp;D205,A205&amp;"|All")</f>
        <v>FIXX-GRD-003|All</v>
      </c>
      <c r="H205" s="3" t="n">
        <f aca="false">IFERROR(INDEX(LR_TypLabor,MATCH(G205,LR_Key,0)),"")</f>
        <v>335</v>
      </c>
      <c r="I205" s="12" t="n">
        <f aca="false">INDEX(Urg_Mult,MATCH(E205,Urg_Levels,0))</f>
        <v>1.5</v>
      </c>
      <c r="J205" s="3" t="n">
        <f aca="false">IF(ISNUMBER(H205),MAX(H205,IFERROR(INDEX(MW_Floor,MATCH(G205,MW_Key,0)),0))*I205,"")</f>
        <v>502.5</v>
      </c>
      <c r="K205" s="3" t="n">
        <f aca="false">IF(ISNUMBER(J205),F205+J205,"")</f>
        <v>562.69</v>
      </c>
      <c r="L205" s="3" t="n">
        <f aca="false">IF(ISNUMBER(H205),MAX(H205,IFERROR(INDEX(MW_Floor,MATCH(G205,MW_Key,0)),0))*I205,"")</f>
        <v>502.5</v>
      </c>
      <c r="M205" s="2" t="str">
        <f aca="false">IFERROR(INDEX(LR_Flag,MATCH(G205,LR_Key,0)),"")</f>
        <v>divergent sources</v>
      </c>
      <c r="N205" s="2" t="str">
        <f aca="false">IFERROR(INDEX(MW_Check,MATCH(G205,MW_Key,0)),"")</f>
        <v>OK</v>
      </c>
      <c r="O205" s="0" t="str">
        <f aca="false">IF(NOT(ISNUMBER(H205)),"LABOR QUOTE NEEDED – total incomplete",IF(N205="BELOW FLOOR","CHECK: typical labor below wage floor – payout and customer labor raised to floor",IF(M205&lt;&gt;"none","Labor rate flagged: "&amp;M205,"OK")))</f>
        <v>Labor rate flagged: divergent sources</v>
      </c>
      <c r="P205" s="0" t="s">
        <v>1252</v>
      </c>
      <c r="Q205" s="8" t="s">
        <v>1253</v>
      </c>
      <c r="R205" s="2" t="str">
        <f aca="false">IF(OR(M205="regulated",COUNTIFS(Tasks_TaskID,A205,Tasks_Tier,D205,Tasks_Review,"base")&gt;0),"PENDING REVIEW – priced, not bookable until human approval",IF(COUNTIFS(Tasks_TaskID,A205,Tasks_Tier,D205,Tasks_Review,"as-needed")&gt;0,"Bookable (re-evaluate if regulated as-needed line selected)","Bookable"))</f>
        <v>Bookable</v>
      </c>
    </row>
    <row r="206" customFormat="false" ht="17.15" hidden="false" customHeight="false" outlineLevel="0" collapsed="false">
      <c r="A206" s="2" t="s">
        <v>1267</v>
      </c>
      <c r="B206" s="2" t="s">
        <v>397</v>
      </c>
      <c r="C206" s="2" t="s">
        <v>1268</v>
      </c>
      <c r="D206" s="2" t="s">
        <v>1042</v>
      </c>
      <c r="E206" s="2" t="s">
        <v>1895</v>
      </c>
      <c r="F206" s="3" t="n">
        <f aca="false">INDEX(Sum_Base,MATCH(A206,Sum_BaseTasks,0),MATCH(D206,Sum_BaseTiers,0))</f>
        <v>1694</v>
      </c>
      <c r="G206" s="2" t="str">
        <f aca="false">IF(ISNUMBER(MATCH(A206&amp;"|"&amp;D206,LR_Key,0)),A206&amp;"|"&amp;D206,A206&amp;"|All")</f>
        <v>FIXX-FLR-001|All</v>
      </c>
      <c r="H206" s="3" t="n">
        <f aca="false">IFERROR(INDEX(LR_TypLabor,MATCH(G206,LR_Key,0)),"")</f>
        <v>3560</v>
      </c>
      <c r="I206" s="12" t="n">
        <f aca="false">INDEX(Urg_Mult,MATCH(E206,Urg_Levels,0))</f>
        <v>1</v>
      </c>
      <c r="J206" s="3" t="n">
        <f aca="false">IF(ISNUMBER(H206),MAX(H206,IFERROR(INDEX(MW_Floor,MATCH(G206,MW_Key,0)),0))*I206,"")</f>
        <v>3560</v>
      </c>
      <c r="K206" s="3" t="n">
        <f aca="false">IF(ISNUMBER(J206),F206+J206,"")</f>
        <v>5254</v>
      </c>
      <c r="L206" s="3" t="n">
        <f aca="false">IF(ISNUMBER(H206),MAX(H206,IFERROR(INDEX(MW_Floor,MATCH(G206,MW_Key,0)),0))*I206,"")</f>
        <v>3560</v>
      </c>
      <c r="M206" s="2" t="str">
        <f aca="false">IFERROR(INDEX(LR_Flag,MATCH(G206,LR_Key,0)),"")</f>
        <v>none</v>
      </c>
      <c r="N206" s="2" t="str">
        <f aca="false">IFERROR(INDEX(MW_Check,MATCH(G206,MW_Key,0)),"")</f>
        <v>OK</v>
      </c>
      <c r="O206" s="0" t="str">
        <f aca="false">IF(NOT(ISNUMBER(H206)),"LABOR QUOTE NEEDED – total incomplete",IF(N206="BELOW FLOOR","CHECK: typical labor below wage floor – payout and customer labor raised to floor",IF(M206&lt;&gt;"none","Labor rate flagged: "&amp;M206,"OK")))</f>
        <v>OK</v>
      </c>
      <c r="P206" s="0" t="s">
        <v>1270</v>
      </c>
      <c r="Q206" s="8" t="s">
        <v>1271</v>
      </c>
      <c r="R206" s="2" t="str">
        <f aca="false">IF(OR(M206="regulated",COUNTIFS(Tasks_TaskID,A206,Tasks_Tier,D206,Tasks_Review,"base")&gt;0),"PENDING REVIEW – priced, not bookable until human approval",IF(COUNTIFS(Tasks_TaskID,A206,Tasks_Tier,D206,Tasks_Review,"as-needed")&gt;0,"Bookable (re-evaluate if regulated as-needed line selected)","Bookable"))</f>
        <v>Bookable</v>
      </c>
    </row>
    <row r="207" customFormat="false" ht="17.15" hidden="false" customHeight="false" outlineLevel="0" collapsed="false">
      <c r="A207" s="2" t="s">
        <v>1267</v>
      </c>
      <c r="B207" s="2" t="s">
        <v>397</v>
      </c>
      <c r="C207" s="2" t="s">
        <v>1268</v>
      </c>
      <c r="D207" s="2" t="s">
        <v>1042</v>
      </c>
      <c r="E207" s="2" t="s">
        <v>1896</v>
      </c>
      <c r="F207" s="3" t="n">
        <f aca="false">INDEX(Sum_Base,MATCH(A207,Sum_BaseTasks,0),MATCH(D207,Sum_BaseTiers,0))</f>
        <v>1694</v>
      </c>
      <c r="G207" s="2" t="str">
        <f aca="false">IF(ISNUMBER(MATCH(A207&amp;"|"&amp;D207,LR_Key,0)),A207&amp;"|"&amp;D207,A207&amp;"|All")</f>
        <v>FIXX-FLR-001|All</v>
      </c>
      <c r="H207" s="3" t="n">
        <f aca="false">IFERROR(INDEX(LR_TypLabor,MATCH(G207,LR_Key,0)),"")</f>
        <v>3560</v>
      </c>
      <c r="I207" s="12" t="n">
        <f aca="false">INDEX(Urg_Mult,MATCH(E207,Urg_Levels,0))</f>
        <v>1.15</v>
      </c>
      <c r="J207" s="3" t="n">
        <f aca="false">IF(ISNUMBER(H207),MAX(H207,IFERROR(INDEX(MW_Floor,MATCH(G207,MW_Key,0)),0))*I207,"")</f>
        <v>4094</v>
      </c>
      <c r="K207" s="3" t="n">
        <f aca="false">IF(ISNUMBER(J207),F207+J207,"")</f>
        <v>5788</v>
      </c>
      <c r="L207" s="3" t="n">
        <f aca="false">IF(ISNUMBER(H207),MAX(H207,IFERROR(INDEX(MW_Floor,MATCH(G207,MW_Key,0)),0))*I207,"")</f>
        <v>4094</v>
      </c>
      <c r="M207" s="2" t="str">
        <f aca="false">IFERROR(INDEX(LR_Flag,MATCH(G207,LR_Key,0)),"")</f>
        <v>none</v>
      </c>
      <c r="N207" s="2" t="str">
        <f aca="false">IFERROR(INDEX(MW_Check,MATCH(G207,MW_Key,0)),"")</f>
        <v>OK</v>
      </c>
      <c r="O207" s="0" t="str">
        <f aca="false">IF(NOT(ISNUMBER(H207)),"LABOR QUOTE NEEDED – total incomplete",IF(N207="BELOW FLOOR","CHECK: typical labor below wage floor – payout and customer labor raised to floor",IF(M207&lt;&gt;"none","Labor rate flagged: "&amp;M207,"OK")))</f>
        <v>OK</v>
      </c>
      <c r="P207" s="0" t="s">
        <v>1270</v>
      </c>
      <c r="Q207" s="8" t="s">
        <v>1271</v>
      </c>
      <c r="R207" s="2" t="str">
        <f aca="false">IF(OR(M207="regulated",COUNTIFS(Tasks_TaskID,A207,Tasks_Tier,D207,Tasks_Review,"base")&gt;0),"PENDING REVIEW – priced, not bookable until human approval",IF(COUNTIFS(Tasks_TaskID,A207,Tasks_Tier,D207,Tasks_Review,"as-needed")&gt;0,"Bookable (re-evaluate if regulated as-needed line selected)","Bookable"))</f>
        <v>Bookable</v>
      </c>
    </row>
    <row r="208" customFormat="false" ht="17.15" hidden="false" customHeight="false" outlineLevel="0" collapsed="false">
      <c r="A208" s="2" t="s">
        <v>1267</v>
      </c>
      <c r="B208" s="2" t="s">
        <v>397</v>
      </c>
      <c r="C208" s="2" t="s">
        <v>1268</v>
      </c>
      <c r="D208" s="2" t="s">
        <v>1042</v>
      </c>
      <c r="E208" s="2" t="s">
        <v>1897</v>
      </c>
      <c r="F208" s="3" t="n">
        <f aca="false">INDEX(Sum_Base,MATCH(A208,Sum_BaseTasks,0),MATCH(D208,Sum_BaseTiers,0))</f>
        <v>1694</v>
      </c>
      <c r="G208" s="2" t="str">
        <f aca="false">IF(ISNUMBER(MATCH(A208&amp;"|"&amp;D208,LR_Key,0)),A208&amp;"|"&amp;D208,A208&amp;"|All")</f>
        <v>FIXX-FLR-001|All</v>
      </c>
      <c r="H208" s="3" t="n">
        <f aca="false">IFERROR(INDEX(LR_TypLabor,MATCH(G208,LR_Key,0)),"")</f>
        <v>3560</v>
      </c>
      <c r="I208" s="12" t="n">
        <f aca="false">INDEX(Urg_Mult,MATCH(E208,Urg_Levels,0))</f>
        <v>1.3</v>
      </c>
      <c r="J208" s="3" t="n">
        <f aca="false">IF(ISNUMBER(H208),MAX(H208,IFERROR(INDEX(MW_Floor,MATCH(G208,MW_Key,0)),0))*I208,"")</f>
        <v>4628</v>
      </c>
      <c r="K208" s="3" t="n">
        <f aca="false">IF(ISNUMBER(J208),F208+J208,"")</f>
        <v>6322</v>
      </c>
      <c r="L208" s="3" t="n">
        <f aca="false">IF(ISNUMBER(H208),MAX(H208,IFERROR(INDEX(MW_Floor,MATCH(G208,MW_Key,0)),0))*I208,"")</f>
        <v>4628</v>
      </c>
      <c r="M208" s="2" t="str">
        <f aca="false">IFERROR(INDEX(LR_Flag,MATCH(G208,LR_Key,0)),"")</f>
        <v>none</v>
      </c>
      <c r="N208" s="2" t="str">
        <f aca="false">IFERROR(INDEX(MW_Check,MATCH(G208,MW_Key,0)),"")</f>
        <v>OK</v>
      </c>
      <c r="O208" s="0" t="str">
        <f aca="false">IF(NOT(ISNUMBER(H208)),"LABOR QUOTE NEEDED – total incomplete",IF(N208="BELOW FLOOR","CHECK: typical labor below wage floor – payout and customer labor raised to floor",IF(M208&lt;&gt;"none","Labor rate flagged: "&amp;M208,"OK")))</f>
        <v>OK</v>
      </c>
      <c r="P208" s="0" t="s">
        <v>1270</v>
      </c>
      <c r="Q208" s="8" t="s">
        <v>1271</v>
      </c>
      <c r="R208" s="2" t="str">
        <f aca="false">IF(OR(M208="regulated",COUNTIFS(Tasks_TaskID,A208,Tasks_Tier,D208,Tasks_Review,"base")&gt;0),"PENDING REVIEW – priced, not bookable until human approval",IF(COUNTIFS(Tasks_TaskID,A208,Tasks_Tier,D208,Tasks_Review,"as-needed")&gt;0,"Bookable (re-evaluate if regulated as-needed line selected)","Bookable"))</f>
        <v>Bookable</v>
      </c>
    </row>
    <row r="209" customFormat="false" ht="17.15" hidden="false" customHeight="false" outlineLevel="0" collapsed="false">
      <c r="A209" s="2" t="s">
        <v>1267</v>
      </c>
      <c r="B209" s="2" t="s">
        <v>397</v>
      </c>
      <c r="C209" s="2" t="s">
        <v>1268</v>
      </c>
      <c r="D209" s="2" t="s">
        <v>1042</v>
      </c>
      <c r="E209" s="2" t="s">
        <v>1898</v>
      </c>
      <c r="F209" s="3" t="n">
        <f aca="false">INDEX(Sum_Base,MATCH(A209,Sum_BaseTasks,0),MATCH(D209,Sum_BaseTiers,0))</f>
        <v>1694</v>
      </c>
      <c r="G209" s="2" t="str">
        <f aca="false">IF(ISNUMBER(MATCH(A209&amp;"|"&amp;D209,LR_Key,0)),A209&amp;"|"&amp;D209,A209&amp;"|All")</f>
        <v>FIXX-FLR-001|All</v>
      </c>
      <c r="H209" s="3" t="n">
        <f aca="false">IFERROR(INDEX(LR_TypLabor,MATCH(G209,LR_Key,0)),"")</f>
        <v>3560</v>
      </c>
      <c r="I209" s="12" t="n">
        <f aca="false">INDEX(Urg_Mult,MATCH(E209,Urg_Levels,0))</f>
        <v>1.5</v>
      </c>
      <c r="J209" s="3" t="n">
        <f aca="false">IF(ISNUMBER(H209),MAX(H209,IFERROR(INDEX(MW_Floor,MATCH(G209,MW_Key,0)),0))*I209,"")</f>
        <v>5340</v>
      </c>
      <c r="K209" s="3" t="n">
        <f aca="false">IF(ISNUMBER(J209),F209+J209,"")</f>
        <v>7034</v>
      </c>
      <c r="L209" s="3" t="n">
        <f aca="false">IF(ISNUMBER(H209),MAX(H209,IFERROR(INDEX(MW_Floor,MATCH(G209,MW_Key,0)),0))*I209,"")</f>
        <v>5340</v>
      </c>
      <c r="M209" s="2" t="str">
        <f aca="false">IFERROR(INDEX(LR_Flag,MATCH(G209,LR_Key,0)),"")</f>
        <v>none</v>
      </c>
      <c r="N209" s="2" t="str">
        <f aca="false">IFERROR(INDEX(MW_Check,MATCH(G209,MW_Key,0)),"")</f>
        <v>OK</v>
      </c>
      <c r="O209" s="0" t="str">
        <f aca="false">IF(NOT(ISNUMBER(H209)),"LABOR QUOTE NEEDED – total incomplete",IF(N209="BELOW FLOOR","CHECK: typical labor below wage floor – payout and customer labor raised to floor",IF(M209&lt;&gt;"none","Labor rate flagged: "&amp;M209,"OK")))</f>
        <v>OK</v>
      </c>
      <c r="P209" s="0" t="s">
        <v>1270</v>
      </c>
      <c r="Q209" s="8" t="s">
        <v>1271</v>
      </c>
      <c r="R209" s="2" t="str">
        <f aca="false">IF(OR(M209="regulated",COUNTIFS(Tasks_TaskID,A209,Tasks_Tier,D209,Tasks_Review,"base")&gt;0),"PENDING REVIEW – priced, not bookable until human approval",IF(COUNTIFS(Tasks_TaskID,A209,Tasks_Tier,D209,Tasks_Review,"as-needed")&gt;0,"Bookable (re-evaluate if regulated as-needed line selected)","Bookable"))</f>
        <v>Bookable</v>
      </c>
    </row>
    <row r="210" customFormat="false" ht="17.15" hidden="false" customHeight="false" outlineLevel="0" collapsed="false">
      <c r="A210" s="2" t="s">
        <v>1267</v>
      </c>
      <c r="B210" s="2" t="s">
        <v>397</v>
      </c>
      <c r="C210" s="2" t="s">
        <v>1268</v>
      </c>
      <c r="D210" s="2" t="s">
        <v>1049</v>
      </c>
      <c r="E210" s="2" t="s">
        <v>1895</v>
      </c>
      <c r="F210" s="3" t="n">
        <f aca="false">INDEX(Sum_Base,MATCH(A210,Sum_BaseTasks,0),MATCH(D210,Sum_BaseTiers,0))</f>
        <v>2862</v>
      </c>
      <c r="G210" s="2" t="str">
        <f aca="false">IF(ISNUMBER(MATCH(A210&amp;"|"&amp;D210,LR_Key,0)),A210&amp;"|"&amp;D210,A210&amp;"|All")</f>
        <v>FIXX-FLR-001|All</v>
      </c>
      <c r="H210" s="3" t="n">
        <f aca="false">IFERROR(INDEX(LR_TypLabor,MATCH(G210,LR_Key,0)),"")</f>
        <v>3560</v>
      </c>
      <c r="I210" s="12" t="n">
        <f aca="false">INDEX(Urg_Mult,MATCH(E210,Urg_Levels,0))</f>
        <v>1</v>
      </c>
      <c r="J210" s="3" t="n">
        <f aca="false">IF(ISNUMBER(H210),MAX(H210,IFERROR(INDEX(MW_Floor,MATCH(G210,MW_Key,0)),0))*I210,"")</f>
        <v>3560</v>
      </c>
      <c r="K210" s="3" t="n">
        <f aca="false">IF(ISNUMBER(J210),F210+J210,"")</f>
        <v>6422</v>
      </c>
      <c r="L210" s="3" t="n">
        <f aca="false">IF(ISNUMBER(H210),MAX(H210,IFERROR(INDEX(MW_Floor,MATCH(G210,MW_Key,0)),0))*I210,"")</f>
        <v>3560</v>
      </c>
      <c r="M210" s="2" t="str">
        <f aca="false">IFERROR(INDEX(LR_Flag,MATCH(G210,LR_Key,0)),"")</f>
        <v>none</v>
      </c>
      <c r="N210" s="2" t="str">
        <f aca="false">IFERROR(INDEX(MW_Check,MATCH(G210,MW_Key,0)),"")</f>
        <v>OK</v>
      </c>
      <c r="O210" s="0" t="str">
        <f aca="false">IF(NOT(ISNUMBER(H210)),"LABOR QUOTE NEEDED – total incomplete",IF(N210="BELOW FLOOR","CHECK: typical labor below wage floor – payout and customer labor raised to floor",IF(M210&lt;&gt;"none","Labor rate flagged: "&amp;M210,"OK")))</f>
        <v>OK</v>
      </c>
      <c r="P210" s="0" t="s">
        <v>1270</v>
      </c>
      <c r="Q210" s="8" t="s">
        <v>1271</v>
      </c>
      <c r="R210" s="2" t="str">
        <f aca="false">IF(OR(M210="regulated",COUNTIFS(Tasks_TaskID,A210,Tasks_Tier,D210,Tasks_Review,"base")&gt;0),"PENDING REVIEW – priced, not bookable until human approval",IF(COUNTIFS(Tasks_TaskID,A210,Tasks_Tier,D210,Tasks_Review,"as-needed")&gt;0,"Bookable (re-evaluate if regulated as-needed line selected)","Bookable"))</f>
        <v>Bookable</v>
      </c>
    </row>
    <row r="211" customFormat="false" ht="17.15" hidden="false" customHeight="false" outlineLevel="0" collapsed="false">
      <c r="A211" s="2" t="s">
        <v>1267</v>
      </c>
      <c r="B211" s="2" t="s">
        <v>397</v>
      </c>
      <c r="C211" s="2" t="s">
        <v>1268</v>
      </c>
      <c r="D211" s="2" t="s">
        <v>1049</v>
      </c>
      <c r="E211" s="2" t="s">
        <v>1896</v>
      </c>
      <c r="F211" s="3" t="n">
        <f aca="false">INDEX(Sum_Base,MATCH(A211,Sum_BaseTasks,0),MATCH(D211,Sum_BaseTiers,0))</f>
        <v>2862</v>
      </c>
      <c r="G211" s="2" t="str">
        <f aca="false">IF(ISNUMBER(MATCH(A211&amp;"|"&amp;D211,LR_Key,0)),A211&amp;"|"&amp;D211,A211&amp;"|All")</f>
        <v>FIXX-FLR-001|All</v>
      </c>
      <c r="H211" s="3" t="n">
        <f aca="false">IFERROR(INDEX(LR_TypLabor,MATCH(G211,LR_Key,0)),"")</f>
        <v>3560</v>
      </c>
      <c r="I211" s="12" t="n">
        <f aca="false">INDEX(Urg_Mult,MATCH(E211,Urg_Levels,0))</f>
        <v>1.15</v>
      </c>
      <c r="J211" s="3" t="n">
        <f aca="false">IF(ISNUMBER(H211),MAX(H211,IFERROR(INDEX(MW_Floor,MATCH(G211,MW_Key,0)),0))*I211,"")</f>
        <v>4094</v>
      </c>
      <c r="K211" s="3" t="n">
        <f aca="false">IF(ISNUMBER(J211),F211+J211,"")</f>
        <v>6956</v>
      </c>
      <c r="L211" s="3" t="n">
        <f aca="false">IF(ISNUMBER(H211),MAX(H211,IFERROR(INDEX(MW_Floor,MATCH(G211,MW_Key,0)),0))*I211,"")</f>
        <v>4094</v>
      </c>
      <c r="M211" s="2" t="str">
        <f aca="false">IFERROR(INDEX(LR_Flag,MATCH(G211,LR_Key,0)),"")</f>
        <v>none</v>
      </c>
      <c r="N211" s="2" t="str">
        <f aca="false">IFERROR(INDEX(MW_Check,MATCH(G211,MW_Key,0)),"")</f>
        <v>OK</v>
      </c>
      <c r="O211" s="0" t="str">
        <f aca="false">IF(NOT(ISNUMBER(H211)),"LABOR QUOTE NEEDED – total incomplete",IF(N211="BELOW FLOOR","CHECK: typical labor below wage floor – payout and customer labor raised to floor",IF(M211&lt;&gt;"none","Labor rate flagged: "&amp;M211,"OK")))</f>
        <v>OK</v>
      </c>
      <c r="P211" s="0" t="s">
        <v>1270</v>
      </c>
      <c r="Q211" s="8" t="s">
        <v>1271</v>
      </c>
      <c r="R211" s="2" t="str">
        <f aca="false">IF(OR(M211="regulated",COUNTIFS(Tasks_TaskID,A211,Tasks_Tier,D211,Tasks_Review,"base")&gt;0),"PENDING REVIEW – priced, not bookable until human approval",IF(COUNTIFS(Tasks_TaskID,A211,Tasks_Tier,D211,Tasks_Review,"as-needed")&gt;0,"Bookable (re-evaluate if regulated as-needed line selected)","Bookable"))</f>
        <v>Bookable</v>
      </c>
    </row>
    <row r="212" customFormat="false" ht="17.15" hidden="false" customHeight="false" outlineLevel="0" collapsed="false">
      <c r="A212" s="2" t="s">
        <v>1267</v>
      </c>
      <c r="B212" s="2" t="s">
        <v>397</v>
      </c>
      <c r="C212" s="2" t="s">
        <v>1268</v>
      </c>
      <c r="D212" s="2" t="s">
        <v>1049</v>
      </c>
      <c r="E212" s="2" t="s">
        <v>1897</v>
      </c>
      <c r="F212" s="3" t="n">
        <f aca="false">INDEX(Sum_Base,MATCH(A212,Sum_BaseTasks,0),MATCH(D212,Sum_BaseTiers,0))</f>
        <v>2862</v>
      </c>
      <c r="G212" s="2" t="str">
        <f aca="false">IF(ISNUMBER(MATCH(A212&amp;"|"&amp;D212,LR_Key,0)),A212&amp;"|"&amp;D212,A212&amp;"|All")</f>
        <v>FIXX-FLR-001|All</v>
      </c>
      <c r="H212" s="3" t="n">
        <f aca="false">IFERROR(INDEX(LR_TypLabor,MATCH(G212,LR_Key,0)),"")</f>
        <v>3560</v>
      </c>
      <c r="I212" s="12" t="n">
        <f aca="false">INDEX(Urg_Mult,MATCH(E212,Urg_Levels,0))</f>
        <v>1.3</v>
      </c>
      <c r="J212" s="3" t="n">
        <f aca="false">IF(ISNUMBER(H212),MAX(H212,IFERROR(INDEX(MW_Floor,MATCH(G212,MW_Key,0)),0))*I212,"")</f>
        <v>4628</v>
      </c>
      <c r="K212" s="3" t="n">
        <f aca="false">IF(ISNUMBER(J212),F212+J212,"")</f>
        <v>7490</v>
      </c>
      <c r="L212" s="3" t="n">
        <f aca="false">IF(ISNUMBER(H212),MAX(H212,IFERROR(INDEX(MW_Floor,MATCH(G212,MW_Key,0)),0))*I212,"")</f>
        <v>4628</v>
      </c>
      <c r="M212" s="2" t="str">
        <f aca="false">IFERROR(INDEX(LR_Flag,MATCH(G212,LR_Key,0)),"")</f>
        <v>none</v>
      </c>
      <c r="N212" s="2" t="str">
        <f aca="false">IFERROR(INDEX(MW_Check,MATCH(G212,MW_Key,0)),"")</f>
        <v>OK</v>
      </c>
      <c r="O212" s="0" t="str">
        <f aca="false">IF(NOT(ISNUMBER(H212)),"LABOR QUOTE NEEDED – total incomplete",IF(N212="BELOW FLOOR","CHECK: typical labor below wage floor – payout and customer labor raised to floor",IF(M212&lt;&gt;"none","Labor rate flagged: "&amp;M212,"OK")))</f>
        <v>OK</v>
      </c>
      <c r="P212" s="0" t="s">
        <v>1270</v>
      </c>
      <c r="Q212" s="8" t="s">
        <v>1271</v>
      </c>
      <c r="R212" s="2" t="str">
        <f aca="false">IF(OR(M212="regulated",COUNTIFS(Tasks_TaskID,A212,Tasks_Tier,D212,Tasks_Review,"base")&gt;0),"PENDING REVIEW – priced, not bookable until human approval",IF(COUNTIFS(Tasks_TaskID,A212,Tasks_Tier,D212,Tasks_Review,"as-needed")&gt;0,"Bookable (re-evaluate if regulated as-needed line selected)","Bookable"))</f>
        <v>Bookable</v>
      </c>
    </row>
    <row r="213" customFormat="false" ht="17.15" hidden="false" customHeight="false" outlineLevel="0" collapsed="false">
      <c r="A213" s="2" t="s">
        <v>1267</v>
      </c>
      <c r="B213" s="2" t="s">
        <v>397</v>
      </c>
      <c r="C213" s="2" t="s">
        <v>1268</v>
      </c>
      <c r="D213" s="2" t="s">
        <v>1049</v>
      </c>
      <c r="E213" s="2" t="s">
        <v>1898</v>
      </c>
      <c r="F213" s="3" t="n">
        <f aca="false">INDEX(Sum_Base,MATCH(A213,Sum_BaseTasks,0),MATCH(D213,Sum_BaseTiers,0))</f>
        <v>2862</v>
      </c>
      <c r="G213" s="2" t="str">
        <f aca="false">IF(ISNUMBER(MATCH(A213&amp;"|"&amp;D213,LR_Key,0)),A213&amp;"|"&amp;D213,A213&amp;"|All")</f>
        <v>FIXX-FLR-001|All</v>
      </c>
      <c r="H213" s="3" t="n">
        <f aca="false">IFERROR(INDEX(LR_TypLabor,MATCH(G213,LR_Key,0)),"")</f>
        <v>3560</v>
      </c>
      <c r="I213" s="12" t="n">
        <f aca="false">INDEX(Urg_Mult,MATCH(E213,Urg_Levels,0))</f>
        <v>1.5</v>
      </c>
      <c r="J213" s="3" t="n">
        <f aca="false">IF(ISNUMBER(H213),MAX(H213,IFERROR(INDEX(MW_Floor,MATCH(G213,MW_Key,0)),0))*I213,"")</f>
        <v>5340</v>
      </c>
      <c r="K213" s="3" t="n">
        <f aca="false">IF(ISNUMBER(J213),F213+J213,"")</f>
        <v>8202</v>
      </c>
      <c r="L213" s="3" t="n">
        <f aca="false">IF(ISNUMBER(H213),MAX(H213,IFERROR(INDEX(MW_Floor,MATCH(G213,MW_Key,0)),0))*I213,"")</f>
        <v>5340</v>
      </c>
      <c r="M213" s="2" t="str">
        <f aca="false">IFERROR(INDEX(LR_Flag,MATCH(G213,LR_Key,0)),"")</f>
        <v>none</v>
      </c>
      <c r="N213" s="2" t="str">
        <f aca="false">IFERROR(INDEX(MW_Check,MATCH(G213,MW_Key,0)),"")</f>
        <v>OK</v>
      </c>
      <c r="O213" s="0" t="str">
        <f aca="false">IF(NOT(ISNUMBER(H213)),"LABOR QUOTE NEEDED – total incomplete",IF(N213="BELOW FLOOR","CHECK: typical labor below wage floor – payout and customer labor raised to floor",IF(M213&lt;&gt;"none","Labor rate flagged: "&amp;M213,"OK")))</f>
        <v>OK</v>
      </c>
      <c r="P213" s="0" t="s">
        <v>1270</v>
      </c>
      <c r="Q213" s="8" t="s">
        <v>1271</v>
      </c>
      <c r="R213" s="2" t="str">
        <f aca="false">IF(OR(M213="regulated",COUNTIFS(Tasks_TaskID,A213,Tasks_Tier,D213,Tasks_Review,"base")&gt;0),"PENDING REVIEW – priced, not bookable until human approval",IF(COUNTIFS(Tasks_TaskID,A213,Tasks_Tier,D213,Tasks_Review,"as-needed")&gt;0,"Bookable (re-evaluate if regulated as-needed line selected)","Bookable"))</f>
        <v>Bookable</v>
      </c>
    </row>
    <row r="214" customFormat="false" ht="17.15" hidden="false" customHeight="false" outlineLevel="0" collapsed="false">
      <c r="A214" s="2" t="s">
        <v>1267</v>
      </c>
      <c r="B214" s="2" t="s">
        <v>397</v>
      </c>
      <c r="C214" s="2" t="s">
        <v>1268</v>
      </c>
      <c r="D214" s="2" t="s">
        <v>1051</v>
      </c>
      <c r="E214" s="2" t="s">
        <v>1895</v>
      </c>
      <c r="F214" s="3" t="n">
        <f aca="false">INDEX(Sum_Base,MATCH(A214,Sum_BaseTasks,0),MATCH(D214,Sum_BaseTiers,0))</f>
        <v>3202</v>
      </c>
      <c r="G214" s="2" t="str">
        <f aca="false">IF(ISNUMBER(MATCH(A214&amp;"|"&amp;D214,LR_Key,0)),A214&amp;"|"&amp;D214,A214&amp;"|All")</f>
        <v>FIXX-FLR-001|All</v>
      </c>
      <c r="H214" s="3" t="n">
        <f aca="false">IFERROR(INDEX(LR_TypLabor,MATCH(G214,LR_Key,0)),"")</f>
        <v>3560</v>
      </c>
      <c r="I214" s="12" t="n">
        <f aca="false">INDEX(Urg_Mult,MATCH(E214,Urg_Levels,0))</f>
        <v>1</v>
      </c>
      <c r="J214" s="3" t="n">
        <f aca="false">IF(ISNUMBER(H214),MAX(H214,IFERROR(INDEX(MW_Floor,MATCH(G214,MW_Key,0)),0))*I214,"")</f>
        <v>3560</v>
      </c>
      <c r="K214" s="3" t="n">
        <f aca="false">IF(ISNUMBER(J214),F214+J214,"")</f>
        <v>6762</v>
      </c>
      <c r="L214" s="3" t="n">
        <f aca="false">IF(ISNUMBER(H214),MAX(H214,IFERROR(INDEX(MW_Floor,MATCH(G214,MW_Key,0)),0))*I214,"")</f>
        <v>3560</v>
      </c>
      <c r="M214" s="2" t="str">
        <f aca="false">IFERROR(INDEX(LR_Flag,MATCH(G214,LR_Key,0)),"")</f>
        <v>none</v>
      </c>
      <c r="N214" s="2" t="str">
        <f aca="false">IFERROR(INDEX(MW_Check,MATCH(G214,MW_Key,0)),"")</f>
        <v>OK</v>
      </c>
      <c r="O214" s="0" t="str">
        <f aca="false">IF(NOT(ISNUMBER(H214)),"LABOR QUOTE NEEDED – total incomplete",IF(N214="BELOW FLOOR","CHECK: typical labor below wage floor – payout and customer labor raised to floor",IF(M214&lt;&gt;"none","Labor rate flagged: "&amp;M214,"OK")))</f>
        <v>OK</v>
      </c>
      <c r="P214" s="0" t="s">
        <v>1270</v>
      </c>
      <c r="Q214" s="8" t="s">
        <v>1271</v>
      </c>
      <c r="R214" s="2" t="str">
        <f aca="false">IF(OR(M214="regulated",COUNTIFS(Tasks_TaskID,A214,Tasks_Tier,D214,Tasks_Review,"base")&gt;0),"PENDING REVIEW – priced, not bookable until human approval",IF(COUNTIFS(Tasks_TaskID,A214,Tasks_Tier,D214,Tasks_Review,"as-needed")&gt;0,"Bookable (re-evaluate if regulated as-needed line selected)","Bookable"))</f>
        <v>Bookable</v>
      </c>
    </row>
    <row r="215" customFormat="false" ht="17.15" hidden="false" customHeight="false" outlineLevel="0" collapsed="false">
      <c r="A215" s="2" t="s">
        <v>1267</v>
      </c>
      <c r="B215" s="2" t="s">
        <v>397</v>
      </c>
      <c r="C215" s="2" t="s">
        <v>1268</v>
      </c>
      <c r="D215" s="2" t="s">
        <v>1051</v>
      </c>
      <c r="E215" s="2" t="s">
        <v>1896</v>
      </c>
      <c r="F215" s="3" t="n">
        <f aca="false">INDEX(Sum_Base,MATCH(A215,Sum_BaseTasks,0),MATCH(D215,Sum_BaseTiers,0))</f>
        <v>3202</v>
      </c>
      <c r="G215" s="2" t="str">
        <f aca="false">IF(ISNUMBER(MATCH(A215&amp;"|"&amp;D215,LR_Key,0)),A215&amp;"|"&amp;D215,A215&amp;"|All")</f>
        <v>FIXX-FLR-001|All</v>
      </c>
      <c r="H215" s="3" t="n">
        <f aca="false">IFERROR(INDEX(LR_TypLabor,MATCH(G215,LR_Key,0)),"")</f>
        <v>3560</v>
      </c>
      <c r="I215" s="12" t="n">
        <f aca="false">INDEX(Urg_Mult,MATCH(E215,Urg_Levels,0))</f>
        <v>1.15</v>
      </c>
      <c r="J215" s="3" t="n">
        <f aca="false">IF(ISNUMBER(H215),MAX(H215,IFERROR(INDEX(MW_Floor,MATCH(G215,MW_Key,0)),0))*I215,"")</f>
        <v>4094</v>
      </c>
      <c r="K215" s="3" t="n">
        <f aca="false">IF(ISNUMBER(J215),F215+J215,"")</f>
        <v>7296</v>
      </c>
      <c r="L215" s="3" t="n">
        <f aca="false">IF(ISNUMBER(H215),MAX(H215,IFERROR(INDEX(MW_Floor,MATCH(G215,MW_Key,0)),0))*I215,"")</f>
        <v>4094</v>
      </c>
      <c r="M215" s="2" t="str">
        <f aca="false">IFERROR(INDEX(LR_Flag,MATCH(G215,LR_Key,0)),"")</f>
        <v>none</v>
      </c>
      <c r="N215" s="2" t="str">
        <f aca="false">IFERROR(INDEX(MW_Check,MATCH(G215,MW_Key,0)),"")</f>
        <v>OK</v>
      </c>
      <c r="O215" s="0" t="str">
        <f aca="false">IF(NOT(ISNUMBER(H215)),"LABOR QUOTE NEEDED – total incomplete",IF(N215="BELOW FLOOR","CHECK: typical labor below wage floor – payout and customer labor raised to floor",IF(M215&lt;&gt;"none","Labor rate flagged: "&amp;M215,"OK")))</f>
        <v>OK</v>
      </c>
      <c r="P215" s="0" t="s">
        <v>1270</v>
      </c>
      <c r="Q215" s="8" t="s">
        <v>1271</v>
      </c>
      <c r="R215" s="2" t="str">
        <f aca="false">IF(OR(M215="regulated",COUNTIFS(Tasks_TaskID,A215,Tasks_Tier,D215,Tasks_Review,"base")&gt;0),"PENDING REVIEW – priced, not bookable until human approval",IF(COUNTIFS(Tasks_TaskID,A215,Tasks_Tier,D215,Tasks_Review,"as-needed")&gt;0,"Bookable (re-evaluate if regulated as-needed line selected)","Bookable"))</f>
        <v>Bookable</v>
      </c>
    </row>
    <row r="216" customFormat="false" ht="17.15" hidden="false" customHeight="false" outlineLevel="0" collapsed="false">
      <c r="A216" s="2" t="s">
        <v>1267</v>
      </c>
      <c r="B216" s="2" t="s">
        <v>397</v>
      </c>
      <c r="C216" s="2" t="s">
        <v>1268</v>
      </c>
      <c r="D216" s="2" t="s">
        <v>1051</v>
      </c>
      <c r="E216" s="2" t="s">
        <v>1897</v>
      </c>
      <c r="F216" s="3" t="n">
        <f aca="false">INDEX(Sum_Base,MATCH(A216,Sum_BaseTasks,0),MATCH(D216,Sum_BaseTiers,0))</f>
        <v>3202</v>
      </c>
      <c r="G216" s="2" t="str">
        <f aca="false">IF(ISNUMBER(MATCH(A216&amp;"|"&amp;D216,LR_Key,0)),A216&amp;"|"&amp;D216,A216&amp;"|All")</f>
        <v>FIXX-FLR-001|All</v>
      </c>
      <c r="H216" s="3" t="n">
        <f aca="false">IFERROR(INDEX(LR_TypLabor,MATCH(G216,LR_Key,0)),"")</f>
        <v>3560</v>
      </c>
      <c r="I216" s="12" t="n">
        <f aca="false">INDEX(Urg_Mult,MATCH(E216,Urg_Levels,0))</f>
        <v>1.3</v>
      </c>
      <c r="J216" s="3" t="n">
        <f aca="false">IF(ISNUMBER(H216),MAX(H216,IFERROR(INDEX(MW_Floor,MATCH(G216,MW_Key,0)),0))*I216,"")</f>
        <v>4628</v>
      </c>
      <c r="K216" s="3" t="n">
        <f aca="false">IF(ISNUMBER(J216),F216+J216,"")</f>
        <v>7830</v>
      </c>
      <c r="L216" s="3" t="n">
        <f aca="false">IF(ISNUMBER(H216),MAX(H216,IFERROR(INDEX(MW_Floor,MATCH(G216,MW_Key,0)),0))*I216,"")</f>
        <v>4628</v>
      </c>
      <c r="M216" s="2" t="str">
        <f aca="false">IFERROR(INDEX(LR_Flag,MATCH(G216,LR_Key,0)),"")</f>
        <v>none</v>
      </c>
      <c r="N216" s="2" t="str">
        <f aca="false">IFERROR(INDEX(MW_Check,MATCH(G216,MW_Key,0)),"")</f>
        <v>OK</v>
      </c>
      <c r="O216" s="0" t="str">
        <f aca="false">IF(NOT(ISNUMBER(H216)),"LABOR QUOTE NEEDED – total incomplete",IF(N216="BELOW FLOOR","CHECK: typical labor below wage floor – payout and customer labor raised to floor",IF(M216&lt;&gt;"none","Labor rate flagged: "&amp;M216,"OK")))</f>
        <v>OK</v>
      </c>
      <c r="P216" s="0" t="s">
        <v>1270</v>
      </c>
      <c r="Q216" s="8" t="s">
        <v>1271</v>
      </c>
      <c r="R216" s="2" t="str">
        <f aca="false">IF(OR(M216="regulated",COUNTIFS(Tasks_TaskID,A216,Tasks_Tier,D216,Tasks_Review,"base")&gt;0),"PENDING REVIEW – priced, not bookable until human approval",IF(COUNTIFS(Tasks_TaskID,A216,Tasks_Tier,D216,Tasks_Review,"as-needed")&gt;0,"Bookable (re-evaluate if regulated as-needed line selected)","Bookable"))</f>
        <v>Bookable</v>
      </c>
    </row>
    <row r="217" customFormat="false" ht="17.15" hidden="false" customHeight="false" outlineLevel="0" collapsed="false">
      <c r="A217" s="2" t="s">
        <v>1267</v>
      </c>
      <c r="B217" s="2" t="s">
        <v>397</v>
      </c>
      <c r="C217" s="2" t="s">
        <v>1268</v>
      </c>
      <c r="D217" s="2" t="s">
        <v>1051</v>
      </c>
      <c r="E217" s="2" t="s">
        <v>1898</v>
      </c>
      <c r="F217" s="3" t="n">
        <f aca="false">INDEX(Sum_Base,MATCH(A217,Sum_BaseTasks,0),MATCH(D217,Sum_BaseTiers,0))</f>
        <v>3202</v>
      </c>
      <c r="G217" s="2" t="str">
        <f aca="false">IF(ISNUMBER(MATCH(A217&amp;"|"&amp;D217,LR_Key,0)),A217&amp;"|"&amp;D217,A217&amp;"|All")</f>
        <v>FIXX-FLR-001|All</v>
      </c>
      <c r="H217" s="3" t="n">
        <f aca="false">IFERROR(INDEX(LR_TypLabor,MATCH(G217,LR_Key,0)),"")</f>
        <v>3560</v>
      </c>
      <c r="I217" s="12" t="n">
        <f aca="false">INDEX(Urg_Mult,MATCH(E217,Urg_Levels,0))</f>
        <v>1.5</v>
      </c>
      <c r="J217" s="3" t="n">
        <f aca="false">IF(ISNUMBER(H217),MAX(H217,IFERROR(INDEX(MW_Floor,MATCH(G217,MW_Key,0)),0))*I217,"")</f>
        <v>5340</v>
      </c>
      <c r="K217" s="3" t="n">
        <f aca="false">IF(ISNUMBER(J217),F217+J217,"")</f>
        <v>8542</v>
      </c>
      <c r="L217" s="3" t="n">
        <f aca="false">IF(ISNUMBER(H217),MAX(H217,IFERROR(INDEX(MW_Floor,MATCH(G217,MW_Key,0)),0))*I217,"")</f>
        <v>5340</v>
      </c>
      <c r="M217" s="2" t="str">
        <f aca="false">IFERROR(INDEX(LR_Flag,MATCH(G217,LR_Key,0)),"")</f>
        <v>none</v>
      </c>
      <c r="N217" s="2" t="str">
        <f aca="false">IFERROR(INDEX(MW_Check,MATCH(G217,MW_Key,0)),"")</f>
        <v>OK</v>
      </c>
      <c r="O217" s="0" t="str">
        <f aca="false">IF(NOT(ISNUMBER(H217)),"LABOR QUOTE NEEDED – total incomplete",IF(N217="BELOW FLOOR","CHECK: typical labor below wage floor – payout and customer labor raised to floor",IF(M217&lt;&gt;"none","Labor rate flagged: "&amp;M217,"OK")))</f>
        <v>OK</v>
      </c>
      <c r="P217" s="0" t="s">
        <v>1270</v>
      </c>
      <c r="Q217" s="8" t="s">
        <v>1271</v>
      </c>
      <c r="R217" s="2" t="str">
        <f aca="false">IF(OR(M217="regulated",COUNTIFS(Tasks_TaskID,A217,Tasks_Tier,D217,Tasks_Review,"base")&gt;0),"PENDING REVIEW – priced, not bookable until human approval",IF(COUNTIFS(Tasks_TaskID,A217,Tasks_Tier,D217,Tasks_Review,"as-needed")&gt;0,"Bookable (re-evaluate if regulated as-needed line selected)","Bookable"))</f>
        <v>Bookable</v>
      </c>
    </row>
    <row r="218" customFormat="false" ht="15" hidden="false" customHeight="false" outlineLevel="0" collapsed="false">
      <c r="A218" s="2" t="s">
        <v>1284</v>
      </c>
      <c r="B218" s="2" t="s">
        <v>397</v>
      </c>
      <c r="C218" s="2" t="s">
        <v>1285</v>
      </c>
      <c r="D218" s="2" t="s">
        <v>1042</v>
      </c>
      <c r="E218" s="2" t="s">
        <v>1895</v>
      </c>
      <c r="F218" s="3" t="n">
        <f aca="false">INDEX(Sum_Base,MATCH(A218,Sum_BaseTasks,0),MATCH(D218,Sum_BaseTiers,0))</f>
        <v>398</v>
      </c>
      <c r="G218" s="2" t="str">
        <f aca="false">IF(ISNUMBER(MATCH(A218&amp;"|"&amp;D218,LR_Key,0)),A218&amp;"|"&amp;D218,A218&amp;"|All")</f>
        <v>FIXX-FLR-002|All</v>
      </c>
      <c r="H218" s="3" t="n">
        <f aca="false">IFERROR(INDEX(LR_TypLabor,MATCH(G218,LR_Key,0)),"")</f>
        <v>2000</v>
      </c>
      <c r="I218" s="12" t="n">
        <f aca="false">INDEX(Urg_Mult,MATCH(E218,Urg_Levels,0))</f>
        <v>1</v>
      </c>
      <c r="J218" s="3" t="n">
        <f aca="false">IF(ISNUMBER(H218),MAX(H218,IFERROR(INDEX(MW_Floor,MATCH(G218,MW_Key,0)),0))*I218,"")</f>
        <v>2000</v>
      </c>
      <c r="K218" s="3" t="n">
        <f aca="false">IF(ISNUMBER(J218),F218+J218,"")</f>
        <v>2398</v>
      </c>
      <c r="L218" s="3" t="n">
        <f aca="false">IF(ISNUMBER(H218),MAX(H218,IFERROR(INDEX(MW_Floor,MATCH(G218,MW_Key,0)),0))*I218,"")</f>
        <v>2000</v>
      </c>
      <c r="M218" s="2" t="str">
        <f aca="false">IFERROR(INDEX(LR_Flag,MATCH(G218,LR_Key,0)),"")</f>
        <v>none</v>
      </c>
      <c r="N218" s="2" t="str">
        <f aca="false">IFERROR(INDEX(MW_Check,MATCH(G218,MW_Key,0)),"")</f>
        <v>OK</v>
      </c>
      <c r="O218" s="0" t="str">
        <f aca="false">IF(NOT(ISNUMBER(H218)),"LABOR QUOTE NEEDED – total incomplete",IF(N218="BELOW FLOOR","CHECK: typical labor below wage floor – payout and customer labor raised to floor",IF(M218&lt;&gt;"none","Labor rate flagged: "&amp;M218,"OK")))</f>
        <v>OK</v>
      </c>
      <c r="P218" s="0" t="s">
        <v>1286</v>
      </c>
      <c r="Q218" s="8" t="s">
        <v>1287</v>
      </c>
      <c r="R218" s="2" t="str">
        <f aca="false">IF(OR(M218="regulated",COUNTIFS(Tasks_TaskID,A218,Tasks_Tier,D218,Tasks_Review,"base")&gt;0),"PENDING REVIEW – priced, not bookable until human approval",IF(COUNTIFS(Tasks_TaskID,A218,Tasks_Tier,D218,Tasks_Review,"as-needed")&gt;0,"Bookable (re-evaluate if regulated as-needed line selected)","Bookable"))</f>
        <v>Bookable</v>
      </c>
    </row>
    <row r="219" customFormat="false" ht="15" hidden="false" customHeight="false" outlineLevel="0" collapsed="false">
      <c r="A219" s="2" t="s">
        <v>1284</v>
      </c>
      <c r="B219" s="2" t="s">
        <v>397</v>
      </c>
      <c r="C219" s="2" t="s">
        <v>1285</v>
      </c>
      <c r="D219" s="2" t="s">
        <v>1042</v>
      </c>
      <c r="E219" s="2" t="s">
        <v>1896</v>
      </c>
      <c r="F219" s="3" t="n">
        <f aca="false">INDEX(Sum_Base,MATCH(A219,Sum_BaseTasks,0),MATCH(D219,Sum_BaseTiers,0))</f>
        <v>398</v>
      </c>
      <c r="G219" s="2" t="str">
        <f aca="false">IF(ISNUMBER(MATCH(A219&amp;"|"&amp;D219,LR_Key,0)),A219&amp;"|"&amp;D219,A219&amp;"|All")</f>
        <v>FIXX-FLR-002|All</v>
      </c>
      <c r="H219" s="3" t="n">
        <f aca="false">IFERROR(INDEX(LR_TypLabor,MATCH(G219,LR_Key,0)),"")</f>
        <v>2000</v>
      </c>
      <c r="I219" s="12" t="n">
        <f aca="false">INDEX(Urg_Mult,MATCH(E219,Urg_Levels,0))</f>
        <v>1.15</v>
      </c>
      <c r="J219" s="3" t="n">
        <f aca="false">IF(ISNUMBER(H219),MAX(H219,IFERROR(INDEX(MW_Floor,MATCH(G219,MW_Key,0)),0))*I219,"")</f>
        <v>2300</v>
      </c>
      <c r="K219" s="3" t="n">
        <f aca="false">IF(ISNUMBER(J219),F219+J219,"")</f>
        <v>2698</v>
      </c>
      <c r="L219" s="3" t="n">
        <f aca="false">IF(ISNUMBER(H219),MAX(H219,IFERROR(INDEX(MW_Floor,MATCH(G219,MW_Key,0)),0))*I219,"")</f>
        <v>2300</v>
      </c>
      <c r="M219" s="2" t="str">
        <f aca="false">IFERROR(INDEX(LR_Flag,MATCH(G219,LR_Key,0)),"")</f>
        <v>none</v>
      </c>
      <c r="N219" s="2" t="str">
        <f aca="false">IFERROR(INDEX(MW_Check,MATCH(G219,MW_Key,0)),"")</f>
        <v>OK</v>
      </c>
      <c r="O219" s="0" t="str">
        <f aca="false">IF(NOT(ISNUMBER(H219)),"LABOR QUOTE NEEDED – total incomplete",IF(N219="BELOW FLOOR","CHECK: typical labor below wage floor – payout and customer labor raised to floor",IF(M219&lt;&gt;"none","Labor rate flagged: "&amp;M219,"OK")))</f>
        <v>OK</v>
      </c>
      <c r="P219" s="0" t="s">
        <v>1286</v>
      </c>
      <c r="Q219" s="8" t="s">
        <v>1287</v>
      </c>
      <c r="R219" s="2" t="str">
        <f aca="false">IF(OR(M219="regulated",COUNTIFS(Tasks_TaskID,A219,Tasks_Tier,D219,Tasks_Review,"base")&gt;0),"PENDING REVIEW – priced, not bookable until human approval",IF(COUNTIFS(Tasks_TaskID,A219,Tasks_Tier,D219,Tasks_Review,"as-needed")&gt;0,"Bookable (re-evaluate if regulated as-needed line selected)","Bookable"))</f>
        <v>Bookable</v>
      </c>
    </row>
    <row r="220" customFormat="false" ht="15" hidden="false" customHeight="false" outlineLevel="0" collapsed="false">
      <c r="A220" s="2" t="s">
        <v>1284</v>
      </c>
      <c r="B220" s="2" t="s">
        <v>397</v>
      </c>
      <c r="C220" s="2" t="s">
        <v>1285</v>
      </c>
      <c r="D220" s="2" t="s">
        <v>1042</v>
      </c>
      <c r="E220" s="2" t="s">
        <v>1897</v>
      </c>
      <c r="F220" s="3" t="n">
        <f aca="false">INDEX(Sum_Base,MATCH(A220,Sum_BaseTasks,0),MATCH(D220,Sum_BaseTiers,0))</f>
        <v>398</v>
      </c>
      <c r="G220" s="2" t="str">
        <f aca="false">IF(ISNUMBER(MATCH(A220&amp;"|"&amp;D220,LR_Key,0)),A220&amp;"|"&amp;D220,A220&amp;"|All")</f>
        <v>FIXX-FLR-002|All</v>
      </c>
      <c r="H220" s="3" t="n">
        <f aca="false">IFERROR(INDEX(LR_TypLabor,MATCH(G220,LR_Key,0)),"")</f>
        <v>2000</v>
      </c>
      <c r="I220" s="12" t="n">
        <f aca="false">INDEX(Urg_Mult,MATCH(E220,Urg_Levels,0))</f>
        <v>1.3</v>
      </c>
      <c r="J220" s="3" t="n">
        <f aca="false">IF(ISNUMBER(H220),MAX(H220,IFERROR(INDEX(MW_Floor,MATCH(G220,MW_Key,0)),0))*I220,"")</f>
        <v>2600</v>
      </c>
      <c r="K220" s="3" t="n">
        <f aca="false">IF(ISNUMBER(J220),F220+J220,"")</f>
        <v>2998</v>
      </c>
      <c r="L220" s="3" t="n">
        <f aca="false">IF(ISNUMBER(H220),MAX(H220,IFERROR(INDEX(MW_Floor,MATCH(G220,MW_Key,0)),0))*I220,"")</f>
        <v>2600</v>
      </c>
      <c r="M220" s="2" t="str">
        <f aca="false">IFERROR(INDEX(LR_Flag,MATCH(G220,LR_Key,0)),"")</f>
        <v>none</v>
      </c>
      <c r="N220" s="2" t="str">
        <f aca="false">IFERROR(INDEX(MW_Check,MATCH(G220,MW_Key,0)),"")</f>
        <v>OK</v>
      </c>
      <c r="O220" s="0" t="str">
        <f aca="false">IF(NOT(ISNUMBER(H220)),"LABOR QUOTE NEEDED – total incomplete",IF(N220="BELOW FLOOR","CHECK: typical labor below wage floor – payout and customer labor raised to floor",IF(M220&lt;&gt;"none","Labor rate flagged: "&amp;M220,"OK")))</f>
        <v>OK</v>
      </c>
      <c r="P220" s="0" t="s">
        <v>1286</v>
      </c>
      <c r="Q220" s="8" t="s">
        <v>1287</v>
      </c>
      <c r="R220" s="2" t="str">
        <f aca="false">IF(OR(M220="regulated",COUNTIFS(Tasks_TaskID,A220,Tasks_Tier,D220,Tasks_Review,"base")&gt;0),"PENDING REVIEW – priced, not bookable until human approval",IF(COUNTIFS(Tasks_TaskID,A220,Tasks_Tier,D220,Tasks_Review,"as-needed")&gt;0,"Bookable (re-evaluate if regulated as-needed line selected)","Bookable"))</f>
        <v>Bookable</v>
      </c>
    </row>
    <row r="221" customFormat="false" ht="15" hidden="false" customHeight="false" outlineLevel="0" collapsed="false">
      <c r="A221" s="2" t="s">
        <v>1284</v>
      </c>
      <c r="B221" s="2" t="s">
        <v>397</v>
      </c>
      <c r="C221" s="2" t="s">
        <v>1285</v>
      </c>
      <c r="D221" s="2" t="s">
        <v>1042</v>
      </c>
      <c r="E221" s="2" t="s">
        <v>1898</v>
      </c>
      <c r="F221" s="3" t="n">
        <f aca="false">INDEX(Sum_Base,MATCH(A221,Sum_BaseTasks,0),MATCH(D221,Sum_BaseTiers,0))</f>
        <v>398</v>
      </c>
      <c r="G221" s="2" t="str">
        <f aca="false">IF(ISNUMBER(MATCH(A221&amp;"|"&amp;D221,LR_Key,0)),A221&amp;"|"&amp;D221,A221&amp;"|All")</f>
        <v>FIXX-FLR-002|All</v>
      </c>
      <c r="H221" s="3" t="n">
        <f aca="false">IFERROR(INDEX(LR_TypLabor,MATCH(G221,LR_Key,0)),"")</f>
        <v>2000</v>
      </c>
      <c r="I221" s="12" t="n">
        <f aca="false">INDEX(Urg_Mult,MATCH(E221,Urg_Levels,0))</f>
        <v>1.5</v>
      </c>
      <c r="J221" s="3" t="n">
        <f aca="false">IF(ISNUMBER(H221),MAX(H221,IFERROR(INDEX(MW_Floor,MATCH(G221,MW_Key,0)),0))*I221,"")</f>
        <v>3000</v>
      </c>
      <c r="K221" s="3" t="n">
        <f aca="false">IF(ISNUMBER(J221),F221+J221,"")</f>
        <v>3398</v>
      </c>
      <c r="L221" s="3" t="n">
        <f aca="false">IF(ISNUMBER(H221),MAX(H221,IFERROR(INDEX(MW_Floor,MATCH(G221,MW_Key,0)),0))*I221,"")</f>
        <v>3000</v>
      </c>
      <c r="M221" s="2" t="str">
        <f aca="false">IFERROR(INDEX(LR_Flag,MATCH(G221,LR_Key,0)),"")</f>
        <v>none</v>
      </c>
      <c r="N221" s="2" t="str">
        <f aca="false">IFERROR(INDEX(MW_Check,MATCH(G221,MW_Key,0)),"")</f>
        <v>OK</v>
      </c>
      <c r="O221" s="0" t="str">
        <f aca="false">IF(NOT(ISNUMBER(H221)),"LABOR QUOTE NEEDED – total incomplete",IF(N221="BELOW FLOOR","CHECK: typical labor below wage floor – payout and customer labor raised to floor",IF(M221&lt;&gt;"none","Labor rate flagged: "&amp;M221,"OK")))</f>
        <v>OK</v>
      </c>
      <c r="P221" s="0" t="s">
        <v>1286</v>
      </c>
      <c r="Q221" s="8" t="s">
        <v>1287</v>
      </c>
      <c r="R221" s="2" t="str">
        <f aca="false">IF(OR(M221="regulated",COUNTIFS(Tasks_TaskID,A221,Tasks_Tier,D221,Tasks_Review,"base")&gt;0),"PENDING REVIEW – priced, not bookable until human approval",IF(COUNTIFS(Tasks_TaskID,A221,Tasks_Tier,D221,Tasks_Review,"as-needed")&gt;0,"Bookable (re-evaluate if regulated as-needed line selected)","Bookable"))</f>
        <v>Bookable</v>
      </c>
    </row>
    <row r="222" customFormat="false" ht="15" hidden="false" customHeight="false" outlineLevel="0" collapsed="false">
      <c r="A222" s="2" t="s">
        <v>1284</v>
      </c>
      <c r="B222" s="2" t="s">
        <v>397</v>
      </c>
      <c r="C222" s="2" t="s">
        <v>1285</v>
      </c>
      <c r="D222" s="2" t="s">
        <v>1049</v>
      </c>
      <c r="E222" s="2" t="s">
        <v>1895</v>
      </c>
      <c r="F222" s="3" t="n">
        <f aca="false">INDEX(Sum_Base,MATCH(A222,Sum_BaseTasks,0),MATCH(D222,Sum_BaseTiers,0))</f>
        <v>547</v>
      </c>
      <c r="G222" s="2" t="str">
        <f aca="false">IF(ISNUMBER(MATCH(A222&amp;"|"&amp;D222,LR_Key,0)),A222&amp;"|"&amp;D222,A222&amp;"|All")</f>
        <v>FIXX-FLR-002|All</v>
      </c>
      <c r="H222" s="3" t="n">
        <f aca="false">IFERROR(INDEX(LR_TypLabor,MATCH(G222,LR_Key,0)),"")</f>
        <v>2000</v>
      </c>
      <c r="I222" s="12" t="n">
        <f aca="false">INDEX(Urg_Mult,MATCH(E222,Urg_Levels,0))</f>
        <v>1</v>
      </c>
      <c r="J222" s="3" t="n">
        <f aca="false">IF(ISNUMBER(H222),MAX(H222,IFERROR(INDEX(MW_Floor,MATCH(G222,MW_Key,0)),0))*I222,"")</f>
        <v>2000</v>
      </c>
      <c r="K222" s="3" t="n">
        <f aca="false">IF(ISNUMBER(J222),F222+J222,"")</f>
        <v>2547</v>
      </c>
      <c r="L222" s="3" t="n">
        <f aca="false">IF(ISNUMBER(H222),MAX(H222,IFERROR(INDEX(MW_Floor,MATCH(G222,MW_Key,0)),0))*I222,"")</f>
        <v>2000</v>
      </c>
      <c r="M222" s="2" t="str">
        <f aca="false">IFERROR(INDEX(LR_Flag,MATCH(G222,LR_Key,0)),"")</f>
        <v>none</v>
      </c>
      <c r="N222" s="2" t="str">
        <f aca="false">IFERROR(INDEX(MW_Check,MATCH(G222,MW_Key,0)),"")</f>
        <v>OK</v>
      </c>
      <c r="O222" s="0" t="str">
        <f aca="false">IF(NOT(ISNUMBER(H222)),"LABOR QUOTE NEEDED – total incomplete",IF(N222="BELOW FLOOR","CHECK: typical labor below wage floor – payout and customer labor raised to floor",IF(M222&lt;&gt;"none","Labor rate flagged: "&amp;M222,"OK")))</f>
        <v>OK</v>
      </c>
      <c r="P222" s="0" t="s">
        <v>1286</v>
      </c>
      <c r="Q222" s="8" t="s">
        <v>1287</v>
      </c>
      <c r="R222" s="2" t="str">
        <f aca="false">IF(OR(M222="regulated",COUNTIFS(Tasks_TaskID,A222,Tasks_Tier,D222,Tasks_Review,"base")&gt;0),"PENDING REVIEW – priced, not bookable until human approval",IF(COUNTIFS(Tasks_TaskID,A222,Tasks_Tier,D222,Tasks_Review,"as-needed")&gt;0,"Bookable (re-evaluate if regulated as-needed line selected)","Bookable"))</f>
        <v>Bookable</v>
      </c>
    </row>
    <row r="223" customFormat="false" ht="15" hidden="false" customHeight="false" outlineLevel="0" collapsed="false">
      <c r="A223" s="2" t="s">
        <v>1284</v>
      </c>
      <c r="B223" s="2" t="s">
        <v>397</v>
      </c>
      <c r="C223" s="2" t="s">
        <v>1285</v>
      </c>
      <c r="D223" s="2" t="s">
        <v>1049</v>
      </c>
      <c r="E223" s="2" t="s">
        <v>1896</v>
      </c>
      <c r="F223" s="3" t="n">
        <f aca="false">INDEX(Sum_Base,MATCH(A223,Sum_BaseTasks,0),MATCH(D223,Sum_BaseTiers,0))</f>
        <v>547</v>
      </c>
      <c r="G223" s="2" t="str">
        <f aca="false">IF(ISNUMBER(MATCH(A223&amp;"|"&amp;D223,LR_Key,0)),A223&amp;"|"&amp;D223,A223&amp;"|All")</f>
        <v>FIXX-FLR-002|All</v>
      </c>
      <c r="H223" s="3" t="n">
        <f aca="false">IFERROR(INDEX(LR_TypLabor,MATCH(G223,LR_Key,0)),"")</f>
        <v>2000</v>
      </c>
      <c r="I223" s="12" t="n">
        <f aca="false">INDEX(Urg_Mult,MATCH(E223,Urg_Levels,0))</f>
        <v>1.15</v>
      </c>
      <c r="J223" s="3" t="n">
        <f aca="false">IF(ISNUMBER(H223),MAX(H223,IFERROR(INDEX(MW_Floor,MATCH(G223,MW_Key,0)),0))*I223,"")</f>
        <v>2300</v>
      </c>
      <c r="K223" s="3" t="n">
        <f aca="false">IF(ISNUMBER(J223),F223+J223,"")</f>
        <v>2847</v>
      </c>
      <c r="L223" s="3" t="n">
        <f aca="false">IF(ISNUMBER(H223),MAX(H223,IFERROR(INDEX(MW_Floor,MATCH(G223,MW_Key,0)),0))*I223,"")</f>
        <v>2300</v>
      </c>
      <c r="M223" s="2" t="str">
        <f aca="false">IFERROR(INDEX(LR_Flag,MATCH(G223,LR_Key,0)),"")</f>
        <v>none</v>
      </c>
      <c r="N223" s="2" t="str">
        <f aca="false">IFERROR(INDEX(MW_Check,MATCH(G223,MW_Key,0)),"")</f>
        <v>OK</v>
      </c>
      <c r="O223" s="0" t="str">
        <f aca="false">IF(NOT(ISNUMBER(H223)),"LABOR QUOTE NEEDED – total incomplete",IF(N223="BELOW FLOOR","CHECK: typical labor below wage floor – payout and customer labor raised to floor",IF(M223&lt;&gt;"none","Labor rate flagged: "&amp;M223,"OK")))</f>
        <v>OK</v>
      </c>
      <c r="P223" s="0" t="s">
        <v>1286</v>
      </c>
      <c r="Q223" s="8" t="s">
        <v>1287</v>
      </c>
      <c r="R223" s="2" t="str">
        <f aca="false">IF(OR(M223="regulated",COUNTIFS(Tasks_TaskID,A223,Tasks_Tier,D223,Tasks_Review,"base")&gt;0),"PENDING REVIEW – priced, not bookable until human approval",IF(COUNTIFS(Tasks_TaskID,A223,Tasks_Tier,D223,Tasks_Review,"as-needed")&gt;0,"Bookable (re-evaluate if regulated as-needed line selected)","Bookable"))</f>
        <v>Bookable</v>
      </c>
    </row>
    <row r="224" customFormat="false" ht="15" hidden="false" customHeight="false" outlineLevel="0" collapsed="false">
      <c r="A224" s="2" t="s">
        <v>1284</v>
      </c>
      <c r="B224" s="2" t="s">
        <v>397</v>
      </c>
      <c r="C224" s="2" t="s">
        <v>1285</v>
      </c>
      <c r="D224" s="2" t="s">
        <v>1049</v>
      </c>
      <c r="E224" s="2" t="s">
        <v>1897</v>
      </c>
      <c r="F224" s="3" t="n">
        <f aca="false">INDEX(Sum_Base,MATCH(A224,Sum_BaseTasks,0),MATCH(D224,Sum_BaseTiers,0))</f>
        <v>547</v>
      </c>
      <c r="G224" s="2" t="str">
        <f aca="false">IF(ISNUMBER(MATCH(A224&amp;"|"&amp;D224,LR_Key,0)),A224&amp;"|"&amp;D224,A224&amp;"|All")</f>
        <v>FIXX-FLR-002|All</v>
      </c>
      <c r="H224" s="3" t="n">
        <f aca="false">IFERROR(INDEX(LR_TypLabor,MATCH(G224,LR_Key,0)),"")</f>
        <v>2000</v>
      </c>
      <c r="I224" s="12" t="n">
        <f aca="false">INDEX(Urg_Mult,MATCH(E224,Urg_Levels,0))</f>
        <v>1.3</v>
      </c>
      <c r="J224" s="3" t="n">
        <f aca="false">IF(ISNUMBER(H224),MAX(H224,IFERROR(INDEX(MW_Floor,MATCH(G224,MW_Key,0)),0))*I224,"")</f>
        <v>2600</v>
      </c>
      <c r="K224" s="3" t="n">
        <f aca="false">IF(ISNUMBER(J224),F224+J224,"")</f>
        <v>3147</v>
      </c>
      <c r="L224" s="3" t="n">
        <f aca="false">IF(ISNUMBER(H224),MAX(H224,IFERROR(INDEX(MW_Floor,MATCH(G224,MW_Key,0)),0))*I224,"")</f>
        <v>2600</v>
      </c>
      <c r="M224" s="2" t="str">
        <f aca="false">IFERROR(INDEX(LR_Flag,MATCH(G224,LR_Key,0)),"")</f>
        <v>none</v>
      </c>
      <c r="N224" s="2" t="str">
        <f aca="false">IFERROR(INDEX(MW_Check,MATCH(G224,MW_Key,0)),"")</f>
        <v>OK</v>
      </c>
      <c r="O224" s="0" t="str">
        <f aca="false">IF(NOT(ISNUMBER(H224)),"LABOR QUOTE NEEDED – total incomplete",IF(N224="BELOW FLOOR","CHECK: typical labor below wage floor – payout and customer labor raised to floor",IF(M224&lt;&gt;"none","Labor rate flagged: "&amp;M224,"OK")))</f>
        <v>OK</v>
      </c>
      <c r="P224" s="0" t="s">
        <v>1286</v>
      </c>
      <c r="Q224" s="8" t="s">
        <v>1287</v>
      </c>
      <c r="R224" s="2" t="str">
        <f aca="false">IF(OR(M224="regulated",COUNTIFS(Tasks_TaskID,A224,Tasks_Tier,D224,Tasks_Review,"base")&gt;0),"PENDING REVIEW – priced, not bookable until human approval",IF(COUNTIFS(Tasks_TaskID,A224,Tasks_Tier,D224,Tasks_Review,"as-needed")&gt;0,"Bookable (re-evaluate if regulated as-needed line selected)","Bookable"))</f>
        <v>Bookable</v>
      </c>
    </row>
    <row r="225" customFormat="false" ht="15" hidden="false" customHeight="false" outlineLevel="0" collapsed="false">
      <c r="A225" s="2" t="s">
        <v>1284</v>
      </c>
      <c r="B225" s="2" t="s">
        <v>397</v>
      </c>
      <c r="C225" s="2" t="s">
        <v>1285</v>
      </c>
      <c r="D225" s="2" t="s">
        <v>1049</v>
      </c>
      <c r="E225" s="2" t="s">
        <v>1898</v>
      </c>
      <c r="F225" s="3" t="n">
        <f aca="false">INDEX(Sum_Base,MATCH(A225,Sum_BaseTasks,0),MATCH(D225,Sum_BaseTiers,0))</f>
        <v>547</v>
      </c>
      <c r="G225" s="2" t="str">
        <f aca="false">IF(ISNUMBER(MATCH(A225&amp;"|"&amp;D225,LR_Key,0)),A225&amp;"|"&amp;D225,A225&amp;"|All")</f>
        <v>FIXX-FLR-002|All</v>
      </c>
      <c r="H225" s="3" t="n">
        <f aca="false">IFERROR(INDEX(LR_TypLabor,MATCH(G225,LR_Key,0)),"")</f>
        <v>2000</v>
      </c>
      <c r="I225" s="12" t="n">
        <f aca="false">INDEX(Urg_Mult,MATCH(E225,Urg_Levels,0))</f>
        <v>1.5</v>
      </c>
      <c r="J225" s="3" t="n">
        <f aca="false">IF(ISNUMBER(H225),MAX(H225,IFERROR(INDEX(MW_Floor,MATCH(G225,MW_Key,0)),0))*I225,"")</f>
        <v>3000</v>
      </c>
      <c r="K225" s="3" t="n">
        <f aca="false">IF(ISNUMBER(J225),F225+J225,"")</f>
        <v>3547</v>
      </c>
      <c r="L225" s="3" t="n">
        <f aca="false">IF(ISNUMBER(H225),MAX(H225,IFERROR(INDEX(MW_Floor,MATCH(G225,MW_Key,0)),0))*I225,"")</f>
        <v>3000</v>
      </c>
      <c r="M225" s="2" t="str">
        <f aca="false">IFERROR(INDEX(LR_Flag,MATCH(G225,LR_Key,0)),"")</f>
        <v>none</v>
      </c>
      <c r="N225" s="2" t="str">
        <f aca="false">IFERROR(INDEX(MW_Check,MATCH(G225,MW_Key,0)),"")</f>
        <v>OK</v>
      </c>
      <c r="O225" s="0" t="str">
        <f aca="false">IF(NOT(ISNUMBER(H225)),"LABOR QUOTE NEEDED – total incomplete",IF(N225="BELOW FLOOR","CHECK: typical labor below wage floor – payout and customer labor raised to floor",IF(M225&lt;&gt;"none","Labor rate flagged: "&amp;M225,"OK")))</f>
        <v>OK</v>
      </c>
      <c r="P225" s="0" t="s">
        <v>1286</v>
      </c>
      <c r="Q225" s="8" t="s">
        <v>1287</v>
      </c>
      <c r="R225" s="2" t="str">
        <f aca="false">IF(OR(M225="regulated",COUNTIFS(Tasks_TaskID,A225,Tasks_Tier,D225,Tasks_Review,"base")&gt;0),"PENDING REVIEW – priced, not bookable until human approval",IF(COUNTIFS(Tasks_TaskID,A225,Tasks_Tier,D225,Tasks_Review,"as-needed")&gt;0,"Bookable (re-evaluate if regulated as-needed line selected)","Bookable"))</f>
        <v>Bookable</v>
      </c>
    </row>
    <row r="226" customFormat="false" ht="15" hidden="false" customHeight="false" outlineLevel="0" collapsed="false">
      <c r="A226" s="2" t="s">
        <v>1284</v>
      </c>
      <c r="B226" s="2" t="s">
        <v>397</v>
      </c>
      <c r="C226" s="2" t="s">
        <v>1285</v>
      </c>
      <c r="D226" s="2" t="s">
        <v>1051</v>
      </c>
      <c r="E226" s="2" t="s">
        <v>1895</v>
      </c>
      <c r="F226" s="3" t="n">
        <f aca="false">INDEX(Sum_Base,MATCH(A226,Sum_BaseTasks,0),MATCH(D226,Sum_BaseTiers,0))</f>
        <v>583</v>
      </c>
      <c r="G226" s="2" t="str">
        <f aca="false">IF(ISNUMBER(MATCH(A226&amp;"|"&amp;D226,LR_Key,0)),A226&amp;"|"&amp;D226,A226&amp;"|All")</f>
        <v>FIXX-FLR-002|All</v>
      </c>
      <c r="H226" s="3" t="n">
        <f aca="false">IFERROR(INDEX(LR_TypLabor,MATCH(G226,LR_Key,0)),"")</f>
        <v>2000</v>
      </c>
      <c r="I226" s="12" t="n">
        <f aca="false">INDEX(Urg_Mult,MATCH(E226,Urg_Levels,0))</f>
        <v>1</v>
      </c>
      <c r="J226" s="3" t="n">
        <f aca="false">IF(ISNUMBER(H226),MAX(H226,IFERROR(INDEX(MW_Floor,MATCH(G226,MW_Key,0)),0))*I226,"")</f>
        <v>2000</v>
      </c>
      <c r="K226" s="3" t="n">
        <f aca="false">IF(ISNUMBER(J226),F226+J226,"")</f>
        <v>2583</v>
      </c>
      <c r="L226" s="3" t="n">
        <f aca="false">IF(ISNUMBER(H226),MAX(H226,IFERROR(INDEX(MW_Floor,MATCH(G226,MW_Key,0)),0))*I226,"")</f>
        <v>2000</v>
      </c>
      <c r="M226" s="2" t="str">
        <f aca="false">IFERROR(INDEX(LR_Flag,MATCH(G226,LR_Key,0)),"")</f>
        <v>none</v>
      </c>
      <c r="N226" s="2" t="str">
        <f aca="false">IFERROR(INDEX(MW_Check,MATCH(G226,MW_Key,0)),"")</f>
        <v>OK</v>
      </c>
      <c r="O226" s="0" t="str">
        <f aca="false">IF(NOT(ISNUMBER(H226)),"LABOR QUOTE NEEDED – total incomplete",IF(N226="BELOW FLOOR","CHECK: typical labor below wage floor – payout and customer labor raised to floor",IF(M226&lt;&gt;"none","Labor rate flagged: "&amp;M226,"OK")))</f>
        <v>OK</v>
      </c>
      <c r="P226" s="0" t="s">
        <v>1286</v>
      </c>
      <c r="Q226" s="8" t="s">
        <v>1287</v>
      </c>
      <c r="R226" s="2" t="str">
        <f aca="false">IF(OR(M226="regulated",COUNTIFS(Tasks_TaskID,A226,Tasks_Tier,D226,Tasks_Review,"base")&gt;0),"PENDING REVIEW – priced, not bookable until human approval",IF(COUNTIFS(Tasks_TaskID,A226,Tasks_Tier,D226,Tasks_Review,"as-needed")&gt;0,"Bookable (re-evaluate if regulated as-needed line selected)","Bookable"))</f>
        <v>Bookable</v>
      </c>
    </row>
    <row r="227" customFormat="false" ht="15" hidden="false" customHeight="false" outlineLevel="0" collapsed="false">
      <c r="A227" s="2" t="s">
        <v>1284</v>
      </c>
      <c r="B227" s="2" t="s">
        <v>397</v>
      </c>
      <c r="C227" s="2" t="s">
        <v>1285</v>
      </c>
      <c r="D227" s="2" t="s">
        <v>1051</v>
      </c>
      <c r="E227" s="2" t="s">
        <v>1896</v>
      </c>
      <c r="F227" s="3" t="n">
        <f aca="false">INDEX(Sum_Base,MATCH(A227,Sum_BaseTasks,0),MATCH(D227,Sum_BaseTiers,0))</f>
        <v>583</v>
      </c>
      <c r="G227" s="2" t="str">
        <f aca="false">IF(ISNUMBER(MATCH(A227&amp;"|"&amp;D227,LR_Key,0)),A227&amp;"|"&amp;D227,A227&amp;"|All")</f>
        <v>FIXX-FLR-002|All</v>
      </c>
      <c r="H227" s="3" t="n">
        <f aca="false">IFERROR(INDEX(LR_TypLabor,MATCH(G227,LR_Key,0)),"")</f>
        <v>2000</v>
      </c>
      <c r="I227" s="12" t="n">
        <f aca="false">INDEX(Urg_Mult,MATCH(E227,Urg_Levels,0))</f>
        <v>1.15</v>
      </c>
      <c r="J227" s="3" t="n">
        <f aca="false">IF(ISNUMBER(H227),MAX(H227,IFERROR(INDEX(MW_Floor,MATCH(G227,MW_Key,0)),0))*I227,"")</f>
        <v>2300</v>
      </c>
      <c r="K227" s="3" t="n">
        <f aca="false">IF(ISNUMBER(J227),F227+J227,"")</f>
        <v>2883</v>
      </c>
      <c r="L227" s="3" t="n">
        <f aca="false">IF(ISNUMBER(H227),MAX(H227,IFERROR(INDEX(MW_Floor,MATCH(G227,MW_Key,0)),0))*I227,"")</f>
        <v>2300</v>
      </c>
      <c r="M227" s="2" t="str">
        <f aca="false">IFERROR(INDEX(LR_Flag,MATCH(G227,LR_Key,0)),"")</f>
        <v>none</v>
      </c>
      <c r="N227" s="2" t="str">
        <f aca="false">IFERROR(INDEX(MW_Check,MATCH(G227,MW_Key,0)),"")</f>
        <v>OK</v>
      </c>
      <c r="O227" s="0" t="str">
        <f aca="false">IF(NOT(ISNUMBER(H227)),"LABOR QUOTE NEEDED – total incomplete",IF(N227="BELOW FLOOR","CHECK: typical labor below wage floor – payout and customer labor raised to floor",IF(M227&lt;&gt;"none","Labor rate flagged: "&amp;M227,"OK")))</f>
        <v>OK</v>
      </c>
      <c r="P227" s="0" t="s">
        <v>1286</v>
      </c>
      <c r="Q227" s="8" t="s">
        <v>1287</v>
      </c>
      <c r="R227" s="2" t="str">
        <f aca="false">IF(OR(M227="regulated",COUNTIFS(Tasks_TaskID,A227,Tasks_Tier,D227,Tasks_Review,"base")&gt;0),"PENDING REVIEW – priced, not bookable until human approval",IF(COUNTIFS(Tasks_TaskID,A227,Tasks_Tier,D227,Tasks_Review,"as-needed")&gt;0,"Bookable (re-evaluate if regulated as-needed line selected)","Bookable"))</f>
        <v>Bookable</v>
      </c>
    </row>
    <row r="228" customFormat="false" ht="15" hidden="false" customHeight="false" outlineLevel="0" collapsed="false">
      <c r="A228" s="2" t="s">
        <v>1284</v>
      </c>
      <c r="B228" s="2" t="s">
        <v>397</v>
      </c>
      <c r="C228" s="2" t="s">
        <v>1285</v>
      </c>
      <c r="D228" s="2" t="s">
        <v>1051</v>
      </c>
      <c r="E228" s="2" t="s">
        <v>1897</v>
      </c>
      <c r="F228" s="3" t="n">
        <f aca="false">INDEX(Sum_Base,MATCH(A228,Sum_BaseTasks,0),MATCH(D228,Sum_BaseTiers,0))</f>
        <v>583</v>
      </c>
      <c r="G228" s="2" t="str">
        <f aca="false">IF(ISNUMBER(MATCH(A228&amp;"|"&amp;D228,LR_Key,0)),A228&amp;"|"&amp;D228,A228&amp;"|All")</f>
        <v>FIXX-FLR-002|All</v>
      </c>
      <c r="H228" s="3" t="n">
        <f aca="false">IFERROR(INDEX(LR_TypLabor,MATCH(G228,LR_Key,0)),"")</f>
        <v>2000</v>
      </c>
      <c r="I228" s="12" t="n">
        <f aca="false">INDEX(Urg_Mult,MATCH(E228,Urg_Levels,0))</f>
        <v>1.3</v>
      </c>
      <c r="J228" s="3" t="n">
        <f aca="false">IF(ISNUMBER(H228),MAX(H228,IFERROR(INDEX(MW_Floor,MATCH(G228,MW_Key,0)),0))*I228,"")</f>
        <v>2600</v>
      </c>
      <c r="K228" s="3" t="n">
        <f aca="false">IF(ISNUMBER(J228),F228+J228,"")</f>
        <v>3183</v>
      </c>
      <c r="L228" s="3" t="n">
        <f aca="false">IF(ISNUMBER(H228),MAX(H228,IFERROR(INDEX(MW_Floor,MATCH(G228,MW_Key,0)),0))*I228,"")</f>
        <v>2600</v>
      </c>
      <c r="M228" s="2" t="str">
        <f aca="false">IFERROR(INDEX(LR_Flag,MATCH(G228,LR_Key,0)),"")</f>
        <v>none</v>
      </c>
      <c r="N228" s="2" t="str">
        <f aca="false">IFERROR(INDEX(MW_Check,MATCH(G228,MW_Key,0)),"")</f>
        <v>OK</v>
      </c>
      <c r="O228" s="0" t="str">
        <f aca="false">IF(NOT(ISNUMBER(H228)),"LABOR QUOTE NEEDED – total incomplete",IF(N228="BELOW FLOOR","CHECK: typical labor below wage floor – payout and customer labor raised to floor",IF(M228&lt;&gt;"none","Labor rate flagged: "&amp;M228,"OK")))</f>
        <v>OK</v>
      </c>
      <c r="P228" s="0" t="s">
        <v>1286</v>
      </c>
      <c r="Q228" s="8" t="s">
        <v>1287</v>
      </c>
      <c r="R228" s="2" t="str">
        <f aca="false">IF(OR(M228="regulated",COUNTIFS(Tasks_TaskID,A228,Tasks_Tier,D228,Tasks_Review,"base")&gt;0),"PENDING REVIEW – priced, not bookable until human approval",IF(COUNTIFS(Tasks_TaskID,A228,Tasks_Tier,D228,Tasks_Review,"as-needed")&gt;0,"Bookable (re-evaluate if regulated as-needed line selected)","Bookable"))</f>
        <v>Bookable</v>
      </c>
    </row>
    <row r="229" customFormat="false" ht="15" hidden="false" customHeight="false" outlineLevel="0" collapsed="false">
      <c r="A229" s="2" t="s">
        <v>1284</v>
      </c>
      <c r="B229" s="2" t="s">
        <v>397</v>
      </c>
      <c r="C229" s="2" t="s">
        <v>1285</v>
      </c>
      <c r="D229" s="2" t="s">
        <v>1051</v>
      </c>
      <c r="E229" s="2" t="s">
        <v>1898</v>
      </c>
      <c r="F229" s="3" t="n">
        <f aca="false">INDEX(Sum_Base,MATCH(A229,Sum_BaseTasks,0),MATCH(D229,Sum_BaseTiers,0))</f>
        <v>583</v>
      </c>
      <c r="G229" s="2" t="str">
        <f aca="false">IF(ISNUMBER(MATCH(A229&amp;"|"&amp;D229,LR_Key,0)),A229&amp;"|"&amp;D229,A229&amp;"|All")</f>
        <v>FIXX-FLR-002|All</v>
      </c>
      <c r="H229" s="3" t="n">
        <f aca="false">IFERROR(INDEX(LR_TypLabor,MATCH(G229,LR_Key,0)),"")</f>
        <v>2000</v>
      </c>
      <c r="I229" s="12" t="n">
        <f aca="false">INDEX(Urg_Mult,MATCH(E229,Urg_Levels,0))</f>
        <v>1.5</v>
      </c>
      <c r="J229" s="3" t="n">
        <f aca="false">IF(ISNUMBER(H229),MAX(H229,IFERROR(INDEX(MW_Floor,MATCH(G229,MW_Key,0)),0))*I229,"")</f>
        <v>3000</v>
      </c>
      <c r="K229" s="3" t="n">
        <f aca="false">IF(ISNUMBER(J229),F229+J229,"")</f>
        <v>3583</v>
      </c>
      <c r="L229" s="3" t="n">
        <f aca="false">IF(ISNUMBER(H229),MAX(H229,IFERROR(INDEX(MW_Floor,MATCH(G229,MW_Key,0)),0))*I229,"")</f>
        <v>3000</v>
      </c>
      <c r="M229" s="2" t="str">
        <f aca="false">IFERROR(INDEX(LR_Flag,MATCH(G229,LR_Key,0)),"")</f>
        <v>none</v>
      </c>
      <c r="N229" s="2" t="str">
        <f aca="false">IFERROR(INDEX(MW_Check,MATCH(G229,MW_Key,0)),"")</f>
        <v>OK</v>
      </c>
      <c r="O229" s="0" t="str">
        <f aca="false">IF(NOT(ISNUMBER(H229)),"LABOR QUOTE NEEDED – total incomplete",IF(N229="BELOW FLOOR","CHECK: typical labor below wage floor – payout and customer labor raised to floor",IF(M229&lt;&gt;"none","Labor rate flagged: "&amp;M229,"OK")))</f>
        <v>OK</v>
      </c>
      <c r="P229" s="0" t="s">
        <v>1286</v>
      </c>
      <c r="Q229" s="8" t="s">
        <v>1287</v>
      </c>
      <c r="R229" s="2" t="str">
        <f aca="false">IF(OR(M229="regulated",COUNTIFS(Tasks_TaskID,A229,Tasks_Tier,D229,Tasks_Review,"base")&gt;0),"PENDING REVIEW – priced, not bookable until human approval",IF(COUNTIFS(Tasks_TaskID,A229,Tasks_Tier,D229,Tasks_Review,"as-needed")&gt;0,"Bookable (re-evaluate if regulated as-needed line selected)","Bookable"))</f>
        <v>Bookable</v>
      </c>
    </row>
    <row r="230" customFormat="false" ht="17.15" hidden="false" customHeight="false" outlineLevel="0" collapsed="false">
      <c r="A230" s="2" t="s">
        <v>1291</v>
      </c>
      <c r="B230" s="2" t="s">
        <v>397</v>
      </c>
      <c r="C230" s="2" t="s">
        <v>1292</v>
      </c>
      <c r="D230" s="2" t="s">
        <v>1042</v>
      </c>
      <c r="E230" s="2" t="s">
        <v>1895</v>
      </c>
      <c r="F230" s="3" t="n">
        <f aca="false">INDEX(Sum_Base,MATCH(A230,Sum_BaseTasks,0),MATCH(D230,Sum_BaseTiers,0))</f>
        <v>771.57653</v>
      </c>
      <c r="G230" s="2" t="str">
        <f aca="false">IF(ISNUMBER(MATCH(A230&amp;"|"&amp;D230,LR_Key,0)),A230&amp;"|"&amp;D230,A230&amp;"|All")</f>
        <v>FIXX-FLR-003|All</v>
      </c>
      <c r="H230" s="3" t="n">
        <f aca="false">IFERROR(INDEX(LR_TypLabor,MATCH(G230,LR_Key,0)),"")</f>
        <v>3600</v>
      </c>
      <c r="I230" s="12" t="n">
        <f aca="false">INDEX(Urg_Mult,MATCH(E230,Urg_Levels,0))</f>
        <v>1</v>
      </c>
      <c r="J230" s="3" t="n">
        <f aca="false">IF(ISNUMBER(H230),MAX(H230,IFERROR(INDEX(MW_Floor,MATCH(G230,MW_Key,0)),0))*I230,"")</f>
        <v>3600</v>
      </c>
      <c r="K230" s="3" t="n">
        <f aca="false">IF(ISNUMBER(J230),F230+J230,"")</f>
        <v>4371.57653</v>
      </c>
      <c r="L230" s="3" t="n">
        <f aca="false">IF(ISNUMBER(H230),MAX(H230,IFERROR(INDEX(MW_Floor,MATCH(G230,MW_Key,0)),0))*I230,"")</f>
        <v>3600</v>
      </c>
      <c r="M230" s="2" t="str">
        <f aca="false">IFERROR(INDEX(LR_Flag,MATCH(G230,LR_Key,0)),"")</f>
        <v>none</v>
      </c>
      <c r="N230" s="2" t="str">
        <f aca="false">IFERROR(INDEX(MW_Check,MATCH(G230,MW_Key,0)),"")</f>
        <v>OK</v>
      </c>
      <c r="O230" s="0" t="str">
        <f aca="false">IF(NOT(ISNUMBER(H230)),"LABOR QUOTE NEEDED – total incomplete",IF(N230="BELOW FLOOR","CHECK: typical labor below wage floor – payout and customer labor raised to floor",IF(M230&lt;&gt;"none","Labor rate flagged: "&amp;M230,"OK")))</f>
        <v>OK</v>
      </c>
      <c r="P230" s="0" t="s">
        <v>1294</v>
      </c>
      <c r="Q230" s="8" t="s">
        <v>1295</v>
      </c>
      <c r="R230" s="2" t="str">
        <f aca="false">IF(OR(M230="regulated",COUNTIFS(Tasks_TaskID,A230,Tasks_Tier,D230,Tasks_Review,"base")&gt;0),"PENDING REVIEW – priced, not bookable until human approval",IF(COUNTIFS(Tasks_TaskID,A230,Tasks_Tier,D230,Tasks_Review,"as-needed")&gt;0,"Bookable (re-evaluate if regulated as-needed line selected)","Bookable"))</f>
        <v>Bookable</v>
      </c>
    </row>
    <row r="231" customFormat="false" ht="17.15" hidden="false" customHeight="false" outlineLevel="0" collapsed="false">
      <c r="A231" s="2" t="s">
        <v>1291</v>
      </c>
      <c r="B231" s="2" t="s">
        <v>397</v>
      </c>
      <c r="C231" s="2" t="s">
        <v>1292</v>
      </c>
      <c r="D231" s="2" t="s">
        <v>1042</v>
      </c>
      <c r="E231" s="2" t="s">
        <v>1896</v>
      </c>
      <c r="F231" s="3" t="n">
        <f aca="false">INDEX(Sum_Base,MATCH(A231,Sum_BaseTasks,0),MATCH(D231,Sum_BaseTiers,0))</f>
        <v>771.57653</v>
      </c>
      <c r="G231" s="2" t="str">
        <f aca="false">IF(ISNUMBER(MATCH(A231&amp;"|"&amp;D231,LR_Key,0)),A231&amp;"|"&amp;D231,A231&amp;"|All")</f>
        <v>FIXX-FLR-003|All</v>
      </c>
      <c r="H231" s="3" t="n">
        <f aca="false">IFERROR(INDEX(LR_TypLabor,MATCH(G231,LR_Key,0)),"")</f>
        <v>3600</v>
      </c>
      <c r="I231" s="12" t="n">
        <f aca="false">INDEX(Urg_Mult,MATCH(E231,Urg_Levels,0))</f>
        <v>1.15</v>
      </c>
      <c r="J231" s="3" t="n">
        <f aca="false">IF(ISNUMBER(H231),MAX(H231,IFERROR(INDEX(MW_Floor,MATCH(G231,MW_Key,0)),0))*I231,"")</f>
        <v>4140</v>
      </c>
      <c r="K231" s="3" t="n">
        <f aca="false">IF(ISNUMBER(J231),F231+J231,"")</f>
        <v>4911.57653</v>
      </c>
      <c r="L231" s="3" t="n">
        <f aca="false">IF(ISNUMBER(H231),MAX(H231,IFERROR(INDEX(MW_Floor,MATCH(G231,MW_Key,0)),0))*I231,"")</f>
        <v>4140</v>
      </c>
      <c r="M231" s="2" t="str">
        <f aca="false">IFERROR(INDEX(LR_Flag,MATCH(G231,LR_Key,0)),"")</f>
        <v>none</v>
      </c>
      <c r="N231" s="2" t="str">
        <f aca="false">IFERROR(INDEX(MW_Check,MATCH(G231,MW_Key,0)),"")</f>
        <v>OK</v>
      </c>
      <c r="O231" s="0" t="str">
        <f aca="false">IF(NOT(ISNUMBER(H231)),"LABOR QUOTE NEEDED – total incomplete",IF(N231="BELOW FLOOR","CHECK: typical labor below wage floor – payout and customer labor raised to floor",IF(M231&lt;&gt;"none","Labor rate flagged: "&amp;M231,"OK")))</f>
        <v>OK</v>
      </c>
      <c r="P231" s="0" t="s">
        <v>1294</v>
      </c>
      <c r="Q231" s="8" t="s">
        <v>1295</v>
      </c>
      <c r="R231" s="2" t="str">
        <f aca="false">IF(OR(M231="regulated",COUNTIFS(Tasks_TaskID,A231,Tasks_Tier,D231,Tasks_Review,"base")&gt;0),"PENDING REVIEW – priced, not bookable until human approval",IF(COUNTIFS(Tasks_TaskID,A231,Tasks_Tier,D231,Tasks_Review,"as-needed")&gt;0,"Bookable (re-evaluate if regulated as-needed line selected)","Bookable"))</f>
        <v>Bookable</v>
      </c>
    </row>
    <row r="232" customFormat="false" ht="17.15" hidden="false" customHeight="false" outlineLevel="0" collapsed="false">
      <c r="A232" s="2" t="s">
        <v>1291</v>
      </c>
      <c r="B232" s="2" t="s">
        <v>397</v>
      </c>
      <c r="C232" s="2" t="s">
        <v>1292</v>
      </c>
      <c r="D232" s="2" t="s">
        <v>1042</v>
      </c>
      <c r="E232" s="2" t="s">
        <v>1897</v>
      </c>
      <c r="F232" s="3" t="n">
        <f aca="false">INDEX(Sum_Base,MATCH(A232,Sum_BaseTasks,0),MATCH(D232,Sum_BaseTiers,0))</f>
        <v>771.57653</v>
      </c>
      <c r="G232" s="2" t="str">
        <f aca="false">IF(ISNUMBER(MATCH(A232&amp;"|"&amp;D232,LR_Key,0)),A232&amp;"|"&amp;D232,A232&amp;"|All")</f>
        <v>FIXX-FLR-003|All</v>
      </c>
      <c r="H232" s="3" t="n">
        <f aca="false">IFERROR(INDEX(LR_TypLabor,MATCH(G232,LR_Key,0)),"")</f>
        <v>3600</v>
      </c>
      <c r="I232" s="12" t="n">
        <f aca="false">INDEX(Urg_Mult,MATCH(E232,Urg_Levels,0))</f>
        <v>1.3</v>
      </c>
      <c r="J232" s="3" t="n">
        <f aca="false">IF(ISNUMBER(H232),MAX(H232,IFERROR(INDEX(MW_Floor,MATCH(G232,MW_Key,0)),0))*I232,"")</f>
        <v>4680</v>
      </c>
      <c r="K232" s="3" t="n">
        <f aca="false">IF(ISNUMBER(J232),F232+J232,"")</f>
        <v>5451.57653</v>
      </c>
      <c r="L232" s="3" t="n">
        <f aca="false">IF(ISNUMBER(H232),MAX(H232,IFERROR(INDEX(MW_Floor,MATCH(G232,MW_Key,0)),0))*I232,"")</f>
        <v>4680</v>
      </c>
      <c r="M232" s="2" t="str">
        <f aca="false">IFERROR(INDEX(LR_Flag,MATCH(G232,LR_Key,0)),"")</f>
        <v>none</v>
      </c>
      <c r="N232" s="2" t="str">
        <f aca="false">IFERROR(INDEX(MW_Check,MATCH(G232,MW_Key,0)),"")</f>
        <v>OK</v>
      </c>
      <c r="O232" s="0" t="str">
        <f aca="false">IF(NOT(ISNUMBER(H232)),"LABOR QUOTE NEEDED – total incomplete",IF(N232="BELOW FLOOR","CHECK: typical labor below wage floor – payout and customer labor raised to floor",IF(M232&lt;&gt;"none","Labor rate flagged: "&amp;M232,"OK")))</f>
        <v>OK</v>
      </c>
      <c r="P232" s="0" t="s">
        <v>1294</v>
      </c>
      <c r="Q232" s="8" t="s">
        <v>1295</v>
      </c>
      <c r="R232" s="2" t="str">
        <f aca="false">IF(OR(M232="regulated",COUNTIFS(Tasks_TaskID,A232,Tasks_Tier,D232,Tasks_Review,"base")&gt;0),"PENDING REVIEW – priced, not bookable until human approval",IF(COUNTIFS(Tasks_TaskID,A232,Tasks_Tier,D232,Tasks_Review,"as-needed")&gt;0,"Bookable (re-evaluate if regulated as-needed line selected)","Bookable"))</f>
        <v>Bookable</v>
      </c>
    </row>
    <row r="233" customFormat="false" ht="17.15" hidden="false" customHeight="false" outlineLevel="0" collapsed="false">
      <c r="A233" s="2" t="s">
        <v>1291</v>
      </c>
      <c r="B233" s="2" t="s">
        <v>397</v>
      </c>
      <c r="C233" s="2" t="s">
        <v>1292</v>
      </c>
      <c r="D233" s="2" t="s">
        <v>1042</v>
      </c>
      <c r="E233" s="2" t="s">
        <v>1898</v>
      </c>
      <c r="F233" s="3" t="n">
        <f aca="false">INDEX(Sum_Base,MATCH(A233,Sum_BaseTasks,0),MATCH(D233,Sum_BaseTiers,0))</f>
        <v>771.57653</v>
      </c>
      <c r="G233" s="2" t="str">
        <f aca="false">IF(ISNUMBER(MATCH(A233&amp;"|"&amp;D233,LR_Key,0)),A233&amp;"|"&amp;D233,A233&amp;"|All")</f>
        <v>FIXX-FLR-003|All</v>
      </c>
      <c r="H233" s="3" t="n">
        <f aca="false">IFERROR(INDEX(LR_TypLabor,MATCH(G233,LR_Key,0)),"")</f>
        <v>3600</v>
      </c>
      <c r="I233" s="12" t="n">
        <f aca="false">INDEX(Urg_Mult,MATCH(E233,Urg_Levels,0))</f>
        <v>1.5</v>
      </c>
      <c r="J233" s="3" t="n">
        <f aca="false">IF(ISNUMBER(H233),MAX(H233,IFERROR(INDEX(MW_Floor,MATCH(G233,MW_Key,0)),0))*I233,"")</f>
        <v>5400</v>
      </c>
      <c r="K233" s="3" t="n">
        <f aca="false">IF(ISNUMBER(J233),F233+J233,"")</f>
        <v>6171.57653</v>
      </c>
      <c r="L233" s="3" t="n">
        <f aca="false">IF(ISNUMBER(H233),MAX(H233,IFERROR(INDEX(MW_Floor,MATCH(G233,MW_Key,0)),0))*I233,"")</f>
        <v>5400</v>
      </c>
      <c r="M233" s="2" t="str">
        <f aca="false">IFERROR(INDEX(LR_Flag,MATCH(G233,LR_Key,0)),"")</f>
        <v>none</v>
      </c>
      <c r="N233" s="2" t="str">
        <f aca="false">IFERROR(INDEX(MW_Check,MATCH(G233,MW_Key,0)),"")</f>
        <v>OK</v>
      </c>
      <c r="O233" s="0" t="str">
        <f aca="false">IF(NOT(ISNUMBER(H233)),"LABOR QUOTE NEEDED – total incomplete",IF(N233="BELOW FLOOR","CHECK: typical labor below wage floor – payout and customer labor raised to floor",IF(M233&lt;&gt;"none","Labor rate flagged: "&amp;M233,"OK")))</f>
        <v>OK</v>
      </c>
      <c r="P233" s="0" t="s">
        <v>1294</v>
      </c>
      <c r="Q233" s="8" t="s">
        <v>1295</v>
      </c>
      <c r="R233" s="2" t="str">
        <f aca="false">IF(OR(M233="regulated",COUNTIFS(Tasks_TaskID,A233,Tasks_Tier,D233,Tasks_Review,"base")&gt;0),"PENDING REVIEW – priced, not bookable until human approval",IF(COUNTIFS(Tasks_TaskID,A233,Tasks_Tier,D233,Tasks_Review,"as-needed")&gt;0,"Bookable (re-evaluate if regulated as-needed line selected)","Bookable"))</f>
        <v>Bookable</v>
      </c>
    </row>
    <row r="234" customFormat="false" ht="17.15" hidden="false" customHeight="false" outlineLevel="0" collapsed="false">
      <c r="A234" s="2" t="s">
        <v>1291</v>
      </c>
      <c r="B234" s="2" t="s">
        <v>397</v>
      </c>
      <c r="C234" s="2" t="s">
        <v>1292</v>
      </c>
      <c r="D234" s="2" t="s">
        <v>1049</v>
      </c>
      <c r="E234" s="2" t="s">
        <v>1895</v>
      </c>
      <c r="F234" s="3" t="n">
        <f aca="false">INDEX(Sum_Base,MATCH(A234,Sum_BaseTasks,0),MATCH(D234,Sum_BaseTiers,0))</f>
        <v>1427.241375</v>
      </c>
      <c r="G234" s="2" t="str">
        <f aca="false">IF(ISNUMBER(MATCH(A234&amp;"|"&amp;D234,LR_Key,0)),A234&amp;"|"&amp;D234,A234&amp;"|All")</f>
        <v>FIXX-FLR-003|All</v>
      </c>
      <c r="H234" s="3" t="n">
        <f aca="false">IFERROR(INDEX(LR_TypLabor,MATCH(G234,LR_Key,0)),"")</f>
        <v>3600</v>
      </c>
      <c r="I234" s="12" t="n">
        <f aca="false">INDEX(Urg_Mult,MATCH(E234,Urg_Levels,0))</f>
        <v>1</v>
      </c>
      <c r="J234" s="3" t="n">
        <f aca="false">IF(ISNUMBER(H234),MAX(H234,IFERROR(INDEX(MW_Floor,MATCH(G234,MW_Key,0)),0))*I234,"")</f>
        <v>3600</v>
      </c>
      <c r="K234" s="3" t="n">
        <f aca="false">IF(ISNUMBER(J234),F234+J234,"")</f>
        <v>5027.241375</v>
      </c>
      <c r="L234" s="3" t="n">
        <f aca="false">IF(ISNUMBER(H234),MAX(H234,IFERROR(INDEX(MW_Floor,MATCH(G234,MW_Key,0)),0))*I234,"")</f>
        <v>3600</v>
      </c>
      <c r="M234" s="2" t="str">
        <f aca="false">IFERROR(INDEX(LR_Flag,MATCH(G234,LR_Key,0)),"")</f>
        <v>none</v>
      </c>
      <c r="N234" s="2" t="str">
        <f aca="false">IFERROR(INDEX(MW_Check,MATCH(G234,MW_Key,0)),"")</f>
        <v>OK</v>
      </c>
      <c r="O234" s="0" t="str">
        <f aca="false">IF(NOT(ISNUMBER(H234)),"LABOR QUOTE NEEDED – total incomplete",IF(N234="BELOW FLOOR","CHECK: typical labor below wage floor – payout and customer labor raised to floor",IF(M234&lt;&gt;"none","Labor rate flagged: "&amp;M234,"OK")))</f>
        <v>OK</v>
      </c>
      <c r="P234" s="0" t="s">
        <v>1294</v>
      </c>
      <c r="Q234" s="8" t="s">
        <v>1295</v>
      </c>
      <c r="R234" s="2" t="str">
        <f aca="false">IF(OR(M234="regulated",COUNTIFS(Tasks_TaskID,A234,Tasks_Tier,D234,Tasks_Review,"base")&gt;0),"PENDING REVIEW – priced, not bookable until human approval",IF(COUNTIFS(Tasks_TaskID,A234,Tasks_Tier,D234,Tasks_Review,"as-needed")&gt;0,"Bookable (re-evaluate if regulated as-needed line selected)","Bookable"))</f>
        <v>Bookable</v>
      </c>
    </row>
    <row r="235" customFormat="false" ht="17.15" hidden="false" customHeight="false" outlineLevel="0" collapsed="false">
      <c r="A235" s="2" t="s">
        <v>1291</v>
      </c>
      <c r="B235" s="2" t="s">
        <v>397</v>
      </c>
      <c r="C235" s="2" t="s">
        <v>1292</v>
      </c>
      <c r="D235" s="2" t="s">
        <v>1049</v>
      </c>
      <c r="E235" s="2" t="s">
        <v>1896</v>
      </c>
      <c r="F235" s="3" t="n">
        <f aca="false">INDEX(Sum_Base,MATCH(A235,Sum_BaseTasks,0),MATCH(D235,Sum_BaseTiers,0))</f>
        <v>1427.241375</v>
      </c>
      <c r="G235" s="2" t="str">
        <f aca="false">IF(ISNUMBER(MATCH(A235&amp;"|"&amp;D235,LR_Key,0)),A235&amp;"|"&amp;D235,A235&amp;"|All")</f>
        <v>FIXX-FLR-003|All</v>
      </c>
      <c r="H235" s="3" t="n">
        <f aca="false">IFERROR(INDEX(LR_TypLabor,MATCH(G235,LR_Key,0)),"")</f>
        <v>3600</v>
      </c>
      <c r="I235" s="12" t="n">
        <f aca="false">INDEX(Urg_Mult,MATCH(E235,Urg_Levels,0))</f>
        <v>1.15</v>
      </c>
      <c r="J235" s="3" t="n">
        <f aca="false">IF(ISNUMBER(H235),MAX(H235,IFERROR(INDEX(MW_Floor,MATCH(G235,MW_Key,0)),0))*I235,"")</f>
        <v>4140</v>
      </c>
      <c r="K235" s="3" t="n">
        <f aca="false">IF(ISNUMBER(J235),F235+J235,"")</f>
        <v>5567.241375</v>
      </c>
      <c r="L235" s="3" t="n">
        <f aca="false">IF(ISNUMBER(H235),MAX(H235,IFERROR(INDEX(MW_Floor,MATCH(G235,MW_Key,0)),0))*I235,"")</f>
        <v>4140</v>
      </c>
      <c r="M235" s="2" t="str">
        <f aca="false">IFERROR(INDEX(LR_Flag,MATCH(G235,LR_Key,0)),"")</f>
        <v>none</v>
      </c>
      <c r="N235" s="2" t="str">
        <f aca="false">IFERROR(INDEX(MW_Check,MATCH(G235,MW_Key,0)),"")</f>
        <v>OK</v>
      </c>
      <c r="O235" s="0" t="str">
        <f aca="false">IF(NOT(ISNUMBER(H235)),"LABOR QUOTE NEEDED – total incomplete",IF(N235="BELOW FLOOR","CHECK: typical labor below wage floor – payout and customer labor raised to floor",IF(M235&lt;&gt;"none","Labor rate flagged: "&amp;M235,"OK")))</f>
        <v>OK</v>
      </c>
      <c r="P235" s="0" t="s">
        <v>1294</v>
      </c>
      <c r="Q235" s="8" t="s">
        <v>1295</v>
      </c>
      <c r="R235" s="2" t="str">
        <f aca="false">IF(OR(M235="regulated",COUNTIFS(Tasks_TaskID,A235,Tasks_Tier,D235,Tasks_Review,"base")&gt;0),"PENDING REVIEW – priced, not bookable until human approval",IF(COUNTIFS(Tasks_TaskID,A235,Tasks_Tier,D235,Tasks_Review,"as-needed")&gt;0,"Bookable (re-evaluate if regulated as-needed line selected)","Bookable"))</f>
        <v>Bookable</v>
      </c>
    </row>
    <row r="236" customFormat="false" ht="17.15" hidden="false" customHeight="false" outlineLevel="0" collapsed="false">
      <c r="A236" s="2" t="s">
        <v>1291</v>
      </c>
      <c r="B236" s="2" t="s">
        <v>397</v>
      </c>
      <c r="C236" s="2" t="s">
        <v>1292</v>
      </c>
      <c r="D236" s="2" t="s">
        <v>1049</v>
      </c>
      <c r="E236" s="2" t="s">
        <v>1897</v>
      </c>
      <c r="F236" s="3" t="n">
        <f aca="false">INDEX(Sum_Base,MATCH(A236,Sum_BaseTasks,0),MATCH(D236,Sum_BaseTiers,0))</f>
        <v>1427.241375</v>
      </c>
      <c r="G236" s="2" t="str">
        <f aca="false">IF(ISNUMBER(MATCH(A236&amp;"|"&amp;D236,LR_Key,0)),A236&amp;"|"&amp;D236,A236&amp;"|All")</f>
        <v>FIXX-FLR-003|All</v>
      </c>
      <c r="H236" s="3" t="n">
        <f aca="false">IFERROR(INDEX(LR_TypLabor,MATCH(G236,LR_Key,0)),"")</f>
        <v>3600</v>
      </c>
      <c r="I236" s="12" t="n">
        <f aca="false">INDEX(Urg_Mult,MATCH(E236,Urg_Levels,0))</f>
        <v>1.3</v>
      </c>
      <c r="J236" s="3" t="n">
        <f aca="false">IF(ISNUMBER(H236),MAX(H236,IFERROR(INDEX(MW_Floor,MATCH(G236,MW_Key,0)),0))*I236,"")</f>
        <v>4680</v>
      </c>
      <c r="K236" s="3" t="n">
        <f aca="false">IF(ISNUMBER(J236),F236+J236,"")</f>
        <v>6107.241375</v>
      </c>
      <c r="L236" s="3" t="n">
        <f aca="false">IF(ISNUMBER(H236),MAX(H236,IFERROR(INDEX(MW_Floor,MATCH(G236,MW_Key,0)),0))*I236,"")</f>
        <v>4680</v>
      </c>
      <c r="M236" s="2" t="str">
        <f aca="false">IFERROR(INDEX(LR_Flag,MATCH(G236,LR_Key,0)),"")</f>
        <v>none</v>
      </c>
      <c r="N236" s="2" t="str">
        <f aca="false">IFERROR(INDEX(MW_Check,MATCH(G236,MW_Key,0)),"")</f>
        <v>OK</v>
      </c>
      <c r="O236" s="0" t="str">
        <f aca="false">IF(NOT(ISNUMBER(H236)),"LABOR QUOTE NEEDED – total incomplete",IF(N236="BELOW FLOOR","CHECK: typical labor below wage floor – payout and customer labor raised to floor",IF(M236&lt;&gt;"none","Labor rate flagged: "&amp;M236,"OK")))</f>
        <v>OK</v>
      </c>
      <c r="P236" s="0" t="s">
        <v>1294</v>
      </c>
      <c r="Q236" s="8" t="s">
        <v>1295</v>
      </c>
      <c r="R236" s="2" t="str">
        <f aca="false">IF(OR(M236="regulated",COUNTIFS(Tasks_TaskID,A236,Tasks_Tier,D236,Tasks_Review,"base")&gt;0),"PENDING REVIEW – priced, not bookable until human approval",IF(COUNTIFS(Tasks_TaskID,A236,Tasks_Tier,D236,Tasks_Review,"as-needed")&gt;0,"Bookable (re-evaluate if regulated as-needed line selected)","Bookable"))</f>
        <v>Bookable</v>
      </c>
    </row>
    <row r="237" customFormat="false" ht="17.15" hidden="false" customHeight="false" outlineLevel="0" collapsed="false">
      <c r="A237" s="2" t="s">
        <v>1291</v>
      </c>
      <c r="B237" s="2" t="s">
        <v>397</v>
      </c>
      <c r="C237" s="2" t="s">
        <v>1292</v>
      </c>
      <c r="D237" s="2" t="s">
        <v>1049</v>
      </c>
      <c r="E237" s="2" t="s">
        <v>1898</v>
      </c>
      <c r="F237" s="3" t="n">
        <f aca="false">INDEX(Sum_Base,MATCH(A237,Sum_BaseTasks,0),MATCH(D237,Sum_BaseTiers,0))</f>
        <v>1427.241375</v>
      </c>
      <c r="G237" s="2" t="str">
        <f aca="false">IF(ISNUMBER(MATCH(A237&amp;"|"&amp;D237,LR_Key,0)),A237&amp;"|"&amp;D237,A237&amp;"|All")</f>
        <v>FIXX-FLR-003|All</v>
      </c>
      <c r="H237" s="3" t="n">
        <f aca="false">IFERROR(INDEX(LR_TypLabor,MATCH(G237,LR_Key,0)),"")</f>
        <v>3600</v>
      </c>
      <c r="I237" s="12" t="n">
        <f aca="false">INDEX(Urg_Mult,MATCH(E237,Urg_Levels,0))</f>
        <v>1.5</v>
      </c>
      <c r="J237" s="3" t="n">
        <f aca="false">IF(ISNUMBER(H237),MAX(H237,IFERROR(INDEX(MW_Floor,MATCH(G237,MW_Key,0)),0))*I237,"")</f>
        <v>5400</v>
      </c>
      <c r="K237" s="3" t="n">
        <f aca="false">IF(ISNUMBER(J237),F237+J237,"")</f>
        <v>6827.241375</v>
      </c>
      <c r="L237" s="3" t="n">
        <f aca="false">IF(ISNUMBER(H237),MAX(H237,IFERROR(INDEX(MW_Floor,MATCH(G237,MW_Key,0)),0))*I237,"")</f>
        <v>5400</v>
      </c>
      <c r="M237" s="2" t="str">
        <f aca="false">IFERROR(INDEX(LR_Flag,MATCH(G237,LR_Key,0)),"")</f>
        <v>none</v>
      </c>
      <c r="N237" s="2" t="str">
        <f aca="false">IFERROR(INDEX(MW_Check,MATCH(G237,MW_Key,0)),"")</f>
        <v>OK</v>
      </c>
      <c r="O237" s="0" t="str">
        <f aca="false">IF(NOT(ISNUMBER(H237)),"LABOR QUOTE NEEDED – total incomplete",IF(N237="BELOW FLOOR","CHECK: typical labor below wage floor – payout and customer labor raised to floor",IF(M237&lt;&gt;"none","Labor rate flagged: "&amp;M237,"OK")))</f>
        <v>OK</v>
      </c>
      <c r="P237" s="0" t="s">
        <v>1294</v>
      </c>
      <c r="Q237" s="8" t="s">
        <v>1295</v>
      </c>
      <c r="R237" s="2" t="str">
        <f aca="false">IF(OR(M237="regulated",COUNTIFS(Tasks_TaskID,A237,Tasks_Tier,D237,Tasks_Review,"base")&gt;0),"PENDING REVIEW – priced, not bookable until human approval",IF(COUNTIFS(Tasks_TaskID,A237,Tasks_Tier,D237,Tasks_Review,"as-needed")&gt;0,"Bookable (re-evaluate if regulated as-needed line selected)","Bookable"))</f>
        <v>Bookable</v>
      </c>
    </row>
    <row r="238" customFormat="false" ht="17.15" hidden="false" customHeight="false" outlineLevel="0" collapsed="false">
      <c r="A238" s="2" t="s">
        <v>1291</v>
      </c>
      <c r="B238" s="2" t="s">
        <v>397</v>
      </c>
      <c r="C238" s="2" t="s">
        <v>1292</v>
      </c>
      <c r="D238" s="2" t="s">
        <v>1051</v>
      </c>
      <c r="E238" s="2" t="s">
        <v>1895</v>
      </c>
      <c r="F238" s="3" t="n">
        <f aca="false">INDEX(Sum_Base,MATCH(A238,Sum_BaseTasks,0),MATCH(D238,Sum_BaseTiers,0))</f>
        <v>1862.166375</v>
      </c>
      <c r="G238" s="2" t="str">
        <f aca="false">IF(ISNUMBER(MATCH(A238&amp;"|"&amp;D238,LR_Key,0)),A238&amp;"|"&amp;D238,A238&amp;"|All")</f>
        <v>FIXX-FLR-003|All</v>
      </c>
      <c r="H238" s="3" t="n">
        <f aca="false">IFERROR(INDEX(LR_TypLabor,MATCH(G238,LR_Key,0)),"")</f>
        <v>3600</v>
      </c>
      <c r="I238" s="12" t="n">
        <f aca="false">INDEX(Urg_Mult,MATCH(E238,Urg_Levels,0))</f>
        <v>1</v>
      </c>
      <c r="J238" s="3" t="n">
        <f aca="false">IF(ISNUMBER(H238),MAX(H238,IFERROR(INDEX(MW_Floor,MATCH(G238,MW_Key,0)),0))*I238,"")</f>
        <v>3600</v>
      </c>
      <c r="K238" s="3" t="n">
        <f aca="false">IF(ISNUMBER(J238),F238+J238,"")</f>
        <v>5462.166375</v>
      </c>
      <c r="L238" s="3" t="n">
        <f aca="false">IF(ISNUMBER(H238),MAX(H238,IFERROR(INDEX(MW_Floor,MATCH(G238,MW_Key,0)),0))*I238,"")</f>
        <v>3600</v>
      </c>
      <c r="M238" s="2" t="str">
        <f aca="false">IFERROR(INDEX(LR_Flag,MATCH(G238,LR_Key,0)),"")</f>
        <v>none</v>
      </c>
      <c r="N238" s="2" t="str">
        <f aca="false">IFERROR(INDEX(MW_Check,MATCH(G238,MW_Key,0)),"")</f>
        <v>OK</v>
      </c>
      <c r="O238" s="0" t="str">
        <f aca="false">IF(NOT(ISNUMBER(H238)),"LABOR QUOTE NEEDED – total incomplete",IF(N238="BELOW FLOOR","CHECK: typical labor below wage floor – payout and customer labor raised to floor",IF(M238&lt;&gt;"none","Labor rate flagged: "&amp;M238,"OK")))</f>
        <v>OK</v>
      </c>
      <c r="P238" s="0" t="s">
        <v>1294</v>
      </c>
      <c r="Q238" s="8" t="s">
        <v>1295</v>
      </c>
      <c r="R238" s="2" t="str">
        <f aca="false">IF(OR(M238="regulated",COUNTIFS(Tasks_TaskID,A238,Tasks_Tier,D238,Tasks_Review,"base")&gt;0),"PENDING REVIEW – priced, not bookable until human approval",IF(COUNTIFS(Tasks_TaskID,A238,Tasks_Tier,D238,Tasks_Review,"as-needed")&gt;0,"Bookable (re-evaluate if regulated as-needed line selected)","Bookable"))</f>
        <v>Bookable</v>
      </c>
    </row>
    <row r="239" customFormat="false" ht="17.15" hidden="false" customHeight="false" outlineLevel="0" collapsed="false">
      <c r="A239" s="2" t="s">
        <v>1291</v>
      </c>
      <c r="B239" s="2" t="s">
        <v>397</v>
      </c>
      <c r="C239" s="2" t="s">
        <v>1292</v>
      </c>
      <c r="D239" s="2" t="s">
        <v>1051</v>
      </c>
      <c r="E239" s="2" t="s">
        <v>1896</v>
      </c>
      <c r="F239" s="3" t="n">
        <f aca="false">INDEX(Sum_Base,MATCH(A239,Sum_BaseTasks,0),MATCH(D239,Sum_BaseTiers,0))</f>
        <v>1862.166375</v>
      </c>
      <c r="G239" s="2" t="str">
        <f aca="false">IF(ISNUMBER(MATCH(A239&amp;"|"&amp;D239,LR_Key,0)),A239&amp;"|"&amp;D239,A239&amp;"|All")</f>
        <v>FIXX-FLR-003|All</v>
      </c>
      <c r="H239" s="3" t="n">
        <f aca="false">IFERROR(INDEX(LR_TypLabor,MATCH(G239,LR_Key,0)),"")</f>
        <v>3600</v>
      </c>
      <c r="I239" s="12" t="n">
        <f aca="false">INDEX(Urg_Mult,MATCH(E239,Urg_Levels,0))</f>
        <v>1.15</v>
      </c>
      <c r="J239" s="3" t="n">
        <f aca="false">IF(ISNUMBER(H239),MAX(H239,IFERROR(INDEX(MW_Floor,MATCH(G239,MW_Key,0)),0))*I239,"")</f>
        <v>4140</v>
      </c>
      <c r="K239" s="3" t="n">
        <f aca="false">IF(ISNUMBER(J239),F239+J239,"")</f>
        <v>6002.166375</v>
      </c>
      <c r="L239" s="3" t="n">
        <f aca="false">IF(ISNUMBER(H239),MAX(H239,IFERROR(INDEX(MW_Floor,MATCH(G239,MW_Key,0)),0))*I239,"")</f>
        <v>4140</v>
      </c>
      <c r="M239" s="2" t="str">
        <f aca="false">IFERROR(INDEX(LR_Flag,MATCH(G239,LR_Key,0)),"")</f>
        <v>none</v>
      </c>
      <c r="N239" s="2" t="str">
        <f aca="false">IFERROR(INDEX(MW_Check,MATCH(G239,MW_Key,0)),"")</f>
        <v>OK</v>
      </c>
      <c r="O239" s="0" t="str">
        <f aca="false">IF(NOT(ISNUMBER(H239)),"LABOR QUOTE NEEDED – total incomplete",IF(N239="BELOW FLOOR","CHECK: typical labor below wage floor – payout and customer labor raised to floor",IF(M239&lt;&gt;"none","Labor rate flagged: "&amp;M239,"OK")))</f>
        <v>OK</v>
      </c>
      <c r="P239" s="0" t="s">
        <v>1294</v>
      </c>
      <c r="Q239" s="8" t="s">
        <v>1295</v>
      </c>
      <c r="R239" s="2" t="str">
        <f aca="false">IF(OR(M239="regulated",COUNTIFS(Tasks_TaskID,A239,Tasks_Tier,D239,Tasks_Review,"base")&gt;0),"PENDING REVIEW – priced, not bookable until human approval",IF(COUNTIFS(Tasks_TaskID,A239,Tasks_Tier,D239,Tasks_Review,"as-needed")&gt;0,"Bookable (re-evaluate if regulated as-needed line selected)","Bookable"))</f>
        <v>Bookable</v>
      </c>
    </row>
    <row r="240" customFormat="false" ht="17.15" hidden="false" customHeight="false" outlineLevel="0" collapsed="false">
      <c r="A240" s="2" t="s">
        <v>1291</v>
      </c>
      <c r="B240" s="2" t="s">
        <v>397</v>
      </c>
      <c r="C240" s="2" t="s">
        <v>1292</v>
      </c>
      <c r="D240" s="2" t="s">
        <v>1051</v>
      </c>
      <c r="E240" s="2" t="s">
        <v>1897</v>
      </c>
      <c r="F240" s="3" t="n">
        <f aca="false">INDEX(Sum_Base,MATCH(A240,Sum_BaseTasks,0),MATCH(D240,Sum_BaseTiers,0))</f>
        <v>1862.166375</v>
      </c>
      <c r="G240" s="2" t="str">
        <f aca="false">IF(ISNUMBER(MATCH(A240&amp;"|"&amp;D240,LR_Key,0)),A240&amp;"|"&amp;D240,A240&amp;"|All")</f>
        <v>FIXX-FLR-003|All</v>
      </c>
      <c r="H240" s="3" t="n">
        <f aca="false">IFERROR(INDEX(LR_TypLabor,MATCH(G240,LR_Key,0)),"")</f>
        <v>3600</v>
      </c>
      <c r="I240" s="12" t="n">
        <f aca="false">INDEX(Urg_Mult,MATCH(E240,Urg_Levels,0))</f>
        <v>1.3</v>
      </c>
      <c r="J240" s="3" t="n">
        <f aca="false">IF(ISNUMBER(H240),MAX(H240,IFERROR(INDEX(MW_Floor,MATCH(G240,MW_Key,0)),0))*I240,"")</f>
        <v>4680</v>
      </c>
      <c r="K240" s="3" t="n">
        <f aca="false">IF(ISNUMBER(J240),F240+J240,"")</f>
        <v>6542.166375</v>
      </c>
      <c r="L240" s="3" t="n">
        <f aca="false">IF(ISNUMBER(H240),MAX(H240,IFERROR(INDEX(MW_Floor,MATCH(G240,MW_Key,0)),0))*I240,"")</f>
        <v>4680</v>
      </c>
      <c r="M240" s="2" t="str">
        <f aca="false">IFERROR(INDEX(LR_Flag,MATCH(G240,LR_Key,0)),"")</f>
        <v>none</v>
      </c>
      <c r="N240" s="2" t="str">
        <f aca="false">IFERROR(INDEX(MW_Check,MATCH(G240,MW_Key,0)),"")</f>
        <v>OK</v>
      </c>
      <c r="O240" s="0" t="str">
        <f aca="false">IF(NOT(ISNUMBER(H240)),"LABOR QUOTE NEEDED – total incomplete",IF(N240="BELOW FLOOR","CHECK: typical labor below wage floor – payout and customer labor raised to floor",IF(M240&lt;&gt;"none","Labor rate flagged: "&amp;M240,"OK")))</f>
        <v>OK</v>
      </c>
      <c r="P240" s="0" t="s">
        <v>1294</v>
      </c>
      <c r="Q240" s="8" t="s">
        <v>1295</v>
      </c>
      <c r="R240" s="2" t="str">
        <f aca="false">IF(OR(M240="regulated",COUNTIFS(Tasks_TaskID,A240,Tasks_Tier,D240,Tasks_Review,"base")&gt;0),"PENDING REVIEW – priced, not bookable until human approval",IF(COUNTIFS(Tasks_TaskID,A240,Tasks_Tier,D240,Tasks_Review,"as-needed")&gt;0,"Bookable (re-evaluate if regulated as-needed line selected)","Bookable"))</f>
        <v>Bookable</v>
      </c>
    </row>
    <row r="241" customFormat="false" ht="17.15" hidden="false" customHeight="false" outlineLevel="0" collapsed="false">
      <c r="A241" s="2" t="s">
        <v>1291</v>
      </c>
      <c r="B241" s="2" t="s">
        <v>397</v>
      </c>
      <c r="C241" s="2" t="s">
        <v>1292</v>
      </c>
      <c r="D241" s="2" t="s">
        <v>1051</v>
      </c>
      <c r="E241" s="2" t="s">
        <v>1898</v>
      </c>
      <c r="F241" s="3" t="n">
        <f aca="false">INDEX(Sum_Base,MATCH(A241,Sum_BaseTasks,0),MATCH(D241,Sum_BaseTiers,0))</f>
        <v>1862.166375</v>
      </c>
      <c r="G241" s="2" t="str">
        <f aca="false">IF(ISNUMBER(MATCH(A241&amp;"|"&amp;D241,LR_Key,0)),A241&amp;"|"&amp;D241,A241&amp;"|All")</f>
        <v>FIXX-FLR-003|All</v>
      </c>
      <c r="H241" s="3" t="n">
        <f aca="false">IFERROR(INDEX(LR_TypLabor,MATCH(G241,LR_Key,0)),"")</f>
        <v>3600</v>
      </c>
      <c r="I241" s="12" t="n">
        <f aca="false">INDEX(Urg_Mult,MATCH(E241,Urg_Levels,0))</f>
        <v>1.5</v>
      </c>
      <c r="J241" s="3" t="n">
        <f aca="false">IF(ISNUMBER(H241),MAX(H241,IFERROR(INDEX(MW_Floor,MATCH(G241,MW_Key,0)),0))*I241,"")</f>
        <v>5400</v>
      </c>
      <c r="K241" s="3" t="n">
        <f aca="false">IF(ISNUMBER(J241),F241+J241,"")</f>
        <v>7262.166375</v>
      </c>
      <c r="L241" s="3" t="n">
        <f aca="false">IF(ISNUMBER(H241),MAX(H241,IFERROR(INDEX(MW_Floor,MATCH(G241,MW_Key,0)),0))*I241,"")</f>
        <v>5400</v>
      </c>
      <c r="M241" s="2" t="str">
        <f aca="false">IFERROR(INDEX(LR_Flag,MATCH(G241,LR_Key,0)),"")</f>
        <v>none</v>
      </c>
      <c r="N241" s="2" t="str">
        <f aca="false">IFERROR(INDEX(MW_Check,MATCH(G241,MW_Key,0)),"")</f>
        <v>OK</v>
      </c>
      <c r="O241" s="0" t="str">
        <f aca="false">IF(NOT(ISNUMBER(H241)),"LABOR QUOTE NEEDED – total incomplete",IF(N241="BELOW FLOOR","CHECK: typical labor below wage floor – payout and customer labor raised to floor",IF(M241&lt;&gt;"none","Labor rate flagged: "&amp;M241,"OK")))</f>
        <v>OK</v>
      </c>
      <c r="P241" s="0" t="s">
        <v>1294</v>
      </c>
      <c r="Q241" s="8" t="s">
        <v>1295</v>
      </c>
      <c r="R241" s="2" t="str">
        <f aca="false">IF(OR(M241="regulated",COUNTIFS(Tasks_TaskID,A241,Tasks_Tier,D241,Tasks_Review,"base")&gt;0),"PENDING REVIEW – priced, not bookable until human approval",IF(COUNTIFS(Tasks_TaskID,A241,Tasks_Tier,D241,Tasks_Review,"as-needed")&gt;0,"Bookable (re-evaluate if regulated as-needed line selected)","Bookable"))</f>
        <v>Bookable</v>
      </c>
    </row>
    <row r="242" customFormat="false" ht="17.15" hidden="false" customHeight="false" outlineLevel="0" collapsed="false">
      <c r="A242" s="2" t="s">
        <v>1318</v>
      </c>
      <c r="B242" s="2" t="s">
        <v>496</v>
      </c>
      <c r="C242" s="2" t="s">
        <v>1319</v>
      </c>
      <c r="D242" s="2" t="s">
        <v>1042</v>
      </c>
      <c r="E242" s="2" t="s">
        <v>1895</v>
      </c>
      <c r="F242" s="3" t="n">
        <f aca="false">INDEX(Sum_Base,MATCH(A242,Sum_BaseTasks,0),MATCH(D242,Sum_BaseTiers,0))</f>
        <v>1817</v>
      </c>
      <c r="G242" s="2" t="str">
        <f aca="false">IF(ISNUMBER(MATCH(A242&amp;"|"&amp;D242,LR_Key,0)),A242&amp;"|"&amp;D242,A242&amp;"|All")</f>
        <v>FIXX-CON-001|All</v>
      </c>
      <c r="H242" s="3" t="n">
        <f aca="false">IFERROR(INDEX(LR_TypLabor,MATCH(G242,LR_Key,0)),"")</f>
        <v>2250</v>
      </c>
      <c r="I242" s="12" t="n">
        <f aca="false">INDEX(Urg_Mult,MATCH(E242,Urg_Levels,0))</f>
        <v>1</v>
      </c>
      <c r="J242" s="3" t="n">
        <f aca="false">IF(ISNUMBER(H242),MAX(H242,IFERROR(INDEX(MW_Floor,MATCH(G242,MW_Key,0)),0))*I242,"")</f>
        <v>2250</v>
      </c>
      <c r="K242" s="3" t="n">
        <f aca="false">IF(ISNUMBER(J242),F242+J242,"")</f>
        <v>4067</v>
      </c>
      <c r="L242" s="3" t="n">
        <f aca="false">IF(ISNUMBER(H242),MAX(H242,IFERROR(INDEX(MW_Floor,MATCH(G242,MW_Key,0)),0))*I242,"")</f>
        <v>2250</v>
      </c>
      <c r="M242" s="2" t="str">
        <f aca="false">IFERROR(INDEX(LR_Flag,MATCH(G242,LR_Key,0)),"")</f>
        <v>national data</v>
      </c>
      <c r="N242" s="2" t="str">
        <f aca="false">IFERROR(INDEX(MW_Check,MATCH(G242,MW_Key,0)),"")</f>
        <v>OK</v>
      </c>
      <c r="O242" s="0" t="str">
        <f aca="false">IF(NOT(ISNUMBER(H242)),"LABOR QUOTE NEEDED – total incomplete",IF(N242="BELOW FLOOR","CHECK: typical labor below wage floor – payout and customer labor raised to floor",IF(M242&lt;&gt;"none","Labor rate flagged: "&amp;M242,"OK")))</f>
        <v>Labor rate flagged: national data</v>
      </c>
      <c r="P242" s="0" t="s">
        <v>1321</v>
      </c>
      <c r="Q242" s="8" t="s">
        <v>1322</v>
      </c>
      <c r="R242" s="2" t="str">
        <f aca="false">IF(OR(M242="regulated",COUNTIFS(Tasks_TaskID,A242,Tasks_Tier,D242,Tasks_Review,"base")&gt;0),"PENDING REVIEW – priced, not bookable until human approval",IF(COUNTIFS(Tasks_TaskID,A242,Tasks_Tier,D242,Tasks_Review,"as-needed")&gt;0,"Bookable (re-evaluate if regulated as-needed line selected)","Bookable"))</f>
        <v>Bookable</v>
      </c>
    </row>
    <row r="243" customFormat="false" ht="17.15" hidden="false" customHeight="false" outlineLevel="0" collapsed="false">
      <c r="A243" s="2" t="s">
        <v>1318</v>
      </c>
      <c r="B243" s="2" t="s">
        <v>496</v>
      </c>
      <c r="C243" s="2" t="s">
        <v>1319</v>
      </c>
      <c r="D243" s="2" t="s">
        <v>1042</v>
      </c>
      <c r="E243" s="2" t="s">
        <v>1896</v>
      </c>
      <c r="F243" s="3" t="n">
        <f aca="false">INDEX(Sum_Base,MATCH(A243,Sum_BaseTasks,0),MATCH(D243,Sum_BaseTiers,0))</f>
        <v>1817</v>
      </c>
      <c r="G243" s="2" t="str">
        <f aca="false">IF(ISNUMBER(MATCH(A243&amp;"|"&amp;D243,LR_Key,0)),A243&amp;"|"&amp;D243,A243&amp;"|All")</f>
        <v>FIXX-CON-001|All</v>
      </c>
      <c r="H243" s="3" t="n">
        <f aca="false">IFERROR(INDEX(LR_TypLabor,MATCH(G243,LR_Key,0)),"")</f>
        <v>2250</v>
      </c>
      <c r="I243" s="12" t="n">
        <f aca="false">INDEX(Urg_Mult,MATCH(E243,Urg_Levels,0))</f>
        <v>1.15</v>
      </c>
      <c r="J243" s="3" t="n">
        <f aca="false">IF(ISNUMBER(H243),MAX(H243,IFERROR(INDEX(MW_Floor,MATCH(G243,MW_Key,0)),0))*I243,"")</f>
        <v>2587.5</v>
      </c>
      <c r="K243" s="3" t="n">
        <f aca="false">IF(ISNUMBER(J243),F243+J243,"")</f>
        <v>4404.5</v>
      </c>
      <c r="L243" s="3" t="n">
        <f aca="false">IF(ISNUMBER(H243),MAX(H243,IFERROR(INDEX(MW_Floor,MATCH(G243,MW_Key,0)),0))*I243,"")</f>
        <v>2587.5</v>
      </c>
      <c r="M243" s="2" t="str">
        <f aca="false">IFERROR(INDEX(LR_Flag,MATCH(G243,LR_Key,0)),"")</f>
        <v>national data</v>
      </c>
      <c r="N243" s="2" t="str">
        <f aca="false">IFERROR(INDEX(MW_Check,MATCH(G243,MW_Key,0)),"")</f>
        <v>OK</v>
      </c>
      <c r="O243" s="0" t="str">
        <f aca="false">IF(NOT(ISNUMBER(H243)),"LABOR QUOTE NEEDED – total incomplete",IF(N243="BELOW FLOOR","CHECK: typical labor below wage floor – payout and customer labor raised to floor",IF(M243&lt;&gt;"none","Labor rate flagged: "&amp;M243,"OK")))</f>
        <v>Labor rate flagged: national data</v>
      </c>
      <c r="P243" s="0" t="s">
        <v>1321</v>
      </c>
      <c r="Q243" s="8" t="s">
        <v>1322</v>
      </c>
      <c r="R243" s="2" t="str">
        <f aca="false">IF(OR(M243="regulated",COUNTIFS(Tasks_TaskID,A243,Tasks_Tier,D243,Tasks_Review,"base")&gt;0),"PENDING REVIEW – priced, not bookable until human approval",IF(COUNTIFS(Tasks_TaskID,A243,Tasks_Tier,D243,Tasks_Review,"as-needed")&gt;0,"Bookable (re-evaluate if regulated as-needed line selected)","Bookable"))</f>
        <v>Bookable</v>
      </c>
    </row>
    <row r="244" customFormat="false" ht="17.15" hidden="false" customHeight="false" outlineLevel="0" collapsed="false">
      <c r="A244" s="2" t="s">
        <v>1318</v>
      </c>
      <c r="B244" s="2" t="s">
        <v>496</v>
      </c>
      <c r="C244" s="2" t="s">
        <v>1319</v>
      </c>
      <c r="D244" s="2" t="s">
        <v>1042</v>
      </c>
      <c r="E244" s="2" t="s">
        <v>1897</v>
      </c>
      <c r="F244" s="3" t="n">
        <f aca="false">INDEX(Sum_Base,MATCH(A244,Sum_BaseTasks,0),MATCH(D244,Sum_BaseTiers,0))</f>
        <v>1817</v>
      </c>
      <c r="G244" s="2" t="str">
        <f aca="false">IF(ISNUMBER(MATCH(A244&amp;"|"&amp;D244,LR_Key,0)),A244&amp;"|"&amp;D244,A244&amp;"|All")</f>
        <v>FIXX-CON-001|All</v>
      </c>
      <c r="H244" s="3" t="n">
        <f aca="false">IFERROR(INDEX(LR_TypLabor,MATCH(G244,LR_Key,0)),"")</f>
        <v>2250</v>
      </c>
      <c r="I244" s="12" t="n">
        <f aca="false">INDEX(Urg_Mult,MATCH(E244,Urg_Levels,0))</f>
        <v>1.3</v>
      </c>
      <c r="J244" s="3" t="n">
        <f aca="false">IF(ISNUMBER(H244),MAX(H244,IFERROR(INDEX(MW_Floor,MATCH(G244,MW_Key,0)),0))*I244,"")</f>
        <v>2925</v>
      </c>
      <c r="K244" s="3" t="n">
        <f aca="false">IF(ISNUMBER(J244),F244+J244,"")</f>
        <v>4742</v>
      </c>
      <c r="L244" s="3" t="n">
        <f aca="false">IF(ISNUMBER(H244),MAX(H244,IFERROR(INDEX(MW_Floor,MATCH(G244,MW_Key,0)),0))*I244,"")</f>
        <v>2925</v>
      </c>
      <c r="M244" s="2" t="str">
        <f aca="false">IFERROR(INDEX(LR_Flag,MATCH(G244,LR_Key,0)),"")</f>
        <v>national data</v>
      </c>
      <c r="N244" s="2" t="str">
        <f aca="false">IFERROR(INDEX(MW_Check,MATCH(G244,MW_Key,0)),"")</f>
        <v>OK</v>
      </c>
      <c r="O244" s="0" t="str">
        <f aca="false">IF(NOT(ISNUMBER(H244)),"LABOR QUOTE NEEDED – total incomplete",IF(N244="BELOW FLOOR","CHECK: typical labor below wage floor – payout and customer labor raised to floor",IF(M244&lt;&gt;"none","Labor rate flagged: "&amp;M244,"OK")))</f>
        <v>Labor rate flagged: national data</v>
      </c>
      <c r="P244" s="0" t="s">
        <v>1321</v>
      </c>
      <c r="Q244" s="8" t="s">
        <v>1322</v>
      </c>
      <c r="R244" s="2" t="str">
        <f aca="false">IF(OR(M244="regulated",COUNTIFS(Tasks_TaskID,A244,Tasks_Tier,D244,Tasks_Review,"base")&gt;0),"PENDING REVIEW – priced, not bookable until human approval",IF(COUNTIFS(Tasks_TaskID,A244,Tasks_Tier,D244,Tasks_Review,"as-needed")&gt;0,"Bookable (re-evaluate if regulated as-needed line selected)","Bookable"))</f>
        <v>Bookable</v>
      </c>
    </row>
    <row r="245" customFormat="false" ht="17.15" hidden="false" customHeight="false" outlineLevel="0" collapsed="false">
      <c r="A245" s="2" t="s">
        <v>1318</v>
      </c>
      <c r="B245" s="2" t="s">
        <v>496</v>
      </c>
      <c r="C245" s="2" t="s">
        <v>1319</v>
      </c>
      <c r="D245" s="2" t="s">
        <v>1042</v>
      </c>
      <c r="E245" s="2" t="s">
        <v>1898</v>
      </c>
      <c r="F245" s="3" t="n">
        <f aca="false">INDEX(Sum_Base,MATCH(A245,Sum_BaseTasks,0),MATCH(D245,Sum_BaseTiers,0))</f>
        <v>1817</v>
      </c>
      <c r="G245" s="2" t="str">
        <f aca="false">IF(ISNUMBER(MATCH(A245&amp;"|"&amp;D245,LR_Key,0)),A245&amp;"|"&amp;D245,A245&amp;"|All")</f>
        <v>FIXX-CON-001|All</v>
      </c>
      <c r="H245" s="3" t="n">
        <f aca="false">IFERROR(INDEX(LR_TypLabor,MATCH(G245,LR_Key,0)),"")</f>
        <v>2250</v>
      </c>
      <c r="I245" s="12" t="n">
        <f aca="false">INDEX(Urg_Mult,MATCH(E245,Urg_Levels,0))</f>
        <v>1.5</v>
      </c>
      <c r="J245" s="3" t="n">
        <f aca="false">IF(ISNUMBER(H245),MAX(H245,IFERROR(INDEX(MW_Floor,MATCH(G245,MW_Key,0)),0))*I245,"")</f>
        <v>3375</v>
      </c>
      <c r="K245" s="3" t="n">
        <f aca="false">IF(ISNUMBER(J245),F245+J245,"")</f>
        <v>5192</v>
      </c>
      <c r="L245" s="3" t="n">
        <f aca="false">IF(ISNUMBER(H245),MAX(H245,IFERROR(INDEX(MW_Floor,MATCH(G245,MW_Key,0)),0))*I245,"")</f>
        <v>3375</v>
      </c>
      <c r="M245" s="2" t="str">
        <f aca="false">IFERROR(INDEX(LR_Flag,MATCH(G245,LR_Key,0)),"")</f>
        <v>national data</v>
      </c>
      <c r="N245" s="2" t="str">
        <f aca="false">IFERROR(INDEX(MW_Check,MATCH(G245,MW_Key,0)),"")</f>
        <v>OK</v>
      </c>
      <c r="O245" s="0" t="str">
        <f aca="false">IF(NOT(ISNUMBER(H245)),"LABOR QUOTE NEEDED – total incomplete",IF(N245="BELOW FLOOR","CHECK: typical labor below wage floor – payout and customer labor raised to floor",IF(M245&lt;&gt;"none","Labor rate flagged: "&amp;M245,"OK")))</f>
        <v>Labor rate flagged: national data</v>
      </c>
      <c r="P245" s="0" t="s">
        <v>1321</v>
      </c>
      <c r="Q245" s="8" t="s">
        <v>1322</v>
      </c>
      <c r="R245" s="2" t="str">
        <f aca="false">IF(OR(M245="regulated",COUNTIFS(Tasks_TaskID,A245,Tasks_Tier,D245,Tasks_Review,"base")&gt;0),"PENDING REVIEW – priced, not bookable until human approval",IF(COUNTIFS(Tasks_TaskID,A245,Tasks_Tier,D245,Tasks_Review,"as-needed")&gt;0,"Bookable (re-evaluate if regulated as-needed line selected)","Bookable"))</f>
        <v>Bookable</v>
      </c>
    </row>
    <row r="246" customFormat="false" ht="17.15" hidden="false" customHeight="false" outlineLevel="0" collapsed="false">
      <c r="A246" s="2" t="s">
        <v>1318</v>
      </c>
      <c r="B246" s="2" t="s">
        <v>496</v>
      </c>
      <c r="C246" s="2" t="s">
        <v>1319</v>
      </c>
      <c r="D246" s="2" t="s">
        <v>1049</v>
      </c>
      <c r="E246" s="2" t="s">
        <v>1895</v>
      </c>
      <c r="F246" s="3" t="n">
        <f aca="false">INDEX(Sum_Base,MATCH(A246,Sum_BaseTasks,0),MATCH(D246,Sum_BaseTiers,0))</f>
        <v>4035</v>
      </c>
      <c r="G246" s="2" t="str">
        <f aca="false">IF(ISNUMBER(MATCH(A246&amp;"|"&amp;D246,LR_Key,0)),A246&amp;"|"&amp;D246,A246&amp;"|All")</f>
        <v>FIXX-CON-001|All</v>
      </c>
      <c r="H246" s="3" t="n">
        <f aca="false">IFERROR(INDEX(LR_TypLabor,MATCH(G246,LR_Key,0)),"")</f>
        <v>2250</v>
      </c>
      <c r="I246" s="12" t="n">
        <f aca="false">INDEX(Urg_Mult,MATCH(E246,Urg_Levels,0))</f>
        <v>1</v>
      </c>
      <c r="J246" s="3" t="n">
        <f aca="false">IF(ISNUMBER(H246),MAX(H246,IFERROR(INDEX(MW_Floor,MATCH(G246,MW_Key,0)),0))*I246,"")</f>
        <v>2250</v>
      </c>
      <c r="K246" s="3" t="n">
        <f aca="false">IF(ISNUMBER(J246),F246+J246,"")</f>
        <v>6285</v>
      </c>
      <c r="L246" s="3" t="n">
        <f aca="false">IF(ISNUMBER(H246),MAX(H246,IFERROR(INDEX(MW_Floor,MATCH(G246,MW_Key,0)),0))*I246,"")</f>
        <v>2250</v>
      </c>
      <c r="M246" s="2" t="str">
        <f aca="false">IFERROR(INDEX(LR_Flag,MATCH(G246,LR_Key,0)),"")</f>
        <v>national data</v>
      </c>
      <c r="N246" s="2" t="str">
        <f aca="false">IFERROR(INDEX(MW_Check,MATCH(G246,MW_Key,0)),"")</f>
        <v>OK</v>
      </c>
      <c r="O246" s="0" t="str">
        <f aca="false">IF(NOT(ISNUMBER(H246)),"LABOR QUOTE NEEDED – total incomplete",IF(N246="BELOW FLOOR","CHECK: typical labor below wage floor – payout and customer labor raised to floor",IF(M246&lt;&gt;"none","Labor rate flagged: "&amp;M246,"OK")))</f>
        <v>Labor rate flagged: national data</v>
      </c>
      <c r="P246" s="0" t="s">
        <v>1321</v>
      </c>
      <c r="Q246" s="8" t="s">
        <v>1322</v>
      </c>
      <c r="R246" s="2" t="str">
        <f aca="false">IF(OR(M246="regulated",COUNTIFS(Tasks_TaskID,A246,Tasks_Tier,D246,Tasks_Review,"base")&gt;0),"PENDING REVIEW – priced, not bookable until human approval",IF(COUNTIFS(Tasks_TaskID,A246,Tasks_Tier,D246,Tasks_Review,"as-needed")&gt;0,"Bookable (re-evaluate if regulated as-needed line selected)","Bookable"))</f>
        <v>Bookable</v>
      </c>
    </row>
    <row r="247" customFormat="false" ht="17.15" hidden="false" customHeight="false" outlineLevel="0" collapsed="false">
      <c r="A247" s="2" t="s">
        <v>1318</v>
      </c>
      <c r="B247" s="2" t="s">
        <v>496</v>
      </c>
      <c r="C247" s="2" t="s">
        <v>1319</v>
      </c>
      <c r="D247" s="2" t="s">
        <v>1049</v>
      </c>
      <c r="E247" s="2" t="s">
        <v>1896</v>
      </c>
      <c r="F247" s="3" t="n">
        <f aca="false">INDEX(Sum_Base,MATCH(A247,Sum_BaseTasks,0),MATCH(D247,Sum_BaseTiers,0))</f>
        <v>4035</v>
      </c>
      <c r="G247" s="2" t="str">
        <f aca="false">IF(ISNUMBER(MATCH(A247&amp;"|"&amp;D247,LR_Key,0)),A247&amp;"|"&amp;D247,A247&amp;"|All")</f>
        <v>FIXX-CON-001|All</v>
      </c>
      <c r="H247" s="3" t="n">
        <f aca="false">IFERROR(INDEX(LR_TypLabor,MATCH(G247,LR_Key,0)),"")</f>
        <v>2250</v>
      </c>
      <c r="I247" s="12" t="n">
        <f aca="false">INDEX(Urg_Mult,MATCH(E247,Urg_Levels,0))</f>
        <v>1.15</v>
      </c>
      <c r="J247" s="3" t="n">
        <f aca="false">IF(ISNUMBER(H247),MAX(H247,IFERROR(INDEX(MW_Floor,MATCH(G247,MW_Key,0)),0))*I247,"")</f>
        <v>2587.5</v>
      </c>
      <c r="K247" s="3" t="n">
        <f aca="false">IF(ISNUMBER(J247),F247+J247,"")</f>
        <v>6622.5</v>
      </c>
      <c r="L247" s="3" t="n">
        <f aca="false">IF(ISNUMBER(H247),MAX(H247,IFERROR(INDEX(MW_Floor,MATCH(G247,MW_Key,0)),0))*I247,"")</f>
        <v>2587.5</v>
      </c>
      <c r="M247" s="2" t="str">
        <f aca="false">IFERROR(INDEX(LR_Flag,MATCH(G247,LR_Key,0)),"")</f>
        <v>national data</v>
      </c>
      <c r="N247" s="2" t="str">
        <f aca="false">IFERROR(INDEX(MW_Check,MATCH(G247,MW_Key,0)),"")</f>
        <v>OK</v>
      </c>
      <c r="O247" s="0" t="str">
        <f aca="false">IF(NOT(ISNUMBER(H247)),"LABOR QUOTE NEEDED – total incomplete",IF(N247="BELOW FLOOR","CHECK: typical labor below wage floor – payout and customer labor raised to floor",IF(M247&lt;&gt;"none","Labor rate flagged: "&amp;M247,"OK")))</f>
        <v>Labor rate flagged: national data</v>
      </c>
      <c r="P247" s="0" t="s">
        <v>1321</v>
      </c>
      <c r="Q247" s="8" t="s">
        <v>1322</v>
      </c>
      <c r="R247" s="2" t="str">
        <f aca="false">IF(OR(M247="regulated",COUNTIFS(Tasks_TaskID,A247,Tasks_Tier,D247,Tasks_Review,"base")&gt;0),"PENDING REVIEW – priced, not bookable until human approval",IF(COUNTIFS(Tasks_TaskID,A247,Tasks_Tier,D247,Tasks_Review,"as-needed")&gt;0,"Bookable (re-evaluate if regulated as-needed line selected)","Bookable"))</f>
        <v>Bookable</v>
      </c>
    </row>
    <row r="248" customFormat="false" ht="17.15" hidden="false" customHeight="false" outlineLevel="0" collapsed="false">
      <c r="A248" s="2" t="s">
        <v>1318</v>
      </c>
      <c r="B248" s="2" t="s">
        <v>496</v>
      </c>
      <c r="C248" s="2" t="s">
        <v>1319</v>
      </c>
      <c r="D248" s="2" t="s">
        <v>1049</v>
      </c>
      <c r="E248" s="2" t="s">
        <v>1897</v>
      </c>
      <c r="F248" s="3" t="n">
        <f aca="false">INDEX(Sum_Base,MATCH(A248,Sum_BaseTasks,0),MATCH(D248,Sum_BaseTiers,0))</f>
        <v>4035</v>
      </c>
      <c r="G248" s="2" t="str">
        <f aca="false">IF(ISNUMBER(MATCH(A248&amp;"|"&amp;D248,LR_Key,0)),A248&amp;"|"&amp;D248,A248&amp;"|All")</f>
        <v>FIXX-CON-001|All</v>
      </c>
      <c r="H248" s="3" t="n">
        <f aca="false">IFERROR(INDEX(LR_TypLabor,MATCH(G248,LR_Key,0)),"")</f>
        <v>2250</v>
      </c>
      <c r="I248" s="12" t="n">
        <f aca="false">INDEX(Urg_Mult,MATCH(E248,Urg_Levels,0))</f>
        <v>1.3</v>
      </c>
      <c r="J248" s="3" t="n">
        <f aca="false">IF(ISNUMBER(H248),MAX(H248,IFERROR(INDEX(MW_Floor,MATCH(G248,MW_Key,0)),0))*I248,"")</f>
        <v>2925</v>
      </c>
      <c r="K248" s="3" t="n">
        <f aca="false">IF(ISNUMBER(J248),F248+J248,"")</f>
        <v>6960</v>
      </c>
      <c r="L248" s="3" t="n">
        <f aca="false">IF(ISNUMBER(H248),MAX(H248,IFERROR(INDEX(MW_Floor,MATCH(G248,MW_Key,0)),0))*I248,"")</f>
        <v>2925</v>
      </c>
      <c r="M248" s="2" t="str">
        <f aca="false">IFERROR(INDEX(LR_Flag,MATCH(G248,LR_Key,0)),"")</f>
        <v>national data</v>
      </c>
      <c r="N248" s="2" t="str">
        <f aca="false">IFERROR(INDEX(MW_Check,MATCH(G248,MW_Key,0)),"")</f>
        <v>OK</v>
      </c>
      <c r="O248" s="0" t="str">
        <f aca="false">IF(NOT(ISNUMBER(H248)),"LABOR QUOTE NEEDED – total incomplete",IF(N248="BELOW FLOOR","CHECK: typical labor below wage floor – payout and customer labor raised to floor",IF(M248&lt;&gt;"none","Labor rate flagged: "&amp;M248,"OK")))</f>
        <v>Labor rate flagged: national data</v>
      </c>
      <c r="P248" s="0" t="s">
        <v>1321</v>
      </c>
      <c r="Q248" s="8" t="s">
        <v>1322</v>
      </c>
      <c r="R248" s="2" t="str">
        <f aca="false">IF(OR(M248="regulated",COUNTIFS(Tasks_TaskID,A248,Tasks_Tier,D248,Tasks_Review,"base")&gt;0),"PENDING REVIEW – priced, not bookable until human approval",IF(COUNTIFS(Tasks_TaskID,A248,Tasks_Tier,D248,Tasks_Review,"as-needed")&gt;0,"Bookable (re-evaluate if regulated as-needed line selected)","Bookable"))</f>
        <v>Bookable</v>
      </c>
    </row>
    <row r="249" customFormat="false" ht="17.15" hidden="false" customHeight="false" outlineLevel="0" collapsed="false">
      <c r="A249" s="2" t="s">
        <v>1318</v>
      </c>
      <c r="B249" s="2" t="s">
        <v>496</v>
      </c>
      <c r="C249" s="2" t="s">
        <v>1319</v>
      </c>
      <c r="D249" s="2" t="s">
        <v>1049</v>
      </c>
      <c r="E249" s="2" t="s">
        <v>1898</v>
      </c>
      <c r="F249" s="3" t="n">
        <f aca="false">INDEX(Sum_Base,MATCH(A249,Sum_BaseTasks,0),MATCH(D249,Sum_BaseTiers,0))</f>
        <v>4035</v>
      </c>
      <c r="G249" s="2" t="str">
        <f aca="false">IF(ISNUMBER(MATCH(A249&amp;"|"&amp;D249,LR_Key,0)),A249&amp;"|"&amp;D249,A249&amp;"|All")</f>
        <v>FIXX-CON-001|All</v>
      </c>
      <c r="H249" s="3" t="n">
        <f aca="false">IFERROR(INDEX(LR_TypLabor,MATCH(G249,LR_Key,0)),"")</f>
        <v>2250</v>
      </c>
      <c r="I249" s="12" t="n">
        <f aca="false">INDEX(Urg_Mult,MATCH(E249,Urg_Levels,0))</f>
        <v>1.5</v>
      </c>
      <c r="J249" s="3" t="n">
        <f aca="false">IF(ISNUMBER(H249),MAX(H249,IFERROR(INDEX(MW_Floor,MATCH(G249,MW_Key,0)),0))*I249,"")</f>
        <v>3375</v>
      </c>
      <c r="K249" s="3" t="n">
        <f aca="false">IF(ISNUMBER(J249),F249+J249,"")</f>
        <v>7410</v>
      </c>
      <c r="L249" s="3" t="n">
        <f aca="false">IF(ISNUMBER(H249),MAX(H249,IFERROR(INDEX(MW_Floor,MATCH(G249,MW_Key,0)),0))*I249,"")</f>
        <v>3375</v>
      </c>
      <c r="M249" s="2" t="str">
        <f aca="false">IFERROR(INDEX(LR_Flag,MATCH(G249,LR_Key,0)),"")</f>
        <v>national data</v>
      </c>
      <c r="N249" s="2" t="str">
        <f aca="false">IFERROR(INDEX(MW_Check,MATCH(G249,MW_Key,0)),"")</f>
        <v>OK</v>
      </c>
      <c r="O249" s="0" t="str">
        <f aca="false">IF(NOT(ISNUMBER(H249)),"LABOR QUOTE NEEDED – total incomplete",IF(N249="BELOW FLOOR","CHECK: typical labor below wage floor – payout and customer labor raised to floor",IF(M249&lt;&gt;"none","Labor rate flagged: "&amp;M249,"OK")))</f>
        <v>Labor rate flagged: national data</v>
      </c>
      <c r="P249" s="0" t="s">
        <v>1321</v>
      </c>
      <c r="Q249" s="8" t="s">
        <v>1322</v>
      </c>
      <c r="R249" s="2" t="str">
        <f aca="false">IF(OR(M249="regulated",COUNTIFS(Tasks_TaskID,A249,Tasks_Tier,D249,Tasks_Review,"base")&gt;0),"PENDING REVIEW – priced, not bookable until human approval",IF(COUNTIFS(Tasks_TaskID,A249,Tasks_Tier,D249,Tasks_Review,"as-needed")&gt;0,"Bookable (re-evaluate if regulated as-needed line selected)","Bookable"))</f>
        <v>Bookable</v>
      </c>
    </row>
    <row r="250" customFormat="false" ht="17.15" hidden="false" customHeight="false" outlineLevel="0" collapsed="false">
      <c r="A250" s="2" t="s">
        <v>1318</v>
      </c>
      <c r="B250" s="2" t="s">
        <v>496</v>
      </c>
      <c r="C250" s="2" t="s">
        <v>1319</v>
      </c>
      <c r="D250" s="2" t="s">
        <v>1051</v>
      </c>
      <c r="E250" s="2" t="s">
        <v>1895</v>
      </c>
      <c r="F250" s="3" t="n">
        <f aca="false">INDEX(Sum_Base,MATCH(A250,Sum_BaseTasks,0),MATCH(D250,Sum_BaseTiers,0))</f>
        <v>3737</v>
      </c>
      <c r="G250" s="2" t="str">
        <f aca="false">IF(ISNUMBER(MATCH(A250&amp;"|"&amp;D250,LR_Key,0)),A250&amp;"|"&amp;D250,A250&amp;"|All")</f>
        <v>FIXX-CON-001|All</v>
      </c>
      <c r="H250" s="3" t="n">
        <f aca="false">IFERROR(INDEX(LR_TypLabor,MATCH(G250,LR_Key,0)),"")</f>
        <v>2250</v>
      </c>
      <c r="I250" s="12" t="n">
        <f aca="false">INDEX(Urg_Mult,MATCH(E250,Urg_Levels,0))</f>
        <v>1</v>
      </c>
      <c r="J250" s="3" t="n">
        <f aca="false">IF(ISNUMBER(H250),MAX(H250,IFERROR(INDEX(MW_Floor,MATCH(G250,MW_Key,0)),0))*I250,"")</f>
        <v>2250</v>
      </c>
      <c r="K250" s="3" t="n">
        <f aca="false">IF(ISNUMBER(J250),F250+J250,"")</f>
        <v>5987</v>
      </c>
      <c r="L250" s="3" t="n">
        <f aca="false">IF(ISNUMBER(H250),MAX(H250,IFERROR(INDEX(MW_Floor,MATCH(G250,MW_Key,0)),0))*I250,"")</f>
        <v>2250</v>
      </c>
      <c r="M250" s="2" t="str">
        <f aca="false">IFERROR(INDEX(LR_Flag,MATCH(G250,LR_Key,0)),"")</f>
        <v>national data</v>
      </c>
      <c r="N250" s="2" t="str">
        <f aca="false">IFERROR(INDEX(MW_Check,MATCH(G250,MW_Key,0)),"")</f>
        <v>OK</v>
      </c>
      <c r="O250" s="0" t="str">
        <f aca="false">IF(NOT(ISNUMBER(H250)),"LABOR QUOTE NEEDED – total incomplete",IF(N250="BELOW FLOOR","CHECK: typical labor below wage floor – payout and customer labor raised to floor",IF(M250&lt;&gt;"none","Labor rate flagged: "&amp;M250,"OK")))</f>
        <v>Labor rate flagged: national data</v>
      </c>
      <c r="P250" s="0" t="s">
        <v>1321</v>
      </c>
      <c r="Q250" s="8" t="s">
        <v>1322</v>
      </c>
      <c r="R250" s="2" t="str">
        <f aca="false">IF(OR(M250="regulated",COUNTIFS(Tasks_TaskID,A250,Tasks_Tier,D250,Tasks_Review,"base")&gt;0),"PENDING REVIEW – priced, not bookable until human approval",IF(COUNTIFS(Tasks_TaskID,A250,Tasks_Tier,D250,Tasks_Review,"as-needed")&gt;0,"Bookable (re-evaluate if regulated as-needed line selected)","Bookable"))</f>
        <v>Bookable</v>
      </c>
    </row>
    <row r="251" customFormat="false" ht="17.15" hidden="false" customHeight="false" outlineLevel="0" collapsed="false">
      <c r="A251" s="2" t="s">
        <v>1318</v>
      </c>
      <c r="B251" s="2" t="s">
        <v>496</v>
      </c>
      <c r="C251" s="2" t="s">
        <v>1319</v>
      </c>
      <c r="D251" s="2" t="s">
        <v>1051</v>
      </c>
      <c r="E251" s="2" t="s">
        <v>1896</v>
      </c>
      <c r="F251" s="3" t="n">
        <f aca="false">INDEX(Sum_Base,MATCH(A251,Sum_BaseTasks,0),MATCH(D251,Sum_BaseTiers,0))</f>
        <v>3737</v>
      </c>
      <c r="G251" s="2" t="str">
        <f aca="false">IF(ISNUMBER(MATCH(A251&amp;"|"&amp;D251,LR_Key,0)),A251&amp;"|"&amp;D251,A251&amp;"|All")</f>
        <v>FIXX-CON-001|All</v>
      </c>
      <c r="H251" s="3" t="n">
        <f aca="false">IFERROR(INDEX(LR_TypLabor,MATCH(G251,LR_Key,0)),"")</f>
        <v>2250</v>
      </c>
      <c r="I251" s="12" t="n">
        <f aca="false">INDEX(Urg_Mult,MATCH(E251,Urg_Levels,0))</f>
        <v>1.15</v>
      </c>
      <c r="J251" s="3" t="n">
        <f aca="false">IF(ISNUMBER(H251),MAX(H251,IFERROR(INDEX(MW_Floor,MATCH(G251,MW_Key,0)),0))*I251,"")</f>
        <v>2587.5</v>
      </c>
      <c r="K251" s="3" t="n">
        <f aca="false">IF(ISNUMBER(J251),F251+J251,"")</f>
        <v>6324.5</v>
      </c>
      <c r="L251" s="3" t="n">
        <f aca="false">IF(ISNUMBER(H251),MAX(H251,IFERROR(INDEX(MW_Floor,MATCH(G251,MW_Key,0)),0))*I251,"")</f>
        <v>2587.5</v>
      </c>
      <c r="M251" s="2" t="str">
        <f aca="false">IFERROR(INDEX(LR_Flag,MATCH(G251,LR_Key,0)),"")</f>
        <v>national data</v>
      </c>
      <c r="N251" s="2" t="str">
        <f aca="false">IFERROR(INDEX(MW_Check,MATCH(G251,MW_Key,0)),"")</f>
        <v>OK</v>
      </c>
      <c r="O251" s="0" t="str">
        <f aca="false">IF(NOT(ISNUMBER(H251)),"LABOR QUOTE NEEDED – total incomplete",IF(N251="BELOW FLOOR","CHECK: typical labor below wage floor – payout and customer labor raised to floor",IF(M251&lt;&gt;"none","Labor rate flagged: "&amp;M251,"OK")))</f>
        <v>Labor rate flagged: national data</v>
      </c>
      <c r="P251" s="0" t="s">
        <v>1321</v>
      </c>
      <c r="Q251" s="8" t="s">
        <v>1322</v>
      </c>
      <c r="R251" s="2" t="str">
        <f aca="false">IF(OR(M251="regulated",COUNTIFS(Tasks_TaskID,A251,Tasks_Tier,D251,Tasks_Review,"base")&gt;0),"PENDING REVIEW – priced, not bookable until human approval",IF(COUNTIFS(Tasks_TaskID,A251,Tasks_Tier,D251,Tasks_Review,"as-needed")&gt;0,"Bookable (re-evaluate if regulated as-needed line selected)","Bookable"))</f>
        <v>Bookable</v>
      </c>
    </row>
    <row r="252" customFormat="false" ht="17.15" hidden="false" customHeight="false" outlineLevel="0" collapsed="false">
      <c r="A252" s="2" t="s">
        <v>1318</v>
      </c>
      <c r="B252" s="2" t="s">
        <v>496</v>
      </c>
      <c r="C252" s="2" t="s">
        <v>1319</v>
      </c>
      <c r="D252" s="2" t="s">
        <v>1051</v>
      </c>
      <c r="E252" s="2" t="s">
        <v>1897</v>
      </c>
      <c r="F252" s="3" t="n">
        <f aca="false">INDEX(Sum_Base,MATCH(A252,Sum_BaseTasks,0),MATCH(D252,Sum_BaseTiers,0))</f>
        <v>3737</v>
      </c>
      <c r="G252" s="2" t="str">
        <f aca="false">IF(ISNUMBER(MATCH(A252&amp;"|"&amp;D252,LR_Key,0)),A252&amp;"|"&amp;D252,A252&amp;"|All")</f>
        <v>FIXX-CON-001|All</v>
      </c>
      <c r="H252" s="3" t="n">
        <f aca="false">IFERROR(INDEX(LR_TypLabor,MATCH(G252,LR_Key,0)),"")</f>
        <v>2250</v>
      </c>
      <c r="I252" s="12" t="n">
        <f aca="false">INDEX(Urg_Mult,MATCH(E252,Urg_Levels,0))</f>
        <v>1.3</v>
      </c>
      <c r="J252" s="3" t="n">
        <f aca="false">IF(ISNUMBER(H252),MAX(H252,IFERROR(INDEX(MW_Floor,MATCH(G252,MW_Key,0)),0))*I252,"")</f>
        <v>2925</v>
      </c>
      <c r="K252" s="3" t="n">
        <f aca="false">IF(ISNUMBER(J252),F252+J252,"")</f>
        <v>6662</v>
      </c>
      <c r="L252" s="3" t="n">
        <f aca="false">IF(ISNUMBER(H252),MAX(H252,IFERROR(INDEX(MW_Floor,MATCH(G252,MW_Key,0)),0))*I252,"")</f>
        <v>2925</v>
      </c>
      <c r="M252" s="2" t="str">
        <f aca="false">IFERROR(INDEX(LR_Flag,MATCH(G252,LR_Key,0)),"")</f>
        <v>national data</v>
      </c>
      <c r="N252" s="2" t="str">
        <f aca="false">IFERROR(INDEX(MW_Check,MATCH(G252,MW_Key,0)),"")</f>
        <v>OK</v>
      </c>
      <c r="O252" s="0" t="str">
        <f aca="false">IF(NOT(ISNUMBER(H252)),"LABOR QUOTE NEEDED – total incomplete",IF(N252="BELOW FLOOR","CHECK: typical labor below wage floor – payout and customer labor raised to floor",IF(M252&lt;&gt;"none","Labor rate flagged: "&amp;M252,"OK")))</f>
        <v>Labor rate flagged: national data</v>
      </c>
      <c r="P252" s="0" t="s">
        <v>1321</v>
      </c>
      <c r="Q252" s="8" t="s">
        <v>1322</v>
      </c>
      <c r="R252" s="2" t="str">
        <f aca="false">IF(OR(M252="regulated",COUNTIFS(Tasks_TaskID,A252,Tasks_Tier,D252,Tasks_Review,"base")&gt;0),"PENDING REVIEW – priced, not bookable until human approval",IF(COUNTIFS(Tasks_TaskID,A252,Tasks_Tier,D252,Tasks_Review,"as-needed")&gt;0,"Bookable (re-evaluate if regulated as-needed line selected)","Bookable"))</f>
        <v>Bookable</v>
      </c>
    </row>
    <row r="253" customFormat="false" ht="17.15" hidden="false" customHeight="false" outlineLevel="0" collapsed="false">
      <c r="A253" s="2" t="s">
        <v>1318</v>
      </c>
      <c r="B253" s="2" t="s">
        <v>496</v>
      </c>
      <c r="C253" s="2" t="s">
        <v>1319</v>
      </c>
      <c r="D253" s="2" t="s">
        <v>1051</v>
      </c>
      <c r="E253" s="2" t="s">
        <v>1898</v>
      </c>
      <c r="F253" s="3" t="n">
        <f aca="false">INDEX(Sum_Base,MATCH(A253,Sum_BaseTasks,0),MATCH(D253,Sum_BaseTiers,0))</f>
        <v>3737</v>
      </c>
      <c r="G253" s="2" t="str">
        <f aca="false">IF(ISNUMBER(MATCH(A253&amp;"|"&amp;D253,LR_Key,0)),A253&amp;"|"&amp;D253,A253&amp;"|All")</f>
        <v>FIXX-CON-001|All</v>
      </c>
      <c r="H253" s="3" t="n">
        <f aca="false">IFERROR(INDEX(LR_TypLabor,MATCH(G253,LR_Key,0)),"")</f>
        <v>2250</v>
      </c>
      <c r="I253" s="12" t="n">
        <f aca="false">INDEX(Urg_Mult,MATCH(E253,Urg_Levels,0))</f>
        <v>1.5</v>
      </c>
      <c r="J253" s="3" t="n">
        <f aca="false">IF(ISNUMBER(H253),MAX(H253,IFERROR(INDEX(MW_Floor,MATCH(G253,MW_Key,0)),0))*I253,"")</f>
        <v>3375</v>
      </c>
      <c r="K253" s="3" t="n">
        <f aca="false">IF(ISNUMBER(J253),F253+J253,"")</f>
        <v>7112</v>
      </c>
      <c r="L253" s="3" t="n">
        <f aca="false">IF(ISNUMBER(H253),MAX(H253,IFERROR(INDEX(MW_Floor,MATCH(G253,MW_Key,0)),0))*I253,"")</f>
        <v>3375</v>
      </c>
      <c r="M253" s="2" t="str">
        <f aca="false">IFERROR(INDEX(LR_Flag,MATCH(G253,LR_Key,0)),"")</f>
        <v>national data</v>
      </c>
      <c r="N253" s="2" t="str">
        <f aca="false">IFERROR(INDEX(MW_Check,MATCH(G253,MW_Key,0)),"")</f>
        <v>OK</v>
      </c>
      <c r="O253" s="0" t="str">
        <f aca="false">IF(NOT(ISNUMBER(H253)),"LABOR QUOTE NEEDED – total incomplete",IF(N253="BELOW FLOOR","CHECK: typical labor below wage floor – payout and customer labor raised to floor",IF(M253&lt;&gt;"none","Labor rate flagged: "&amp;M253,"OK")))</f>
        <v>Labor rate flagged: national data</v>
      </c>
      <c r="P253" s="0" t="s">
        <v>1321</v>
      </c>
      <c r="Q253" s="8" t="s">
        <v>1322</v>
      </c>
      <c r="R253" s="2" t="str">
        <f aca="false">IF(OR(M253="regulated",COUNTIFS(Tasks_TaskID,A253,Tasks_Tier,D253,Tasks_Review,"base")&gt;0),"PENDING REVIEW – priced, not bookable until human approval",IF(COUNTIFS(Tasks_TaskID,A253,Tasks_Tier,D253,Tasks_Review,"as-needed")&gt;0,"Bookable (re-evaluate if regulated as-needed line selected)","Bookable"))</f>
        <v>Bookable</v>
      </c>
    </row>
    <row r="254" customFormat="false" ht="17.15" hidden="false" customHeight="false" outlineLevel="0" collapsed="false">
      <c r="A254" s="2" t="s">
        <v>1334</v>
      </c>
      <c r="B254" s="2" t="s">
        <v>496</v>
      </c>
      <c r="C254" s="2" t="s">
        <v>1335</v>
      </c>
      <c r="D254" s="2" t="s">
        <v>1042</v>
      </c>
      <c r="E254" s="2" t="s">
        <v>1895</v>
      </c>
      <c r="F254" s="3" t="n">
        <f aca="false">INDEX(Sum_Base,MATCH(A254,Sum_BaseTasks,0),MATCH(D254,Sum_BaseTiers,0))</f>
        <v>3083</v>
      </c>
      <c r="G254" s="2" t="str">
        <f aca="false">IF(ISNUMBER(MATCH(A254&amp;"|"&amp;D254,LR_Key,0)),A254&amp;"|"&amp;D254,A254&amp;"|All")</f>
        <v>FIXX-CON-002|All</v>
      </c>
      <c r="H254" s="3" t="n">
        <f aca="false">IFERROR(INDEX(LR_TypLabor,MATCH(G254,LR_Key,0)),"")</f>
        <v>2100</v>
      </c>
      <c r="I254" s="12" t="n">
        <f aca="false">INDEX(Urg_Mult,MATCH(E254,Urg_Levels,0))</f>
        <v>1</v>
      </c>
      <c r="J254" s="3" t="n">
        <f aca="false">IF(ISNUMBER(H254),MAX(H254,IFERROR(INDEX(MW_Floor,MATCH(G254,MW_Key,0)),0))*I254,"")</f>
        <v>2100</v>
      </c>
      <c r="K254" s="3" t="n">
        <f aca="false">IF(ISNUMBER(J254),F254+J254,"")</f>
        <v>5183</v>
      </c>
      <c r="L254" s="3" t="n">
        <f aca="false">IF(ISNUMBER(H254),MAX(H254,IFERROR(INDEX(MW_Floor,MATCH(G254,MW_Key,0)),0))*I254,"")</f>
        <v>2100</v>
      </c>
      <c r="M254" s="2" t="str">
        <f aca="false">IFERROR(INDEX(LR_Flag,MATCH(G254,LR_Key,0)),"")</f>
        <v>none</v>
      </c>
      <c r="N254" s="2" t="str">
        <f aca="false">IFERROR(INDEX(MW_Check,MATCH(G254,MW_Key,0)),"")</f>
        <v>OK</v>
      </c>
      <c r="O254" s="0" t="str">
        <f aca="false">IF(NOT(ISNUMBER(H254)),"LABOR QUOTE NEEDED – total incomplete",IF(N254="BELOW FLOOR","CHECK: typical labor below wage floor – payout and customer labor raised to floor",IF(M254&lt;&gt;"none","Labor rate flagged: "&amp;M254,"OK")))</f>
        <v>OK</v>
      </c>
      <c r="P254" s="0" t="s">
        <v>1337</v>
      </c>
      <c r="Q254" s="8" t="s">
        <v>1338</v>
      </c>
      <c r="R254" s="2" t="str">
        <f aca="false">IF(OR(M254="regulated",COUNTIFS(Tasks_TaskID,A254,Tasks_Tier,D254,Tasks_Review,"base")&gt;0),"PENDING REVIEW – priced, not bookable until human approval",IF(COUNTIFS(Tasks_TaskID,A254,Tasks_Tier,D254,Tasks_Review,"as-needed")&gt;0,"Bookable (re-evaluate if regulated as-needed line selected)","Bookable"))</f>
        <v>Bookable</v>
      </c>
    </row>
    <row r="255" customFormat="false" ht="17.15" hidden="false" customHeight="false" outlineLevel="0" collapsed="false">
      <c r="A255" s="2" t="s">
        <v>1334</v>
      </c>
      <c r="B255" s="2" t="s">
        <v>496</v>
      </c>
      <c r="C255" s="2" t="s">
        <v>1335</v>
      </c>
      <c r="D255" s="2" t="s">
        <v>1042</v>
      </c>
      <c r="E255" s="2" t="s">
        <v>1896</v>
      </c>
      <c r="F255" s="3" t="n">
        <f aca="false">INDEX(Sum_Base,MATCH(A255,Sum_BaseTasks,0),MATCH(D255,Sum_BaseTiers,0))</f>
        <v>3083</v>
      </c>
      <c r="G255" s="2" t="str">
        <f aca="false">IF(ISNUMBER(MATCH(A255&amp;"|"&amp;D255,LR_Key,0)),A255&amp;"|"&amp;D255,A255&amp;"|All")</f>
        <v>FIXX-CON-002|All</v>
      </c>
      <c r="H255" s="3" t="n">
        <f aca="false">IFERROR(INDEX(LR_TypLabor,MATCH(G255,LR_Key,0)),"")</f>
        <v>2100</v>
      </c>
      <c r="I255" s="12" t="n">
        <f aca="false">INDEX(Urg_Mult,MATCH(E255,Urg_Levels,0))</f>
        <v>1.15</v>
      </c>
      <c r="J255" s="3" t="n">
        <f aca="false">IF(ISNUMBER(H255),MAX(H255,IFERROR(INDEX(MW_Floor,MATCH(G255,MW_Key,0)),0))*I255,"")</f>
        <v>2415</v>
      </c>
      <c r="K255" s="3" t="n">
        <f aca="false">IF(ISNUMBER(J255),F255+J255,"")</f>
        <v>5498</v>
      </c>
      <c r="L255" s="3" t="n">
        <f aca="false">IF(ISNUMBER(H255),MAX(H255,IFERROR(INDEX(MW_Floor,MATCH(G255,MW_Key,0)),0))*I255,"")</f>
        <v>2415</v>
      </c>
      <c r="M255" s="2" t="str">
        <f aca="false">IFERROR(INDEX(LR_Flag,MATCH(G255,LR_Key,0)),"")</f>
        <v>none</v>
      </c>
      <c r="N255" s="2" t="str">
        <f aca="false">IFERROR(INDEX(MW_Check,MATCH(G255,MW_Key,0)),"")</f>
        <v>OK</v>
      </c>
      <c r="O255" s="0" t="str">
        <f aca="false">IF(NOT(ISNUMBER(H255)),"LABOR QUOTE NEEDED – total incomplete",IF(N255="BELOW FLOOR","CHECK: typical labor below wage floor – payout and customer labor raised to floor",IF(M255&lt;&gt;"none","Labor rate flagged: "&amp;M255,"OK")))</f>
        <v>OK</v>
      </c>
      <c r="P255" s="0" t="s">
        <v>1337</v>
      </c>
      <c r="Q255" s="8" t="s">
        <v>1338</v>
      </c>
      <c r="R255" s="2" t="str">
        <f aca="false">IF(OR(M255="regulated",COUNTIFS(Tasks_TaskID,A255,Tasks_Tier,D255,Tasks_Review,"base")&gt;0),"PENDING REVIEW – priced, not bookable until human approval",IF(COUNTIFS(Tasks_TaskID,A255,Tasks_Tier,D255,Tasks_Review,"as-needed")&gt;0,"Bookable (re-evaluate if regulated as-needed line selected)","Bookable"))</f>
        <v>Bookable</v>
      </c>
    </row>
    <row r="256" customFormat="false" ht="17.15" hidden="false" customHeight="false" outlineLevel="0" collapsed="false">
      <c r="A256" s="2" t="s">
        <v>1334</v>
      </c>
      <c r="B256" s="2" t="s">
        <v>496</v>
      </c>
      <c r="C256" s="2" t="s">
        <v>1335</v>
      </c>
      <c r="D256" s="2" t="s">
        <v>1042</v>
      </c>
      <c r="E256" s="2" t="s">
        <v>1897</v>
      </c>
      <c r="F256" s="3" t="n">
        <f aca="false">INDEX(Sum_Base,MATCH(A256,Sum_BaseTasks,0),MATCH(D256,Sum_BaseTiers,0))</f>
        <v>3083</v>
      </c>
      <c r="G256" s="2" t="str">
        <f aca="false">IF(ISNUMBER(MATCH(A256&amp;"|"&amp;D256,LR_Key,0)),A256&amp;"|"&amp;D256,A256&amp;"|All")</f>
        <v>FIXX-CON-002|All</v>
      </c>
      <c r="H256" s="3" t="n">
        <f aca="false">IFERROR(INDEX(LR_TypLabor,MATCH(G256,LR_Key,0)),"")</f>
        <v>2100</v>
      </c>
      <c r="I256" s="12" t="n">
        <f aca="false">INDEX(Urg_Mult,MATCH(E256,Urg_Levels,0))</f>
        <v>1.3</v>
      </c>
      <c r="J256" s="3" t="n">
        <f aca="false">IF(ISNUMBER(H256),MAX(H256,IFERROR(INDEX(MW_Floor,MATCH(G256,MW_Key,0)),0))*I256,"")</f>
        <v>2730</v>
      </c>
      <c r="K256" s="3" t="n">
        <f aca="false">IF(ISNUMBER(J256),F256+J256,"")</f>
        <v>5813</v>
      </c>
      <c r="L256" s="3" t="n">
        <f aca="false">IF(ISNUMBER(H256),MAX(H256,IFERROR(INDEX(MW_Floor,MATCH(G256,MW_Key,0)),0))*I256,"")</f>
        <v>2730</v>
      </c>
      <c r="M256" s="2" t="str">
        <f aca="false">IFERROR(INDEX(LR_Flag,MATCH(G256,LR_Key,0)),"")</f>
        <v>none</v>
      </c>
      <c r="N256" s="2" t="str">
        <f aca="false">IFERROR(INDEX(MW_Check,MATCH(G256,MW_Key,0)),"")</f>
        <v>OK</v>
      </c>
      <c r="O256" s="0" t="str">
        <f aca="false">IF(NOT(ISNUMBER(H256)),"LABOR QUOTE NEEDED – total incomplete",IF(N256="BELOW FLOOR","CHECK: typical labor below wage floor – payout and customer labor raised to floor",IF(M256&lt;&gt;"none","Labor rate flagged: "&amp;M256,"OK")))</f>
        <v>OK</v>
      </c>
      <c r="P256" s="0" t="s">
        <v>1337</v>
      </c>
      <c r="Q256" s="8" t="s">
        <v>1338</v>
      </c>
      <c r="R256" s="2" t="str">
        <f aca="false">IF(OR(M256="regulated",COUNTIFS(Tasks_TaskID,A256,Tasks_Tier,D256,Tasks_Review,"base")&gt;0),"PENDING REVIEW – priced, not bookable until human approval",IF(COUNTIFS(Tasks_TaskID,A256,Tasks_Tier,D256,Tasks_Review,"as-needed")&gt;0,"Bookable (re-evaluate if regulated as-needed line selected)","Bookable"))</f>
        <v>Bookable</v>
      </c>
    </row>
    <row r="257" customFormat="false" ht="17.15" hidden="false" customHeight="false" outlineLevel="0" collapsed="false">
      <c r="A257" s="2" t="s">
        <v>1334</v>
      </c>
      <c r="B257" s="2" t="s">
        <v>496</v>
      </c>
      <c r="C257" s="2" t="s">
        <v>1335</v>
      </c>
      <c r="D257" s="2" t="s">
        <v>1042</v>
      </c>
      <c r="E257" s="2" t="s">
        <v>1898</v>
      </c>
      <c r="F257" s="3" t="n">
        <f aca="false">INDEX(Sum_Base,MATCH(A257,Sum_BaseTasks,0),MATCH(D257,Sum_BaseTiers,0))</f>
        <v>3083</v>
      </c>
      <c r="G257" s="2" t="str">
        <f aca="false">IF(ISNUMBER(MATCH(A257&amp;"|"&amp;D257,LR_Key,0)),A257&amp;"|"&amp;D257,A257&amp;"|All")</f>
        <v>FIXX-CON-002|All</v>
      </c>
      <c r="H257" s="3" t="n">
        <f aca="false">IFERROR(INDEX(LR_TypLabor,MATCH(G257,LR_Key,0)),"")</f>
        <v>2100</v>
      </c>
      <c r="I257" s="12" t="n">
        <f aca="false">INDEX(Urg_Mult,MATCH(E257,Urg_Levels,0))</f>
        <v>1.5</v>
      </c>
      <c r="J257" s="3" t="n">
        <f aca="false">IF(ISNUMBER(H257),MAX(H257,IFERROR(INDEX(MW_Floor,MATCH(G257,MW_Key,0)),0))*I257,"")</f>
        <v>3150</v>
      </c>
      <c r="K257" s="3" t="n">
        <f aca="false">IF(ISNUMBER(J257),F257+J257,"")</f>
        <v>6233</v>
      </c>
      <c r="L257" s="3" t="n">
        <f aca="false">IF(ISNUMBER(H257),MAX(H257,IFERROR(INDEX(MW_Floor,MATCH(G257,MW_Key,0)),0))*I257,"")</f>
        <v>3150</v>
      </c>
      <c r="M257" s="2" t="str">
        <f aca="false">IFERROR(INDEX(LR_Flag,MATCH(G257,LR_Key,0)),"")</f>
        <v>none</v>
      </c>
      <c r="N257" s="2" t="str">
        <f aca="false">IFERROR(INDEX(MW_Check,MATCH(G257,MW_Key,0)),"")</f>
        <v>OK</v>
      </c>
      <c r="O257" s="0" t="str">
        <f aca="false">IF(NOT(ISNUMBER(H257)),"LABOR QUOTE NEEDED – total incomplete",IF(N257="BELOW FLOOR","CHECK: typical labor below wage floor – payout and customer labor raised to floor",IF(M257&lt;&gt;"none","Labor rate flagged: "&amp;M257,"OK")))</f>
        <v>OK</v>
      </c>
      <c r="P257" s="0" t="s">
        <v>1337</v>
      </c>
      <c r="Q257" s="8" t="s">
        <v>1338</v>
      </c>
      <c r="R257" s="2" t="str">
        <f aca="false">IF(OR(M257="regulated",COUNTIFS(Tasks_TaskID,A257,Tasks_Tier,D257,Tasks_Review,"base")&gt;0),"PENDING REVIEW – priced, not bookable until human approval",IF(COUNTIFS(Tasks_TaskID,A257,Tasks_Tier,D257,Tasks_Review,"as-needed")&gt;0,"Bookable (re-evaluate if regulated as-needed line selected)","Bookable"))</f>
        <v>Bookable</v>
      </c>
    </row>
    <row r="258" customFormat="false" ht="17.15" hidden="false" customHeight="false" outlineLevel="0" collapsed="false">
      <c r="A258" s="2" t="s">
        <v>1334</v>
      </c>
      <c r="B258" s="2" t="s">
        <v>496</v>
      </c>
      <c r="C258" s="2" t="s">
        <v>1335</v>
      </c>
      <c r="D258" s="2" t="s">
        <v>1049</v>
      </c>
      <c r="E258" s="2" t="s">
        <v>1895</v>
      </c>
      <c r="F258" s="3" t="n">
        <f aca="false">INDEX(Sum_Base,MATCH(A258,Sum_BaseTasks,0),MATCH(D258,Sum_BaseTiers,0))</f>
        <v>3147.32</v>
      </c>
      <c r="G258" s="2" t="str">
        <f aca="false">IF(ISNUMBER(MATCH(A258&amp;"|"&amp;D258,LR_Key,0)),A258&amp;"|"&amp;D258,A258&amp;"|All")</f>
        <v>FIXX-CON-002|All</v>
      </c>
      <c r="H258" s="3" t="n">
        <f aca="false">IFERROR(INDEX(LR_TypLabor,MATCH(G258,LR_Key,0)),"")</f>
        <v>2100</v>
      </c>
      <c r="I258" s="12" t="n">
        <f aca="false">INDEX(Urg_Mult,MATCH(E258,Urg_Levels,0))</f>
        <v>1</v>
      </c>
      <c r="J258" s="3" t="n">
        <f aca="false">IF(ISNUMBER(H258),MAX(H258,IFERROR(INDEX(MW_Floor,MATCH(G258,MW_Key,0)),0))*I258,"")</f>
        <v>2100</v>
      </c>
      <c r="K258" s="3" t="n">
        <f aca="false">IF(ISNUMBER(J258),F258+J258,"")</f>
        <v>5247.32</v>
      </c>
      <c r="L258" s="3" t="n">
        <f aca="false">IF(ISNUMBER(H258),MAX(H258,IFERROR(INDEX(MW_Floor,MATCH(G258,MW_Key,0)),0))*I258,"")</f>
        <v>2100</v>
      </c>
      <c r="M258" s="2" t="str">
        <f aca="false">IFERROR(INDEX(LR_Flag,MATCH(G258,LR_Key,0)),"")</f>
        <v>none</v>
      </c>
      <c r="N258" s="2" t="str">
        <f aca="false">IFERROR(INDEX(MW_Check,MATCH(G258,MW_Key,0)),"")</f>
        <v>OK</v>
      </c>
      <c r="O258" s="0" t="str">
        <f aca="false">IF(NOT(ISNUMBER(H258)),"LABOR QUOTE NEEDED – total incomplete",IF(N258="BELOW FLOOR","CHECK: typical labor below wage floor – payout and customer labor raised to floor",IF(M258&lt;&gt;"none","Labor rate flagged: "&amp;M258,"OK")))</f>
        <v>OK</v>
      </c>
      <c r="P258" s="0" t="s">
        <v>1337</v>
      </c>
      <c r="Q258" s="8" t="s">
        <v>1338</v>
      </c>
      <c r="R258" s="2" t="str">
        <f aca="false">IF(OR(M258="regulated",COUNTIFS(Tasks_TaskID,A258,Tasks_Tier,D258,Tasks_Review,"base")&gt;0),"PENDING REVIEW – priced, not bookable until human approval",IF(COUNTIFS(Tasks_TaskID,A258,Tasks_Tier,D258,Tasks_Review,"as-needed")&gt;0,"Bookable (re-evaluate if regulated as-needed line selected)","Bookable"))</f>
        <v>Bookable</v>
      </c>
    </row>
    <row r="259" customFormat="false" ht="17.15" hidden="false" customHeight="false" outlineLevel="0" collapsed="false">
      <c r="A259" s="2" t="s">
        <v>1334</v>
      </c>
      <c r="B259" s="2" t="s">
        <v>496</v>
      </c>
      <c r="C259" s="2" t="s">
        <v>1335</v>
      </c>
      <c r="D259" s="2" t="s">
        <v>1049</v>
      </c>
      <c r="E259" s="2" t="s">
        <v>1896</v>
      </c>
      <c r="F259" s="3" t="n">
        <f aca="false">INDEX(Sum_Base,MATCH(A259,Sum_BaseTasks,0),MATCH(D259,Sum_BaseTiers,0))</f>
        <v>3147.32</v>
      </c>
      <c r="G259" s="2" t="str">
        <f aca="false">IF(ISNUMBER(MATCH(A259&amp;"|"&amp;D259,LR_Key,0)),A259&amp;"|"&amp;D259,A259&amp;"|All")</f>
        <v>FIXX-CON-002|All</v>
      </c>
      <c r="H259" s="3" t="n">
        <f aca="false">IFERROR(INDEX(LR_TypLabor,MATCH(G259,LR_Key,0)),"")</f>
        <v>2100</v>
      </c>
      <c r="I259" s="12" t="n">
        <f aca="false">INDEX(Urg_Mult,MATCH(E259,Urg_Levels,0))</f>
        <v>1.15</v>
      </c>
      <c r="J259" s="3" t="n">
        <f aca="false">IF(ISNUMBER(H259),MAX(H259,IFERROR(INDEX(MW_Floor,MATCH(G259,MW_Key,0)),0))*I259,"")</f>
        <v>2415</v>
      </c>
      <c r="K259" s="3" t="n">
        <f aca="false">IF(ISNUMBER(J259),F259+J259,"")</f>
        <v>5562.32</v>
      </c>
      <c r="L259" s="3" t="n">
        <f aca="false">IF(ISNUMBER(H259),MAX(H259,IFERROR(INDEX(MW_Floor,MATCH(G259,MW_Key,0)),0))*I259,"")</f>
        <v>2415</v>
      </c>
      <c r="M259" s="2" t="str">
        <f aca="false">IFERROR(INDEX(LR_Flag,MATCH(G259,LR_Key,0)),"")</f>
        <v>none</v>
      </c>
      <c r="N259" s="2" t="str">
        <f aca="false">IFERROR(INDEX(MW_Check,MATCH(G259,MW_Key,0)),"")</f>
        <v>OK</v>
      </c>
      <c r="O259" s="0" t="str">
        <f aca="false">IF(NOT(ISNUMBER(H259)),"LABOR QUOTE NEEDED – total incomplete",IF(N259="BELOW FLOOR","CHECK: typical labor below wage floor – payout and customer labor raised to floor",IF(M259&lt;&gt;"none","Labor rate flagged: "&amp;M259,"OK")))</f>
        <v>OK</v>
      </c>
      <c r="P259" s="0" t="s">
        <v>1337</v>
      </c>
      <c r="Q259" s="8" t="s">
        <v>1338</v>
      </c>
      <c r="R259" s="2" t="str">
        <f aca="false">IF(OR(M259="regulated",COUNTIFS(Tasks_TaskID,A259,Tasks_Tier,D259,Tasks_Review,"base")&gt;0),"PENDING REVIEW – priced, not bookable until human approval",IF(COUNTIFS(Tasks_TaskID,A259,Tasks_Tier,D259,Tasks_Review,"as-needed")&gt;0,"Bookable (re-evaluate if regulated as-needed line selected)","Bookable"))</f>
        <v>Bookable</v>
      </c>
    </row>
    <row r="260" customFormat="false" ht="17.15" hidden="false" customHeight="false" outlineLevel="0" collapsed="false">
      <c r="A260" s="2" t="s">
        <v>1334</v>
      </c>
      <c r="B260" s="2" t="s">
        <v>496</v>
      </c>
      <c r="C260" s="2" t="s">
        <v>1335</v>
      </c>
      <c r="D260" s="2" t="s">
        <v>1049</v>
      </c>
      <c r="E260" s="2" t="s">
        <v>1897</v>
      </c>
      <c r="F260" s="3" t="n">
        <f aca="false">INDEX(Sum_Base,MATCH(A260,Sum_BaseTasks,0),MATCH(D260,Sum_BaseTiers,0))</f>
        <v>3147.32</v>
      </c>
      <c r="G260" s="2" t="str">
        <f aca="false">IF(ISNUMBER(MATCH(A260&amp;"|"&amp;D260,LR_Key,0)),A260&amp;"|"&amp;D260,A260&amp;"|All")</f>
        <v>FIXX-CON-002|All</v>
      </c>
      <c r="H260" s="3" t="n">
        <f aca="false">IFERROR(INDEX(LR_TypLabor,MATCH(G260,LR_Key,0)),"")</f>
        <v>2100</v>
      </c>
      <c r="I260" s="12" t="n">
        <f aca="false">INDEX(Urg_Mult,MATCH(E260,Urg_Levels,0))</f>
        <v>1.3</v>
      </c>
      <c r="J260" s="3" t="n">
        <f aca="false">IF(ISNUMBER(H260),MAX(H260,IFERROR(INDEX(MW_Floor,MATCH(G260,MW_Key,0)),0))*I260,"")</f>
        <v>2730</v>
      </c>
      <c r="K260" s="3" t="n">
        <f aca="false">IF(ISNUMBER(J260),F260+J260,"")</f>
        <v>5877.32</v>
      </c>
      <c r="L260" s="3" t="n">
        <f aca="false">IF(ISNUMBER(H260),MAX(H260,IFERROR(INDEX(MW_Floor,MATCH(G260,MW_Key,0)),0))*I260,"")</f>
        <v>2730</v>
      </c>
      <c r="M260" s="2" t="str">
        <f aca="false">IFERROR(INDEX(LR_Flag,MATCH(G260,LR_Key,0)),"")</f>
        <v>none</v>
      </c>
      <c r="N260" s="2" t="str">
        <f aca="false">IFERROR(INDEX(MW_Check,MATCH(G260,MW_Key,0)),"")</f>
        <v>OK</v>
      </c>
      <c r="O260" s="0" t="str">
        <f aca="false">IF(NOT(ISNUMBER(H260)),"LABOR QUOTE NEEDED – total incomplete",IF(N260="BELOW FLOOR","CHECK: typical labor below wage floor – payout and customer labor raised to floor",IF(M260&lt;&gt;"none","Labor rate flagged: "&amp;M260,"OK")))</f>
        <v>OK</v>
      </c>
      <c r="P260" s="0" t="s">
        <v>1337</v>
      </c>
      <c r="Q260" s="8" t="s">
        <v>1338</v>
      </c>
      <c r="R260" s="2" t="str">
        <f aca="false">IF(OR(M260="regulated",COUNTIFS(Tasks_TaskID,A260,Tasks_Tier,D260,Tasks_Review,"base")&gt;0),"PENDING REVIEW – priced, not bookable until human approval",IF(COUNTIFS(Tasks_TaskID,A260,Tasks_Tier,D260,Tasks_Review,"as-needed")&gt;0,"Bookable (re-evaluate if regulated as-needed line selected)","Bookable"))</f>
        <v>Bookable</v>
      </c>
    </row>
    <row r="261" customFormat="false" ht="17.15" hidden="false" customHeight="false" outlineLevel="0" collapsed="false">
      <c r="A261" s="2" t="s">
        <v>1334</v>
      </c>
      <c r="B261" s="2" t="s">
        <v>496</v>
      </c>
      <c r="C261" s="2" t="s">
        <v>1335</v>
      </c>
      <c r="D261" s="2" t="s">
        <v>1049</v>
      </c>
      <c r="E261" s="2" t="s">
        <v>1898</v>
      </c>
      <c r="F261" s="3" t="n">
        <f aca="false">INDEX(Sum_Base,MATCH(A261,Sum_BaseTasks,0),MATCH(D261,Sum_BaseTiers,0))</f>
        <v>3147.32</v>
      </c>
      <c r="G261" s="2" t="str">
        <f aca="false">IF(ISNUMBER(MATCH(A261&amp;"|"&amp;D261,LR_Key,0)),A261&amp;"|"&amp;D261,A261&amp;"|All")</f>
        <v>FIXX-CON-002|All</v>
      </c>
      <c r="H261" s="3" t="n">
        <f aca="false">IFERROR(INDEX(LR_TypLabor,MATCH(G261,LR_Key,0)),"")</f>
        <v>2100</v>
      </c>
      <c r="I261" s="12" t="n">
        <f aca="false">INDEX(Urg_Mult,MATCH(E261,Urg_Levels,0))</f>
        <v>1.5</v>
      </c>
      <c r="J261" s="3" t="n">
        <f aca="false">IF(ISNUMBER(H261),MAX(H261,IFERROR(INDEX(MW_Floor,MATCH(G261,MW_Key,0)),0))*I261,"")</f>
        <v>3150</v>
      </c>
      <c r="K261" s="3" t="n">
        <f aca="false">IF(ISNUMBER(J261),F261+J261,"")</f>
        <v>6297.32</v>
      </c>
      <c r="L261" s="3" t="n">
        <f aca="false">IF(ISNUMBER(H261),MAX(H261,IFERROR(INDEX(MW_Floor,MATCH(G261,MW_Key,0)),0))*I261,"")</f>
        <v>3150</v>
      </c>
      <c r="M261" s="2" t="str">
        <f aca="false">IFERROR(INDEX(LR_Flag,MATCH(G261,LR_Key,0)),"")</f>
        <v>none</v>
      </c>
      <c r="N261" s="2" t="str">
        <f aca="false">IFERROR(INDEX(MW_Check,MATCH(G261,MW_Key,0)),"")</f>
        <v>OK</v>
      </c>
      <c r="O261" s="0" t="str">
        <f aca="false">IF(NOT(ISNUMBER(H261)),"LABOR QUOTE NEEDED – total incomplete",IF(N261="BELOW FLOOR","CHECK: typical labor below wage floor – payout and customer labor raised to floor",IF(M261&lt;&gt;"none","Labor rate flagged: "&amp;M261,"OK")))</f>
        <v>OK</v>
      </c>
      <c r="P261" s="0" t="s">
        <v>1337</v>
      </c>
      <c r="Q261" s="8" t="s">
        <v>1338</v>
      </c>
      <c r="R261" s="2" t="str">
        <f aca="false">IF(OR(M261="regulated",COUNTIFS(Tasks_TaskID,A261,Tasks_Tier,D261,Tasks_Review,"base")&gt;0),"PENDING REVIEW – priced, not bookable until human approval",IF(COUNTIFS(Tasks_TaskID,A261,Tasks_Tier,D261,Tasks_Review,"as-needed")&gt;0,"Bookable (re-evaluate if regulated as-needed line selected)","Bookable"))</f>
        <v>Bookable</v>
      </c>
    </row>
    <row r="262" customFormat="false" ht="17.15" hidden="false" customHeight="false" outlineLevel="0" collapsed="false">
      <c r="A262" s="2" t="s">
        <v>1334</v>
      </c>
      <c r="B262" s="2" t="s">
        <v>496</v>
      </c>
      <c r="C262" s="2" t="s">
        <v>1335</v>
      </c>
      <c r="D262" s="2" t="s">
        <v>1051</v>
      </c>
      <c r="E262" s="2" t="s">
        <v>1895</v>
      </c>
      <c r="F262" s="3" t="n">
        <f aca="false">INDEX(Sum_Base,MATCH(A262,Sum_BaseTasks,0),MATCH(D262,Sum_BaseTiers,0))</f>
        <v>10763</v>
      </c>
      <c r="G262" s="2" t="str">
        <f aca="false">IF(ISNUMBER(MATCH(A262&amp;"|"&amp;D262,LR_Key,0)),A262&amp;"|"&amp;D262,A262&amp;"|All")</f>
        <v>FIXX-CON-002|All</v>
      </c>
      <c r="H262" s="3" t="n">
        <f aca="false">IFERROR(INDEX(LR_TypLabor,MATCH(G262,LR_Key,0)),"")</f>
        <v>2100</v>
      </c>
      <c r="I262" s="12" t="n">
        <f aca="false">INDEX(Urg_Mult,MATCH(E262,Urg_Levels,0))</f>
        <v>1</v>
      </c>
      <c r="J262" s="3" t="n">
        <f aca="false">IF(ISNUMBER(H262),MAX(H262,IFERROR(INDEX(MW_Floor,MATCH(G262,MW_Key,0)),0))*I262,"")</f>
        <v>2100</v>
      </c>
      <c r="K262" s="3" t="n">
        <f aca="false">IF(ISNUMBER(J262),F262+J262,"")</f>
        <v>12863</v>
      </c>
      <c r="L262" s="3" t="n">
        <f aca="false">IF(ISNUMBER(H262),MAX(H262,IFERROR(INDEX(MW_Floor,MATCH(G262,MW_Key,0)),0))*I262,"")</f>
        <v>2100</v>
      </c>
      <c r="M262" s="2" t="str">
        <f aca="false">IFERROR(INDEX(LR_Flag,MATCH(G262,LR_Key,0)),"")</f>
        <v>none</v>
      </c>
      <c r="N262" s="2" t="str">
        <f aca="false">IFERROR(INDEX(MW_Check,MATCH(G262,MW_Key,0)),"")</f>
        <v>OK</v>
      </c>
      <c r="O262" s="0" t="str">
        <f aca="false">IF(NOT(ISNUMBER(H262)),"LABOR QUOTE NEEDED – total incomplete",IF(N262="BELOW FLOOR","CHECK: typical labor below wage floor – payout and customer labor raised to floor",IF(M262&lt;&gt;"none","Labor rate flagged: "&amp;M262,"OK")))</f>
        <v>OK</v>
      </c>
      <c r="P262" s="0" t="s">
        <v>1337</v>
      </c>
      <c r="Q262" s="8" t="s">
        <v>1338</v>
      </c>
      <c r="R262" s="2" t="str">
        <f aca="false">IF(OR(M262="regulated",COUNTIFS(Tasks_TaskID,A262,Tasks_Tier,D262,Tasks_Review,"base")&gt;0),"PENDING REVIEW – priced, not bookable until human approval",IF(COUNTIFS(Tasks_TaskID,A262,Tasks_Tier,D262,Tasks_Review,"as-needed")&gt;0,"Bookable (re-evaluate if regulated as-needed line selected)","Bookable"))</f>
        <v>Bookable</v>
      </c>
    </row>
    <row r="263" customFormat="false" ht="17.15" hidden="false" customHeight="false" outlineLevel="0" collapsed="false">
      <c r="A263" s="2" t="s">
        <v>1334</v>
      </c>
      <c r="B263" s="2" t="s">
        <v>496</v>
      </c>
      <c r="C263" s="2" t="s">
        <v>1335</v>
      </c>
      <c r="D263" s="2" t="s">
        <v>1051</v>
      </c>
      <c r="E263" s="2" t="s">
        <v>1896</v>
      </c>
      <c r="F263" s="3" t="n">
        <f aca="false">INDEX(Sum_Base,MATCH(A263,Sum_BaseTasks,0),MATCH(D263,Sum_BaseTiers,0))</f>
        <v>10763</v>
      </c>
      <c r="G263" s="2" t="str">
        <f aca="false">IF(ISNUMBER(MATCH(A263&amp;"|"&amp;D263,LR_Key,0)),A263&amp;"|"&amp;D263,A263&amp;"|All")</f>
        <v>FIXX-CON-002|All</v>
      </c>
      <c r="H263" s="3" t="n">
        <f aca="false">IFERROR(INDEX(LR_TypLabor,MATCH(G263,LR_Key,0)),"")</f>
        <v>2100</v>
      </c>
      <c r="I263" s="12" t="n">
        <f aca="false">INDEX(Urg_Mult,MATCH(E263,Urg_Levels,0))</f>
        <v>1.15</v>
      </c>
      <c r="J263" s="3" t="n">
        <f aca="false">IF(ISNUMBER(H263),MAX(H263,IFERROR(INDEX(MW_Floor,MATCH(G263,MW_Key,0)),0))*I263,"")</f>
        <v>2415</v>
      </c>
      <c r="K263" s="3" t="n">
        <f aca="false">IF(ISNUMBER(J263),F263+J263,"")</f>
        <v>13178</v>
      </c>
      <c r="L263" s="3" t="n">
        <f aca="false">IF(ISNUMBER(H263),MAX(H263,IFERROR(INDEX(MW_Floor,MATCH(G263,MW_Key,0)),0))*I263,"")</f>
        <v>2415</v>
      </c>
      <c r="M263" s="2" t="str">
        <f aca="false">IFERROR(INDEX(LR_Flag,MATCH(G263,LR_Key,0)),"")</f>
        <v>none</v>
      </c>
      <c r="N263" s="2" t="str">
        <f aca="false">IFERROR(INDEX(MW_Check,MATCH(G263,MW_Key,0)),"")</f>
        <v>OK</v>
      </c>
      <c r="O263" s="0" t="str">
        <f aca="false">IF(NOT(ISNUMBER(H263)),"LABOR QUOTE NEEDED – total incomplete",IF(N263="BELOW FLOOR","CHECK: typical labor below wage floor – payout and customer labor raised to floor",IF(M263&lt;&gt;"none","Labor rate flagged: "&amp;M263,"OK")))</f>
        <v>OK</v>
      </c>
      <c r="P263" s="0" t="s">
        <v>1337</v>
      </c>
      <c r="Q263" s="8" t="s">
        <v>1338</v>
      </c>
      <c r="R263" s="2" t="str">
        <f aca="false">IF(OR(M263="regulated",COUNTIFS(Tasks_TaskID,A263,Tasks_Tier,D263,Tasks_Review,"base")&gt;0),"PENDING REVIEW – priced, not bookable until human approval",IF(COUNTIFS(Tasks_TaskID,A263,Tasks_Tier,D263,Tasks_Review,"as-needed")&gt;0,"Bookable (re-evaluate if regulated as-needed line selected)","Bookable"))</f>
        <v>Bookable</v>
      </c>
    </row>
    <row r="264" customFormat="false" ht="17.15" hidden="false" customHeight="false" outlineLevel="0" collapsed="false">
      <c r="A264" s="2" t="s">
        <v>1334</v>
      </c>
      <c r="B264" s="2" t="s">
        <v>496</v>
      </c>
      <c r="C264" s="2" t="s">
        <v>1335</v>
      </c>
      <c r="D264" s="2" t="s">
        <v>1051</v>
      </c>
      <c r="E264" s="2" t="s">
        <v>1897</v>
      </c>
      <c r="F264" s="3" t="n">
        <f aca="false">INDEX(Sum_Base,MATCH(A264,Sum_BaseTasks,0),MATCH(D264,Sum_BaseTiers,0))</f>
        <v>10763</v>
      </c>
      <c r="G264" s="2" t="str">
        <f aca="false">IF(ISNUMBER(MATCH(A264&amp;"|"&amp;D264,LR_Key,0)),A264&amp;"|"&amp;D264,A264&amp;"|All")</f>
        <v>FIXX-CON-002|All</v>
      </c>
      <c r="H264" s="3" t="n">
        <f aca="false">IFERROR(INDEX(LR_TypLabor,MATCH(G264,LR_Key,0)),"")</f>
        <v>2100</v>
      </c>
      <c r="I264" s="12" t="n">
        <f aca="false">INDEX(Urg_Mult,MATCH(E264,Urg_Levels,0))</f>
        <v>1.3</v>
      </c>
      <c r="J264" s="3" t="n">
        <f aca="false">IF(ISNUMBER(H264),MAX(H264,IFERROR(INDEX(MW_Floor,MATCH(G264,MW_Key,0)),0))*I264,"")</f>
        <v>2730</v>
      </c>
      <c r="K264" s="3" t="n">
        <f aca="false">IF(ISNUMBER(J264),F264+J264,"")</f>
        <v>13493</v>
      </c>
      <c r="L264" s="3" t="n">
        <f aca="false">IF(ISNUMBER(H264),MAX(H264,IFERROR(INDEX(MW_Floor,MATCH(G264,MW_Key,0)),0))*I264,"")</f>
        <v>2730</v>
      </c>
      <c r="M264" s="2" t="str">
        <f aca="false">IFERROR(INDEX(LR_Flag,MATCH(G264,LR_Key,0)),"")</f>
        <v>none</v>
      </c>
      <c r="N264" s="2" t="str">
        <f aca="false">IFERROR(INDEX(MW_Check,MATCH(G264,MW_Key,0)),"")</f>
        <v>OK</v>
      </c>
      <c r="O264" s="0" t="str">
        <f aca="false">IF(NOT(ISNUMBER(H264)),"LABOR QUOTE NEEDED – total incomplete",IF(N264="BELOW FLOOR","CHECK: typical labor below wage floor – payout and customer labor raised to floor",IF(M264&lt;&gt;"none","Labor rate flagged: "&amp;M264,"OK")))</f>
        <v>OK</v>
      </c>
      <c r="P264" s="0" t="s">
        <v>1337</v>
      </c>
      <c r="Q264" s="8" t="s">
        <v>1338</v>
      </c>
      <c r="R264" s="2" t="str">
        <f aca="false">IF(OR(M264="regulated",COUNTIFS(Tasks_TaskID,A264,Tasks_Tier,D264,Tasks_Review,"base")&gt;0),"PENDING REVIEW – priced, not bookable until human approval",IF(COUNTIFS(Tasks_TaskID,A264,Tasks_Tier,D264,Tasks_Review,"as-needed")&gt;0,"Bookable (re-evaluate if regulated as-needed line selected)","Bookable"))</f>
        <v>Bookable</v>
      </c>
    </row>
    <row r="265" customFormat="false" ht="17.15" hidden="false" customHeight="false" outlineLevel="0" collapsed="false">
      <c r="A265" s="2" t="s">
        <v>1334</v>
      </c>
      <c r="B265" s="2" t="s">
        <v>496</v>
      </c>
      <c r="C265" s="2" t="s">
        <v>1335</v>
      </c>
      <c r="D265" s="2" t="s">
        <v>1051</v>
      </c>
      <c r="E265" s="2" t="s">
        <v>1898</v>
      </c>
      <c r="F265" s="3" t="n">
        <f aca="false">INDEX(Sum_Base,MATCH(A265,Sum_BaseTasks,0),MATCH(D265,Sum_BaseTiers,0))</f>
        <v>10763</v>
      </c>
      <c r="G265" s="2" t="str">
        <f aca="false">IF(ISNUMBER(MATCH(A265&amp;"|"&amp;D265,LR_Key,0)),A265&amp;"|"&amp;D265,A265&amp;"|All")</f>
        <v>FIXX-CON-002|All</v>
      </c>
      <c r="H265" s="3" t="n">
        <f aca="false">IFERROR(INDEX(LR_TypLabor,MATCH(G265,LR_Key,0)),"")</f>
        <v>2100</v>
      </c>
      <c r="I265" s="12" t="n">
        <f aca="false">INDEX(Urg_Mult,MATCH(E265,Urg_Levels,0))</f>
        <v>1.5</v>
      </c>
      <c r="J265" s="3" t="n">
        <f aca="false">IF(ISNUMBER(H265),MAX(H265,IFERROR(INDEX(MW_Floor,MATCH(G265,MW_Key,0)),0))*I265,"")</f>
        <v>3150</v>
      </c>
      <c r="K265" s="3" t="n">
        <f aca="false">IF(ISNUMBER(J265),F265+J265,"")</f>
        <v>13913</v>
      </c>
      <c r="L265" s="3" t="n">
        <f aca="false">IF(ISNUMBER(H265),MAX(H265,IFERROR(INDEX(MW_Floor,MATCH(G265,MW_Key,0)),0))*I265,"")</f>
        <v>3150</v>
      </c>
      <c r="M265" s="2" t="str">
        <f aca="false">IFERROR(INDEX(LR_Flag,MATCH(G265,LR_Key,0)),"")</f>
        <v>none</v>
      </c>
      <c r="N265" s="2" t="str">
        <f aca="false">IFERROR(INDEX(MW_Check,MATCH(G265,MW_Key,0)),"")</f>
        <v>OK</v>
      </c>
      <c r="O265" s="0" t="str">
        <f aca="false">IF(NOT(ISNUMBER(H265)),"LABOR QUOTE NEEDED – total incomplete",IF(N265="BELOW FLOOR","CHECK: typical labor below wage floor – payout and customer labor raised to floor",IF(M265&lt;&gt;"none","Labor rate flagged: "&amp;M265,"OK")))</f>
        <v>OK</v>
      </c>
      <c r="P265" s="0" t="s">
        <v>1337</v>
      </c>
      <c r="Q265" s="8" t="s">
        <v>1338</v>
      </c>
      <c r="R265" s="2" t="str">
        <f aca="false">IF(OR(M265="regulated",COUNTIFS(Tasks_TaskID,A265,Tasks_Tier,D265,Tasks_Review,"base")&gt;0),"PENDING REVIEW – priced, not bookable until human approval",IF(COUNTIFS(Tasks_TaskID,A265,Tasks_Tier,D265,Tasks_Review,"as-needed")&gt;0,"Bookable (re-evaluate if regulated as-needed line selected)","Bookable"))</f>
        <v>Bookable</v>
      </c>
    </row>
    <row r="266" customFormat="false" ht="17.15" hidden="false" customHeight="false" outlineLevel="0" collapsed="false">
      <c r="A266" s="2" t="s">
        <v>1365</v>
      </c>
      <c r="B266" s="2" t="s">
        <v>496</v>
      </c>
      <c r="C266" s="2" t="s">
        <v>1366</v>
      </c>
      <c r="D266" s="2" t="s">
        <v>1042</v>
      </c>
      <c r="E266" s="2" t="s">
        <v>1895</v>
      </c>
      <c r="F266" s="3" t="n">
        <f aca="false">INDEX(Sum_Base,MATCH(A266,Sum_BaseTasks,0),MATCH(D266,Sum_BaseTiers,0))</f>
        <v>320</v>
      </c>
      <c r="G266" s="2" t="str">
        <f aca="false">IF(ISNUMBER(MATCH(A266&amp;"|"&amp;D266,LR_Key,0)),A266&amp;"|"&amp;D266,A266&amp;"|All")</f>
        <v>FIXX-CON-003|All</v>
      </c>
      <c r="H266" s="3" t="n">
        <f aca="false">IFERROR(INDEX(LR_TypLabor,MATCH(G266,LR_Key,0)),"")</f>
        <v>1600</v>
      </c>
      <c r="I266" s="12" t="n">
        <f aca="false">INDEX(Urg_Mult,MATCH(E266,Urg_Levels,0))</f>
        <v>1</v>
      </c>
      <c r="J266" s="3" t="n">
        <f aca="false">IF(ISNUMBER(H266),MAX(H266,IFERROR(INDEX(MW_Floor,MATCH(G266,MW_Key,0)),0))*I266,"")</f>
        <v>1600</v>
      </c>
      <c r="K266" s="3" t="n">
        <f aca="false">IF(ISNUMBER(J266),F266+J266,"")</f>
        <v>1920</v>
      </c>
      <c r="L266" s="3" t="n">
        <f aca="false">IF(ISNUMBER(H266),MAX(H266,IFERROR(INDEX(MW_Floor,MATCH(G266,MW_Key,0)),0))*I266,"")</f>
        <v>1600</v>
      </c>
      <c r="M266" s="2" t="str">
        <f aca="false">IFERROR(INDEX(LR_Flag,MATCH(G266,LR_Key,0)),"")</f>
        <v>none</v>
      </c>
      <c r="N266" s="2" t="str">
        <f aca="false">IFERROR(INDEX(MW_Check,MATCH(G266,MW_Key,0)),"")</f>
        <v>OK</v>
      </c>
      <c r="O266" s="0" t="str">
        <f aca="false">IF(NOT(ISNUMBER(H266)),"LABOR QUOTE NEEDED – total incomplete",IF(N266="BELOW FLOOR","CHECK: typical labor below wage floor – payout and customer labor raised to floor",IF(M266&lt;&gt;"none","Labor rate flagged: "&amp;M266,"OK")))</f>
        <v>OK</v>
      </c>
      <c r="P266" s="0" t="s">
        <v>1367</v>
      </c>
      <c r="Q266" s="8" t="s">
        <v>1368</v>
      </c>
      <c r="R266" s="2" t="str">
        <f aca="false">IF(OR(M266="regulated",COUNTIFS(Tasks_TaskID,A266,Tasks_Tier,D266,Tasks_Review,"base")&gt;0),"PENDING REVIEW – priced, not bookable until human approval",IF(COUNTIFS(Tasks_TaskID,A266,Tasks_Tier,D266,Tasks_Review,"as-needed")&gt;0,"Bookable (re-evaluate if regulated as-needed line selected)","Bookable"))</f>
        <v>Bookable</v>
      </c>
    </row>
    <row r="267" customFormat="false" ht="17.15" hidden="false" customHeight="false" outlineLevel="0" collapsed="false">
      <c r="A267" s="2" t="s">
        <v>1365</v>
      </c>
      <c r="B267" s="2" t="s">
        <v>496</v>
      </c>
      <c r="C267" s="2" t="s">
        <v>1366</v>
      </c>
      <c r="D267" s="2" t="s">
        <v>1042</v>
      </c>
      <c r="E267" s="2" t="s">
        <v>1896</v>
      </c>
      <c r="F267" s="3" t="n">
        <f aca="false">INDEX(Sum_Base,MATCH(A267,Sum_BaseTasks,0),MATCH(D267,Sum_BaseTiers,0))</f>
        <v>320</v>
      </c>
      <c r="G267" s="2" t="str">
        <f aca="false">IF(ISNUMBER(MATCH(A267&amp;"|"&amp;D267,LR_Key,0)),A267&amp;"|"&amp;D267,A267&amp;"|All")</f>
        <v>FIXX-CON-003|All</v>
      </c>
      <c r="H267" s="3" t="n">
        <f aca="false">IFERROR(INDEX(LR_TypLabor,MATCH(G267,LR_Key,0)),"")</f>
        <v>1600</v>
      </c>
      <c r="I267" s="12" t="n">
        <f aca="false">INDEX(Urg_Mult,MATCH(E267,Urg_Levels,0))</f>
        <v>1.15</v>
      </c>
      <c r="J267" s="3" t="n">
        <f aca="false">IF(ISNUMBER(H267),MAX(H267,IFERROR(INDEX(MW_Floor,MATCH(G267,MW_Key,0)),0))*I267,"")</f>
        <v>1840</v>
      </c>
      <c r="K267" s="3" t="n">
        <f aca="false">IF(ISNUMBER(J267),F267+J267,"")</f>
        <v>2160</v>
      </c>
      <c r="L267" s="3" t="n">
        <f aca="false">IF(ISNUMBER(H267),MAX(H267,IFERROR(INDEX(MW_Floor,MATCH(G267,MW_Key,0)),0))*I267,"")</f>
        <v>1840</v>
      </c>
      <c r="M267" s="2" t="str">
        <f aca="false">IFERROR(INDEX(LR_Flag,MATCH(G267,LR_Key,0)),"")</f>
        <v>none</v>
      </c>
      <c r="N267" s="2" t="str">
        <f aca="false">IFERROR(INDEX(MW_Check,MATCH(G267,MW_Key,0)),"")</f>
        <v>OK</v>
      </c>
      <c r="O267" s="0" t="str">
        <f aca="false">IF(NOT(ISNUMBER(H267)),"LABOR QUOTE NEEDED – total incomplete",IF(N267="BELOW FLOOR","CHECK: typical labor below wage floor – payout and customer labor raised to floor",IF(M267&lt;&gt;"none","Labor rate flagged: "&amp;M267,"OK")))</f>
        <v>OK</v>
      </c>
      <c r="P267" s="0" t="s">
        <v>1367</v>
      </c>
      <c r="Q267" s="8" t="s">
        <v>1368</v>
      </c>
      <c r="R267" s="2" t="str">
        <f aca="false">IF(OR(M267="regulated",COUNTIFS(Tasks_TaskID,A267,Tasks_Tier,D267,Tasks_Review,"base")&gt;0),"PENDING REVIEW – priced, not bookable until human approval",IF(COUNTIFS(Tasks_TaskID,A267,Tasks_Tier,D267,Tasks_Review,"as-needed")&gt;0,"Bookable (re-evaluate if regulated as-needed line selected)","Bookable"))</f>
        <v>Bookable</v>
      </c>
    </row>
    <row r="268" customFormat="false" ht="17.15" hidden="false" customHeight="false" outlineLevel="0" collapsed="false">
      <c r="A268" s="2" t="s">
        <v>1365</v>
      </c>
      <c r="B268" s="2" t="s">
        <v>496</v>
      </c>
      <c r="C268" s="2" t="s">
        <v>1366</v>
      </c>
      <c r="D268" s="2" t="s">
        <v>1042</v>
      </c>
      <c r="E268" s="2" t="s">
        <v>1897</v>
      </c>
      <c r="F268" s="3" t="n">
        <f aca="false">INDEX(Sum_Base,MATCH(A268,Sum_BaseTasks,0),MATCH(D268,Sum_BaseTiers,0))</f>
        <v>320</v>
      </c>
      <c r="G268" s="2" t="str">
        <f aca="false">IF(ISNUMBER(MATCH(A268&amp;"|"&amp;D268,LR_Key,0)),A268&amp;"|"&amp;D268,A268&amp;"|All")</f>
        <v>FIXX-CON-003|All</v>
      </c>
      <c r="H268" s="3" t="n">
        <f aca="false">IFERROR(INDEX(LR_TypLabor,MATCH(G268,LR_Key,0)),"")</f>
        <v>1600</v>
      </c>
      <c r="I268" s="12" t="n">
        <f aca="false">INDEX(Urg_Mult,MATCH(E268,Urg_Levels,0))</f>
        <v>1.3</v>
      </c>
      <c r="J268" s="3" t="n">
        <f aca="false">IF(ISNUMBER(H268),MAX(H268,IFERROR(INDEX(MW_Floor,MATCH(G268,MW_Key,0)),0))*I268,"")</f>
        <v>2080</v>
      </c>
      <c r="K268" s="3" t="n">
        <f aca="false">IF(ISNUMBER(J268),F268+J268,"")</f>
        <v>2400</v>
      </c>
      <c r="L268" s="3" t="n">
        <f aca="false">IF(ISNUMBER(H268),MAX(H268,IFERROR(INDEX(MW_Floor,MATCH(G268,MW_Key,0)),0))*I268,"")</f>
        <v>2080</v>
      </c>
      <c r="M268" s="2" t="str">
        <f aca="false">IFERROR(INDEX(LR_Flag,MATCH(G268,LR_Key,0)),"")</f>
        <v>none</v>
      </c>
      <c r="N268" s="2" t="str">
        <f aca="false">IFERROR(INDEX(MW_Check,MATCH(G268,MW_Key,0)),"")</f>
        <v>OK</v>
      </c>
      <c r="O268" s="0" t="str">
        <f aca="false">IF(NOT(ISNUMBER(H268)),"LABOR QUOTE NEEDED – total incomplete",IF(N268="BELOW FLOOR","CHECK: typical labor below wage floor – payout and customer labor raised to floor",IF(M268&lt;&gt;"none","Labor rate flagged: "&amp;M268,"OK")))</f>
        <v>OK</v>
      </c>
      <c r="P268" s="0" t="s">
        <v>1367</v>
      </c>
      <c r="Q268" s="8" t="s">
        <v>1368</v>
      </c>
      <c r="R268" s="2" t="str">
        <f aca="false">IF(OR(M268="regulated",COUNTIFS(Tasks_TaskID,A268,Tasks_Tier,D268,Tasks_Review,"base")&gt;0),"PENDING REVIEW – priced, not bookable until human approval",IF(COUNTIFS(Tasks_TaskID,A268,Tasks_Tier,D268,Tasks_Review,"as-needed")&gt;0,"Bookable (re-evaluate if regulated as-needed line selected)","Bookable"))</f>
        <v>Bookable</v>
      </c>
    </row>
    <row r="269" customFormat="false" ht="17.15" hidden="false" customHeight="false" outlineLevel="0" collapsed="false">
      <c r="A269" s="2" t="s">
        <v>1365</v>
      </c>
      <c r="B269" s="2" t="s">
        <v>496</v>
      </c>
      <c r="C269" s="2" t="s">
        <v>1366</v>
      </c>
      <c r="D269" s="2" t="s">
        <v>1042</v>
      </c>
      <c r="E269" s="2" t="s">
        <v>1898</v>
      </c>
      <c r="F269" s="3" t="n">
        <f aca="false">INDEX(Sum_Base,MATCH(A269,Sum_BaseTasks,0),MATCH(D269,Sum_BaseTiers,0))</f>
        <v>320</v>
      </c>
      <c r="G269" s="2" t="str">
        <f aca="false">IF(ISNUMBER(MATCH(A269&amp;"|"&amp;D269,LR_Key,0)),A269&amp;"|"&amp;D269,A269&amp;"|All")</f>
        <v>FIXX-CON-003|All</v>
      </c>
      <c r="H269" s="3" t="n">
        <f aca="false">IFERROR(INDEX(LR_TypLabor,MATCH(G269,LR_Key,0)),"")</f>
        <v>1600</v>
      </c>
      <c r="I269" s="12" t="n">
        <f aca="false">INDEX(Urg_Mult,MATCH(E269,Urg_Levels,0))</f>
        <v>1.5</v>
      </c>
      <c r="J269" s="3" t="n">
        <f aca="false">IF(ISNUMBER(H269),MAX(H269,IFERROR(INDEX(MW_Floor,MATCH(G269,MW_Key,0)),0))*I269,"")</f>
        <v>2400</v>
      </c>
      <c r="K269" s="3" t="n">
        <f aca="false">IF(ISNUMBER(J269),F269+J269,"")</f>
        <v>2720</v>
      </c>
      <c r="L269" s="3" t="n">
        <f aca="false">IF(ISNUMBER(H269),MAX(H269,IFERROR(INDEX(MW_Floor,MATCH(G269,MW_Key,0)),0))*I269,"")</f>
        <v>2400</v>
      </c>
      <c r="M269" s="2" t="str">
        <f aca="false">IFERROR(INDEX(LR_Flag,MATCH(G269,LR_Key,0)),"")</f>
        <v>none</v>
      </c>
      <c r="N269" s="2" t="str">
        <f aca="false">IFERROR(INDEX(MW_Check,MATCH(G269,MW_Key,0)),"")</f>
        <v>OK</v>
      </c>
      <c r="O269" s="0" t="str">
        <f aca="false">IF(NOT(ISNUMBER(H269)),"LABOR QUOTE NEEDED – total incomplete",IF(N269="BELOW FLOOR","CHECK: typical labor below wage floor – payout and customer labor raised to floor",IF(M269&lt;&gt;"none","Labor rate flagged: "&amp;M269,"OK")))</f>
        <v>OK</v>
      </c>
      <c r="P269" s="0" t="s">
        <v>1367</v>
      </c>
      <c r="Q269" s="8" t="s">
        <v>1368</v>
      </c>
      <c r="R269" s="2" t="str">
        <f aca="false">IF(OR(M269="regulated",COUNTIFS(Tasks_TaskID,A269,Tasks_Tier,D269,Tasks_Review,"base")&gt;0),"PENDING REVIEW – priced, not bookable until human approval",IF(COUNTIFS(Tasks_TaskID,A269,Tasks_Tier,D269,Tasks_Review,"as-needed")&gt;0,"Bookable (re-evaluate if regulated as-needed line selected)","Bookable"))</f>
        <v>Bookable</v>
      </c>
    </row>
    <row r="270" customFormat="false" ht="17.15" hidden="false" customHeight="false" outlineLevel="0" collapsed="false">
      <c r="A270" s="2" t="s">
        <v>1365</v>
      </c>
      <c r="B270" s="2" t="s">
        <v>496</v>
      </c>
      <c r="C270" s="2" t="s">
        <v>1366</v>
      </c>
      <c r="D270" s="2" t="s">
        <v>1049</v>
      </c>
      <c r="E270" s="2" t="s">
        <v>1895</v>
      </c>
      <c r="F270" s="3" t="n">
        <f aca="false">INDEX(Sum_Base,MATCH(A270,Sum_BaseTasks,0),MATCH(D270,Sum_BaseTiers,0))</f>
        <v>358</v>
      </c>
      <c r="G270" s="2" t="str">
        <f aca="false">IF(ISNUMBER(MATCH(A270&amp;"|"&amp;D270,LR_Key,0)),A270&amp;"|"&amp;D270,A270&amp;"|All")</f>
        <v>FIXX-CON-003|All</v>
      </c>
      <c r="H270" s="3" t="n">
        <f aca="false">IFERROR(INDEX(LR_TypLabor,MATCH(G270,LR_Key,0)),"")</f>
        <v>1600</v>
      </c>
      <c r="I270" s="12" t="n">
        <f aca="false">INDEX(Urg_Mult,MATCH(E270,Urg_Levels,0))</f>
        <v>1</v>
      </c>
      <c r="J270" s="3" t="n">
        <f aca="false">IF(ISNUMBER(H270),MAX(H270,IFERROR(INDEX(MW_Floor,MATCH(G270,MW_Key,0)),0))*I270,"")</f>
        <v>1600</v>
      </c>
      <c r="K270" s="3" t="n">
        <f aca="false">IF(ISNUMBER(J270),F270+J270,"")</f>
        <v>1958</v>
      </c>
      <c r="L270" s="3" t="n">
        <f aca="false">IF(ISNUMBER(H270),MAX(H270,IFERROR(INDEX(MW_Floor,MATCH(G270,MW_Key,0)),0))*I270,"")</f>
        <v>1600</v>
      </c>
      <c r="M270" s="2" t="str">
        <f aca="false">IFERROR(INDEX(LR_Flag,MATCH(G270,LR_Key,0)),"")</f>
        <v>none</v>
      </c>
      <c r="N270" s="2" t="str">
        <f aca="false">IFERROR(INDEX(MW_Check,MATCH(G270,MW_Key,0)),"")</f>
        <v>OK</v>
      </c>
      <c r="O270" s="0" t="str">
        <f aca="false">IF(NOT(ISNUMBER(H270)),"LABOR QUOTE NEEDED – total incomplete",IF(N270="BELOW FLOOR","CHECK: typical labor below wage floor – payout and customer labor raised to floor",IF(M270&lt;&gt;"none","Labor rate flagged: "&amp;M270,"OK")))</f>
        <v>OK</v>
      </c>
      <c r="P270" s="0" t="s">
        <v>1367</v>
      </c>
      <c r="Q270" s="8" t="s">
        <v>1368</v>
      </c>
      <c r="R270" s="2" t="str">
        <f aca="false">IF(OR(M270="regulated",COUNTIFS(Tasks_TaskID,A270,Tasks_Tier,D270,Tasks_Review,"base")&gt;0),"PENDING REVIEW – priced, not bookable until human approval",IF(COUNTIFS(Tasks_TaskID,A270,Tasks_Tier,D270,Tasks_Review,"as-needed")&gt;0,"Bookable (re-evaluate if regulated as-needed line selected)","Bookable"))</f>
        <v>Bookable</v>
      </c>
    </row>
    <row r="271" customFormat="false" ht="17.15" hidden="false" customHeight="false" outlineLevel="0" collapsed="false">
      <c r="A271" s="2" t="s">
        <v>1365</v>
      </c>
      <c r="B271" s="2" t="s">
        <v>496</v>
      </c>
      <c r="C271" s="2" t="s">
        <v>1366</v>
      </c>
      <c r="D271" s="2" t="s">
        <v>1049</v>
      </c>
      <c r="E271" s="2" t="s">
        <v>1896</v>
      </c>
      <c r="F271" s="3" t="n">
        <f aca="false">INDEX(Sum_Base,MATCH(A271,Sum_BaseTasks,0),MATCH(D271,Sum_BaseTiers,0))</f>
        <v>358</v>
      </c>
      <c r="G271" s="2" t="str">
        <f aca="false">IF(ISNUMBER(MATCH(A271&amp;"|"&amp;D271,LR_Key,0)),A271&amp;"|"&amp;D271,A271&amp;"|All")</f>
        <v>FIXX-CON-003|All</v>
      </c>
      <c r="H271" s="3" t="n">
        <f aca="false">IFERROR(INDEX(LR_TypLabor,MATCH(G271,LR_Key,0)),"")</f>
        <v>1600</v>
      </c>
      <c r="I271" s="12" t="n">
        <f aca="false">INDEX(Urg_Mult,MATCH(E271,Urg_Levels,0))</f>
        <v>1.15</v>
      </c>
      <c r="J271" s="3" t="n">
        <f aca="false">IF(ISNUMBER(H271),MAX(H271,IFERROR(INDEX(MW_Floor,MATCH(G271,MW_Key,0)),0))*I271,"")</f>
        <v>1840</v>
      </c>
      <c r="K271" s="3" t="n">
        <f aca="false">IF(ISNUMBER(J271),F271+J271,"")</f>
        <v>2198</v>
      </c>
      <c r="L271" s="3" t="n">
        <f aca="false">IF(ISNUMBER(H271),MAX(H271,IFERROR(INDEX(MW_Floor,MATCH(G271,MW_Key,0)),0))*I271,"")</f>
        <v>1840</v>
      </c>
      <c r="M271" s="2" t="str">
        <f aca="false">IFERROR(INDEX(LR_Flag,MATCH(G271,LR_Key,0)),"")</f>
        <v>none</v>
      </c>
      <c r="N271" s="2" t="str">
        <f aca="false">IFERROR(INDEX(MW_Check,MATCH(G271,MW_Key,0)),"")</f>
        <v>OK</v>
      </c>
      <c r="O271" s="0" t="str">
        <f aca="false">IF(NOT(ISNUMBER(H271)),"LABOR QUOTE NEEDED – total incomplete",IF(N271="BELOW FLOOR","CHECK: typical labor below wage floor – payout and customer labor raised to floor",IF(M271&lt;&gt;"none","Labor rate flagged: "&amp;M271,"OK")))</f>
        <v>OK</v>
      </c>
      <c r="P271" s="0" t="s">
        <v>1367</v>
      </c>
      <c r="Q271" s="8" t="s">
        <v>1368</v>
      </c>
      <c r="R271" s="2" t="str">
        <f aca="false">IF(OR(M271="regulated",COUNTIFS(Tasks_TaskID,A271,Tasks_Tier,D271,Tasks_Review,"base")&gt;0),"PENDING REVIEW – priced, not bookable until human approval",IF(COUNTIFS(Tasks_TaskID,A271,Tasks_Tier,D271,Tasks_Review,"as-needed")&gt;0,"Bookable (re-evaluate if regulated as-needed line selected)","Bookable"))</f>
        <v>Bookable</v>
      </c>
    </row>
    <row r="272" customFormat="false" ht="17.15" hidden="false" customHeight="false" outlineLevel="0" collapsed="false">
      <c r="A272" s="2" t="s">
        <v>1365</v>
      </c>
      <c r="B272" s="2" t="s">
        <v>496</v>
      </c>
      <c r="C272" s="2" t="s">
        <v>1366</v>
      </c>
      <c r="D272" s="2" t="s">
        <v>1049</v>
      </c>
      <c r="E272" s="2" t="s">
        <v>1897</v>
      </c>
      <c r="F272" s="3" t="n">
        <f aca="false">INDEX(Sum_Base,MATCH(A272,Sum_BaseTasks,0),MATCH(D272,Sum_BaseTiers,0))</f>
        <v>358</v>
      </c>
      <c r="G272" s="2" t="str">
        <f aca="false">IF(ISNUMBER(MATCH(A272&amp;"|"&amp;D272,LR_Key,0)),A272&amp;"|"&amp;D272,A272&amp;"|All")</f>
        <v>FIXX-CON-003|All</v>
      </c>
      <c r="H272" s="3" t="n">
        <f aca="false">IFERROR(INDEX(LR_TypLabor,MATCH(G272,LR_Key,0)),"")</f>
        <v>1600</v>
      </c>
      <c r="I272" s="12" t="n">
        <f aca="false">INDEX(Urg_Mult,MATCH(E272,Urg_Levels,0))</f>
        <v>1.3</v>
      </c>
      <c r="J272" s="3" t="n">
        <f aca="false">IF(ISNUMBER(H272),MAX(H272,IFERROR(INDEX(MW_Floor,MATCH(G272,MW_Key,0)),0))*I272,"")</f>
        <v>2080</v>
      </c>
      <c r="K272" s="3" t="n">
        <f aca="false">IF(ISNUMBER(J272),F272+J272,"")</f>
        <v>2438</v>
      </c>
      <c r="L272" s="3" t="n">
        <f aca="false">IF(ISNUMBER(H272),MAX(H272,IFERROR(INDEX(MW_Floor,MATCH(G272,MW_Key,0)),0))*I272,"")</f>
        <v>2080</v>
      </c>
      <c r="M272" s="2" t="str">
        <f aca="false">IFERROR(INDEX(LR_Flag,MATCH(G272,LR_Key,0)),"")</f>
        <v>none</v>
      </c>
      <c r="N272" s="2" t="str">
        <f aca="false">IFERROR(INDEX(MW_Check,MATCH(G272,MW_Key,0)),"")</f>
        <v>OK</v>
      </c>
      <c r="O272" s="0" t="str">
        <f aca="false">IF(NOT(ISNUMBER(H272)),"LABOR QUOTE NEEDED – total incomplete",IF(N272="BELOW FLOOR","CHECK: typical labor below wage floor – payout and customer labor raised to floor",IF(M272&lt;&gt;"none","Labor rate flagged: "&amp;M272,"OK")))</f>
        <v>OK</v>
      </c>
      <c r="P272" s="0" t="s">
        <v>1367</v>
      </c>
      <c r="Q272" s="8" t="s">
        <v>1368</v>
      </c>
      <c r="R272" s="2" t="str">
        <f aca="false">IF(OR(M272="regulated",COUNTIFS(Tasks_TaskID,A272,Tasks_Tier,D272,Tasks_Review,"base")&gt;0),"PENDING REVIEW – priced, not bookable until human approval",IF(COUNTIFS(Tasks_TaskID,A272,Tasks_Tier,D272,Tasks_Review,"as-needed")&gt;0,"Bookable (re-evaluate if regulated as-needed line selected)","Bookable"))</f>
        <v>Bookable</v>
      </c>
    </row>
    <row r="273" customFormat="false" ht="17.15" hidden="false" customHeight="false" outlineLevel="0" collapsed="false">
      <c r="A273" s="2" t="s">
        <v>1365</v>
      </c>
      <c r="B273" s="2" t="s">
        <v>496</v>
      </c>
      <c r="C273" s="2" t="s">
        <v>1366</v>
      </c>
      <c r="D273" s="2" t="s">
        <v>1049</v>
      </c>
      <c r="E273" s="2" t="s">
        <v>1898</v>
      </c>
      <c r="F273" s="3" t="n">
        <f aca="false">INDEX(Sum_Base,MATCH(A273,Sum_BaseTasks,0),MATCH(D273,Sum_BaseTiers,0))</f>
        <v>358</v>
      </c>
      <c r="G273" s="2" t="str">
        <f aca="false">IF(ISNUMBER(MATCH(A273&amp;"|"&amp;D273,LR_Key,0)),A273&amp;"|"&amp;D273,A273&amp;"|All")</f>
        <v>FIXX-CON-003|All</v>
      </c>
      <c r="H273" s="3" t="n">
        <f aca="false">IFERROR(INDEX(LR_TypLabor,MATCH(G273,LR_Key,0)),"")</f>
        <v>1600</v>
      </c>
      <c r="I273" s="12" t="n">
        <f aca="false">INDEX(Urg_Mult,MATCH(E273,Urg_Levels,0))</f>
        <v>1.5</v>
      </c>
      <c r="J273" s="3" t="n">
        <f aca="false">IF(ISNUMBER(H273),MAX(H273,IFERROR(INDEX(MW_Floor,MATCH(G273,MW_Key,0)),0))*I273,"")</f>
        <v>2400</v>
      </c>
      <c r="K273" s="3" t="n">
        <f aca="false">IF(ISNUMBER(J273),F273+J273,"")</f>
        <v>2758</v>
      </c>
      <c r="L273" s="3" t="n">
        <f aca="false">IF(ISNUMBER(H273),MAX(H273,IFERROR(INDEX(MW_Floor,MATCH(G273,MW_Key,0)),0))*I273,"")</f>
        <v>2400</v>
      </c>
      <c r="M273" s="2" t="str">
        <f aca="false">IFERROR(INDEX(LR_Flag,MATCH(G273,LR_Key,0)),"")</f>
        <v>none</v>
      </c>
      <c r="N273" s="2" t="str">
        <f aca="false">IFERROR(INDEX(MW_Check,MATCH(G273,MW_Key,0)),"")</f>
        <v>OK</v>
      </c>
      <c r="O273" s="0" t="str">
        <f aca="false">IF(NOT(ISNUMBER(H273)),"LABOR QUOTE NEEDED – total incomplete",IF(N273="BELOW FLOOR","CHECK: typical labor below wage floor – payout and customer labor raised to floor",IF(M273&lt;&gt;"none","Labor rate flagged: "&amp;M273,"OK")))</f>
        <v>OK</v>
      </c>
      <c r="P273" s="0" t="s">
        <v>1367</v>
      </c>
      <c r="Q273" s="8" t="s">
        <v>1368</v>
      </c>
      <c r="R273" s="2" t="str">
        <f aca="false">IF(OR(M273="regulated",COUNTIFS(Tasks_TaskID,A273,Tasks_Tier,D273,Tasks_Review,"base")&gt;0),"PENDING REVIEW – priced, not bookable until human approval",IF(COUNTIFS(Tasks_TaskID,A273,Tasks_Tier,D273,Tasks_Review,"as-needed")&gt;0,"Bookable (re-evaluate if regulated as-needed line selected)","Bookable"))</f>
        <v>Bookable</v>
      </c>
    </row>
    <row r="274" customFormat="false" ht="17.15" hidden="false" customHeight="false" outlineLevel="0" collapsed="false">
      <c r="A274" s="2" t="s">
        <v>1365</v>
      </c>
      <c r="B274" s="2" t="s">
        <v>496</v>
      </c>
      <c r="C274" s="2" t="s">
        <v>1366</v>
      </c>
      <c r="D274" s="2" t="s">
        <v>1051</v>
      </c>
      <c r="E274" s="2" t="s">
        <v>1895</v>
      </c>
      <c r="F274" s="3" t="n">
        <f aca="false">INDEX(Sum_Base,MATCH(A274,Sum_BaseTasks,0),MATCH(D274,Sum_BaseTiers,0))</f>
        <v>1105</v>
      </c>
      <c r="G274" s="2" t="str">
        <f aca="false">IF(ISNUMBER(MATCH(A274&amp;"|"&amp;D274,LR_Key,0)),A274&amp;"|"&amp;D274,A274&amp;"|All")</f>
        <v>FIXX-CON-003|All</v>
      </c>
      <c r="H274" s="3" t="n">
        <f aca="false">IFERROR(INDEX(LR_TypLabor,MATCH(G274,LR_Key,0)),"")</f>
        <v>1600</v>
      </c>
      <c r="I274" s="12" t="n">
        <f aca="false">INDEX(Urg_Mult,MATCH(E274,Urg_Levels,0))</f>
        <v>1</v>
      </c>
      <c r="J274" s="3" t="n">
        <f aca="false">IF(ISNUMBER(H274),MAX(H274,IFERROR(INDEX(MW_Floor,MATCH(G274,MW_Key,0)),0))*I274,"")</f>
        <v>1600</v>
      </c>
      <c r="K274" s="3" t="n">
        <f aca="false">IF(ISNUMBER(J274),F274+J274,"")</f>
        <v>2705</v>
      </c>
      <c r="L274" s="3" t="n">
        <f aca="false">IF(ISNUMBER(H274),MAX(H274,IFERROR(INDEX(MW_Floor,MATCH(G274,MW_Key,0)),0))*I274,"")</f>
        <v>1600</v>
      </c>
      <c r="M274" s="2" t="str">
        <f aca="false">IFERROR(INDEX(LR_Flag,MATCH(G274,LR_Key,0)),"")</f>
        <v>none</v>
      </c>
      <c r="N274" s="2" t="str">
        <f aca="false">IFERROR(INDEX(MW_Check,MATCH(G274,MW_Key,0)),"")</f>
        <v>OK</v>
      </c>
      <c r="O274" s="0" t="str">
        <f aca="false">IF(NOT(ISNUMBER(H274)),"LABOR QUOTE NEEDED – total incomplete",IF(N274="BELOW FLOOR","CHECK: typical labor below wage floor – payout and customer labor raised to floor",IF(M274&lt;&gt;"none","Labor rate flagged: "&amp;M274,"OK")))</f>
        <v>OK</v>
      </c>
      <c r="P274" s="0" t="s">
        <v>1367</v>
      </c>
      <c r="Q274" s="8" t="s">
        <v>1368</v>
      </c>
      <c r="R274" s="2" t="str">
        <f aca="false">IF(OR(M274="regulated",COUNTIFS(Tasks_TaskID,A274,Tasks_Tier,D274,Tasks_Review,"base")&gt;0),"PENDING REVIEW – priced, not bookable until human approval",IF(COUNTIFS(Tasks_TaskID,A274,Tasks_Tier,D274,Tasks_Review,"as-needed")&gt;0,"Bookable (re-evaluate if regulated as-needed line selected)","Bookable"))</f>
        <v>Bookable</v>
      </c>
    </row>
    <row r="275" customFormat="false" ht="17.15" hidden="false" customHeight="false" outlineLevel="0" collapsed="false">
      <c r="A275" s="2" t="s">
        <v>1365</v>
      </c>
      <c r="B275" s="2" t="s">
        <v>496</v>
      </c>
      <c r="C275" s="2" t="s">
        <v>1366</v>
      </c>
      <c r="D275" s="2" t="s">
        <v>1051</v>
      </c>
      <c r="E275" s="2" t="s">
        <v>1896</v>
      </c>
      <c r="F275" s="3" t="n">
        <f aca="false">INDEX(Sum_Base,MATCH(A275,Sum_BaseTasks,0),MATCH(D275,Sum_BaseTiers,0))</f>
        <v>1105</v>
      </c>
      <c r="G275" s="2" t="str">
        <f aca="false">IF(ISNUMBER(MATCH(A275&amp;"|"&amp;D275,LR_Key,0)),A275&amp;"|"&amp;D275,A275&amp;"|All")</f>
        <v>FIXX-CON-003|All</v>
      </c>
      <c r="H275" s="3" t="n">
        <f aca="false">IFERROR(INDEX(LR_TypLabor,MATCH(G275,LR_Key,0)),"")</f>
        <v>1600</v>
      </c>
      <c r="I275" s="12" t="n">
        <f aca="false">INDEX(Urg_Mult,MATCH(E275,Urg_Levels,0))</f>
        <v>1.15</v>
      </c>
      <c r="J275" s="3" t="n">
        <f aca="false">IF(ISNUMBER(H275),MAX(H275,IFERROR(INDEX(MW_Floor,MATCH(G275,MW_Key,0)),0))*I275,"")</f>
        <v>1840</v>
      </c>
      <c r="K275" s="3" t="n">
        <f aca="false">IF(ISNUMBER(J275),F275+J275,"")</f>
        <v>2945</v>
      </c>
      <c r="L275" s="3" t="n">
        <f aca="false">IF(ISNUMBER(H275),MAX(H275,IFERROR(INDEX(MW_Floor,MATCH(G275,MW_Key,0)),0))*I275,"")</f>
        <v>1840</v>
      </c>
      <c r="M275" s="2" t="str">
        <f aca="false">IFERROR(INDEX(LR_Flag,MATCH(G275,LR_Key,0)),"")</f>
        <v>none</v>
      </c>
      <c r="N275" s="2" t="str">
        <f aca="false">IFERROR(INDEX(MW_Check,MATCH(G275,MW_Key,0)),"")</f>
        <v>OK</v>
      </c>
      <c r="O275" s="0" t="str">
        <f aca="false">IF(NOT(ISNUMBER(H275)),"LABOR QUOTE NEEDED – total incomplete",IF(N275="BELOW FLOOR","CHECK: typical labor below wage floor – payout and customer labor raised to floor",IF(M275&lt;&gt;"none","Labor rate flagged: "&amp;M275,"OK")))</f>
        <v>OK</v>
      </c>
      <c r="P275" s="0" t="s">
        <v>1367</v>
      </c>
      <c r="Q275" s="8" t="s">
        <v>1368</v>
      </c>
      <c r="R275" s="2" t="str">
        <f aca="false">IF(OR(M275="regulated",COUNTIFS(Tasks_TaskID,A275,Tasks_Tier,D275,Tasks_Review,"base")&gt;0),"PENDING REVIEW – priced, not bookable until human approval",IF(COUNTIFS(Tasks_TaskID,A275,Tasks_Tier,D275,Tasks_Review,"as-needed")&gt;0,"Bookable (re-evaluate if regulated as-needed line selected)","Bookable"))</f>
        <v>Bookable</v>
      </c>
    </row>
    <row r="276" customFormat="false" ht="17.15" hidden="false" customHeight="false" outlineLevel="0" collapsed="false">
      <c r="A276" s="2" t="s">
        <v>1365</v>
      </c>
      <c r="B276" s="2" t="s">
        <v>496</v>
      </c>
      <c r="C276" s="2" t="s">
        <v>1366</v>
      </c>
      <c r="D276" s="2" t="s">
        <v>1051</v>
      </c>
      <c r="E276" s="2" t="s">
        <v>1897</v>
      </c>
      <c r="F276" s="3" t="n">
        <f aca="false">INDEX(Sum_Base,MATCH(A276,Sum_BaseTasks,0),MATCH(D276,Sum_BaseTiers,0))</f>
        <v>1105</v>
      </c>
      <c r="G276" s="2" t="str">
        <f aca="false">IF(ISNUMBER(MATCH(A276&amp;"|"&amp;D276,LR_Key,0)),A276&amp;"|"&amp;D276,A276&amp;"|All")</f>
        <v>FIXX-CON-003|All</v>
      </c>
      <c r="H276" s="3" t="n">
        <f aca="false">IFERROR(INDEX(LR_TypLabor,MATCH(G276,LR_Key,0)),"")</f>
        <v>1600</v>
      </c>
      <c r="I276" s="12" t="n">
        <f aca="false">INDEX(Urg_Mult,MATCH(E276,Urg_Levels,0))</f>
        <v>1.3</v>
      </c>
      <c r="J276" s="3" t="n">
        <f aca="false">IF(ISNUMBER(H276),MAX(H276,IFERROR(INDEX(MW_Floor,MATCH(G276,MW_Key,0)),0))*I276,"")</f>
        <v>2080</v>
      </c>
      <c r="K276" s="3" t="n">
        <f aca="false">IF(ISNUMBER(J276),F276+J276,"")</f>
        <v>3185</v>
      </c>
      <c r="L276" s="3" t="n">
        <f aca="false">IF(ISNUMBER(H276),MAX(H276,IFERROR(INDEX(MW_Floor,MATCH(G276,MW_Key,0)),0))*I276,"")</f>
        <v>2080</v>
      </c>
      <c r="M276" s="2" t="str">
        <f aca="false">IFERROR(INDEX(LR_Flag,MATCH(G276,LR_Key,0)),"")</f>
        <v>none</v>
      </c>
      <c r="N276" s="2" t="str">
        <f aca="false">IFERROR(INDEX(MW_Check,MATCH(G276,MW_Key,0)),"")</f>
        <v>OK</v>
      </c>
      <c r="O276" s="0" t="str">
        <f aca="false">IF(NOT(ISNUMBER(H276)),"LABOR QUOTE NEEDED – total incomplete",IF(N276="BELOW FLOOR","CHECK: typical labor below wage floor – payout and customer labor raised to floor",IF(M276&lt;&gt;"none","Labor rate flagged: "&amp;M276,"OK")))</f>
        <v>OK</v>
      </c>
      <c r="P276" s="0" t="s">
        <v>1367</v>
      </c>
      <c r="Q276" s="8" t="s">
        <v>1368</v>
      </c>
      <c r="R276" s="2" t="str">
        <f aca="false">IF(OR(M276="regulated",COUNTIFS(Tasks_TaskID,A276,Tasks_Tier,D276,Tasks_Review,"base")&gt;0),"PENDING REVIEW – priced, not bookable until human approval",IF(COUNTIFS(Tasks_TaskID,A276,Tasks_Tier,D276,Tasks_Review,"as-needed")&gt;0,"Bookable (re-evaluate if regulated as-needed line selected)","Bookable"))</f>
        <v>Bookable</v>
      </c>
    </row>
    <row r="277" customFormat="false" ht="17.15" hidden="false" customHeight="false" outlineLevel="0" collapsed="false">
      <c r="A277" s="2" t="s">
        <v>1365</v>
      </c>
      <c r="B277" s="2" t="s">
        <v>496</v>
      </c>
      <c r="C277" s="2" t="s">
        <v>1366</v>
      </c>
      <c r="D277" s="2" t="s">
        <v>1051</v>
      </c>
      <c r="E277" s="2" t="s">
        <v>1898</v>
      </c>
      <c r="F277" s="3" t="n">
        <f aca="false">INDEX(Sum_Base,MATCH(A277,Sum_BaseTasks,0),MATCH(D277,Sum_BaseTiers,0))</f>
        <v>1105</v>
      </c>
      <c r="G277" s="2" t="str">
        <f aca="false">IF(ISNUMBER(MATCH(A277&amp;"|"&amp;D277,LR_Key,0)),A277&amp;"|"&amp;D277,A277&amp;"|All")</f>
        <v>FIXX-CON-003|All</v>
      </c>
      <c r="H277" s="3" t="n">
        <f aca="false">IFERROR(INDEX(LR_TypLabor,MATCH(G277,LR_Key,0)),"")</f>
        <v>1600</v>
      </c>
      <c r="I277" s="12" t="n">
        <f aca="false">INDEX(Urg_Mult,MATCH(E277,Urg_Levels,0))</f>
        <v>1.5</v>
      </c>
      <c r="J277" s="3" t="n">
        <f aca="false">IF(ISNUMBER(H277),MAX(H277,IFERROR(INDEX(MW_Floor,MATCH(G277,MW_Key,0)),0))*I277,"")</f>
        <v>2400</v>
      </c>
      <c r="K277" s="3" t="n">
        <f aca="false">IF(ISNUMBER(J277),F277+J277,"")</f>
        <v>3505</v>
      </c>
      <c r="L277" s="3" t="n">
        <f aca="false">IF(ISNUMBER(H277),MAX(H277,IFERROR(INDEX(MW_Floor,MATCH(G277,MW_Key,0)),0))*I277,"")</f>
        <v>2400</v>
      </c>
      <c r="M277" s="2" t="str">
        <f aca="false">IFERROR(INDEX(LR_Flag,MATCH(G277,LR_Key,0)),"")</f>
        <v>none</v>
      </c>
      <c r="N277" s="2" t="str">
        <f aca="false">IFERROR(INDEX(MW_Check,MATCH(G277,MW_Key,0)),"")</f>
        <v>OK</v>
      </c>
      <c r="O277" s="0" t="str">
        <f aca="false">IF(NOT(ISNUMBER(H277)),"LABOR QUOTE NEEDED – total incomplete",IF(N277="BELOW FLOOR","CHECK: typical labor below wage floor – payout and customer labor raised to floor",IF(M277&lt;&gt;"none","Labor rate flagged: "&amp;M277,"OK")))</f>
        <v>OK</v>
      </c>
      <c r="P277" s="0" t="s">
        <v>1367</v>
      </c>
      <c r="Q277" s="8" t="s">
        <v>1368</v>
      </c>
      <c r="R277" s="2" t="str">
        <f aca="false">IF(OR(M277="regulated",COUNTIFS(Tasks_TaskID,A277,Tasks_Tier,D277,Tasks_Review,"base")&gt;0),"PENDING REVIEW – priced, not bookable until human approval",IF(COUNTIFS(Tasks_TaskID,A277,Tasks_Tier,D277,Tasks_Review,"as-needed")&gt;0,"Bookable (re-evaluate if regulated as-needed line selected)","Bookable"))</f>
        <v>Bookable</v>
      </c>
    </row>
    <row r="278" customFormat="false" ht="17.15" hidden="false" customHeight="false" outlineLevel="0" collapsed="false">
      <c r="A278" s="2" t="s">
        <v>1372</v>
      </c>
      <c r="B278" s="2" t="s">
        <v>590</v>
      </c>
      <c r="C278" s="2" t="s">
        <v>1373</v>
      </c>
      <c r="D278" s="2" t="s">
        <v>1042</v>
      </c>
      <c r="E278" s="2" t="s">
        <v>1895</v>
      </c>
      <c r="F278" s="3" t="n">
        <f aca="false">INDEX(Sum_Base,MATCH(A278,Sum_BaseTasks,0),MATCH(D278,Sum_BaseTiers,0))</f>
        <v>102</v>
      </c>
      <c r="G278" s="2" t="str">
        <f aca="false">IF(ISNUMBER(MATCH(A278&amp;"|"&amp;D278,LR_Key,0)),A278&amp;"|"&amp;D278,A278&amp;"|All")</f>
        <v>FIXX-CAR-001|All</v>
      </c>
      <c r="H278" s="3" t="n">
        <f aca="false">IFERROR(INDEX(LR_TypLabor,MATCH(G278,LR_Key,0)),"")</f>
        <v>240</v>
      </c>
      <c r="I278" s="12" t="n">
        <f aca="false">INDEX(Urg_Mult,MATCH(E278,Urg_Levels,0))</f>
        <v>1</v>
      </c>
      <c r="J278" s="3" t="n">
        <f aca="false">IF(ISNUMBER(H278),MAX(H278,IFERROR(INDEX(MW_Floor,MATCH(G278,MW_Key,0)),0))*I278,"")</f>
        <v>363.44</v>
      </c>
      <c r="K278" s="3" t="n">
        <f aca="false">IF(ISNUMBER(J278),F278+J278,"")</f>
        <v>465.44</v>
      </c>
      <c r="L278" s="3" t="n">
        <f aca="false">IF(ISNUMBER(H278),MAX(H278,IFERROR(INDEX(MW_Floor,MATCH(G278,MW_Key,0)),0))*I278,"")</f>
        <v>363.44</v>
      </c>
      <c r="M278" s="2" t="str">
        <f aca="false">IFERROR(INDEX(LR_Flag,MATCH(G278,LR_Key,0)),"")</f>
        <v>assumption</v>
      </c>
      <c r="N278" s="2" t="str">
        <f aca="false">IFERROR(INDEX(MW_Check,MATCH(G278,MW_Key,0)),"")</f>
        <v>BELOW FLOOR</v>
      </c>
      <c r="O278" s="0" t="str">
        <f aca="false">IF(NOT(ISNUMBER(H278)),"LABOR QUOTE NEEDED – total incomplete",IF(N278="BELOW FLOOR","CHECK: typical labor below wage floor – payout and customer labor raised to floor",IF(M278&lt;&gt;"none","Labor rate flagged: "&amp;M278,"OK")))</f>
        <v>CHECK: typical labor below wage floor – payout and customer labor raised to floor</v>
      </c>
      <c r="P278" s="0" t="s">
        <v>1376</v>
      </c>
      <c r="Q278" s="8" t="s">
        <v>1377</v>
      </c>
      <c r="R278" s="2" t="str">
        <f aca="false">IF(OR(M278="regulated",COUNTIFS(Tasks_TaskID,A278,Tasks_Tier,D278,Tasks_Review,"base")&gt;0),"PENDING REVIEW – priced, not bookable until human approval",IF(COUNTIFS(Tasks_TaskID,A278,Tasks_Tier,D278,Tasks_Review,"as-needed")&gt;0,"Bookable (re-evaluate if regulated as-needed line selected)","Bookable"))</f>
        <v>Bookable</v>
      </c>
    </row>
    <row r="279" customFormat="false" ht="17.15" hidden="false" customHeight="false" outlineLevel="0" collapsed="false">
      <c r="A279" s="2" t="s">
        <v>1372</v>
      </c>
      <c r="B279" s="2" t="s">
        <v>590</v>
      </c>
      <c r="C279" s="2" t="s">
        <v>1373</v>
      </c>
      <c r="D279" s="2" t="s">
        <v>1042</v>
      </c>
      <c r="E279" s="2" t="s">
        <v>1896</v>
      </c>
      <c r="F279" s="3" t="n">
        <f aca="false">INDEX(Sum_Base,MATCH(A279,Sum_BaseTasks,0),MATCH(D279,Sum_BaseTiers,0))</f>
        <v>102</v>
      </c>
      <c r="G279" s="2" t="str">
        <f aca="false">IF(ISNUMBER(MATCH(A279&amp;"|"&amp;D279,LR_Key,0)),A279&amp;"|"&amp;D279,A279&amp;"|All")</f>
        <v>FIXX-CAR-001|All</v>
      </c>
      <c r="H279" s="3" t="n">
        <f aca="false">IFERROR(INDEX(LR_TypLabor,MATCH(G279,LR_Key,0)),"")</f>
        <v>240</v>
      </c>
      <c r="I279" s="12" t="n">
        <f aca="false">INDEX(Urg_Mult,MATCH(E279,Urg_Levels,0))</f>
        <v>1.15</v>
      </c>
      <c r="J279" s="3" t="n">
        <f aca="false">IF(ISNUMBER(H279),MAX(H279,IFERROR(INDEX(MW_Floor,MATCH(G279,MW_Key,0)),0))*I279,"")</f>
        <v>417.956</v>
      </c>
      <c r="K279" s="3" t="n">
        <f aca="false">IF(ISNUMBER(J279),F279+J279,"")</f>
        <v>519.956</v>
      </c>
      <c r="L279" s="3" t="n">
        <f aca="false">IF(ISNUMBER(H279),MAX(H279,IFERROR(INDEX(MW_Floor,MATCH(G279,MW_Key,0)),0))*I279,"")</f>
        <v>417.956</v>
      </c>
      <c r="M279" s="2" t="str">
        <f aca="false">IFERROR(INDEX(LR_Flag,MATCH(G279,LR_Key,0)),"")</f>
        <v>assumption</v>
      </c>
      <c r="N279" s="2" t="str">
        <f aca="false">IFERROR(INDEX(MW_Check,MATCH(G279,MW_Key,0)),"")</f>
        <v>BELOW FLOOR</v>
      </c>
      <c r="O279" s="0" t="str">
        <f aca="false">IF(NOT(ISNUMBER(H279)),"LABOR QUOTE NEEDED – total incomplete",IF(N279="BELOW FLOOR","CHECK: typical labor below wage floor – payout and customer labor raised to floor",IF(M279&lt;&gt;"none","Labor rate flagged: "&amp;M279,"OK")))</f>
        <v>CHECK: typical labor below wage floor – payout and customer labor raised to floor</v>
      </c>
      <c r="P279" s="0" t="s">
        <v>1376</v>
      </c>
      <c r="Q279" s="8" t="s">
        <v>1377</v>
      </c>
      <c r="R279" s="2" t="str">
        <f aca="false">IF(OR(M279="regulated",COUNTIFS(Tasks_TaskID,A279,Tasks_Tier,D279,Tasks_Review,"base")&gt;0),"PENDING REVIEW – priced, not bookable until human approval",IF(COUNTIFS(Tasks_TaskID,A279,Tasks_Tier,D279,Tasks_Review,"as-needed")&gt;0,"Bookable (re-evaluate if regulated as-needed line selected)","Bookable"))</f>
        <v>Bookable</v>
      </c>
    </row>
    <row r="280" customFormat="false" ht="17.15" hidden="false" customHeight="false" outlineLevel="0" collapsed="false">
      <c r="A280" s="2" t="s">
        <v>1372</v>
      </c>
      <c r="B280" s="2" t="s">
        <v>590</v>
      </c>
      <c r="C280" s="2" t="s">
        <v>1373</v>
      </c>
      <c r="D280" s="2" t="s">
        <v>1042</v>
      </c>
      <c r="E280" s="2" t="s">
        <v>1897</v>
      </c>
      <c r="F280" s="3" t="n">
        <f aca="false">INDEX(Sum_Base,MATCH(A280,Sum_BaseTasks,0),MATCH(D280,Sum_BaseTiers,0))</f>
        <v>102</v>
      </c>
      <c r="G280" s="2" t="str">
        <f aca="false">IF(ISNUMBER(MATCH(A280&amp;"|"&amp;D280,LR_Key,0)),A280&amp;"|"&amp;D280,A280&amp;"|All")</f>
        <v>FIXX-CAR-001|All</v>
      </c>
      <c r="H280" s="3" t="n">
        <f aca="false">IFERROR(INDEX(LR_TypLabor,MATCH(G280,LR_Key,0)),"")</f>
        <v>240</v>
      </c>
      <c r="I280" s="12" t="n">
        <f aca="false">INDEX(Urg_Mult,MATCH(E280,Urg_Levels,0))</f>
        <v>1.3</v>
      </c>
      <c r="J280" s="3" t="n">
        <f aca="false">IF(ISNUMBER(H280),MAX(H280,IFERROR(INDEX(MW_Floor,MATCH(G280,MW_Key,0)),0))*I280,"")</f>
        <v>472.472</v>
      </c>
      <c r="K280" s="3" t="n">
        <f aca="false">IF(ISNUMBER(J280),F280+J280,"")</f>
        <v>574.472</v>
      </c>
      <c r="L280" s="3" t="n">
        <f aca="false">IF(ISNUMBER(H280),MAX(H280,IFERROR(INDEX(MW_Floor,MATCH(G280,MW_Key,0)),0))*I280,"")</f>
        <v>472.472</v>
      </c>
      <c r="M280" s="2" t="str">
        <f aca="false">IFERROR(INDEX(LR_Flag,MATCH(G280,LR_Key,0)),"")</f>
        <v>assumption</v>
      </c>
      <c r="N280" s="2" t="str">
        <f aca="false">IFERROR(INDEX(MW_Check,MATCH(G280,MW_Key,0)),"")</f>
        <v>BELOW FLOOR</v>
      </c>
      <c r="O280" s="0" t="str">
        <f aca="false">IF(NOT(ISNUMBER(H280)),"LABOR QUOTE NEEDED – total incomplete",IF(N280="BELOW FLOOR","CHECK: typical labor below wage floor – payout and customer labor raised to floor",IF(M280&lt;&gt;"none","Labor rate flagged: "&amp;M280,"OK")))</f>
        <v>CHECK: typical labor below wage floor – payout and customer labor raised to floor</v>
      </c>
      <c r="P280" s="0" t="s">
        <v>1376</v>
      </c>
      <c r="Q280" s="8" t="s">
        <v>1377</v>
      </c>
      <c r="R280" s="2" t="str">
        <f aca="false">IF(OR(M280="regulated",COUNTIFS(Tasks_TaskID,A280,Tasks_Tier,D280,Tasks_Review,"base")&gt;0),"PENDING REVIEW – priced, not bookable until human approval",IF(COUNTIFS(Tasks_TaskID,A280,Tasks_Tier,D280,Tasks_Review,"as-needed")&gt;0,"Bookable (re-evaluate if regulated as-needed line selected)","Bookable"))</f>
        <v>Bookable</v>
      </c>
    </row>
    <row r="281" customFormat="false" ht="17.15" hidden="false" customHeight="false" outlineLevel="0" collapsed="false">
      <c r="A281" s="2" t="s">
        <v>1372</v>
      </c>
      <c r="B281" s="2" t="s">
        <v>590</v>
      </c>
      <c r="C281" s="2" t="s">
        <v>1373</v>
      </c>
      <c r="D281" s="2" t="s">
        <v>1042</v>
      </c>
      <c r="E281" s="2" t="s">
        <v>1898</v>
      </c>
      <c r="F281" s="3" t="n">
        <f aca="false">INDEX(Sum_Base,MATCH(A281,Sum_BaseTasks,0),MATCH(D281,Sum_BaseTiers,0))</f>
        <v>102</v>
      </c>
      <c r="G281" s="2" t="str">
        <f aca="false">IF(ISNUMBER(MATCH(A281&amp;"|"&amp;D281,LR_Key,0)),A281&amp;"|"&amp;D281,A281&amp;"|All")</f>
        <v>FIXX-CAR-001|All</v>
      </c>
      <c r="H281" s="3" t="n">
        <f aca="false">IFERROR(INDEX(LR_TypLabor,MATCH(G281,LR_Key,0)),"")</f>
        <v>240</v>
      </c>
      <c r="I281" s="12" t="n">
        <f aca="false">INDEX(Urg_Mult,MATCH(E281,Urg_Levels,0))</f>
        <v>1.5</v>
      </c>
      <c r="J281" s="3" t="n">
        <f aca="false">IF(ISNUMBER(H281),MAX(H281,IFERROR(INDEX(MW_Floor,MATCH(G281,MW_Key,0)),0))*I281,"")</f>
        <v>545.16</v>
      </c>
      <c r="K281" s="3" t="n">
        <f aca="false">IF(ISNUMBER(J281),F281+J281,"")</f>
        <v>647.16</v>
      </c>
      <c r="L281" s="3" t="n">
        <f aca="false">IF(ISNUMBER(H281),MAX(H281,IFERROR(INDEX(MW_Floor,MATCH(G281,MW_Key,0)),0))*I281,"")</f>
        <v>545.16</v>
      </c>
      <c r="M281" s="2" t="str">
        <f aca="false">IFERROR(INDEX(LR_Flag,MATCH(G281,LR_Key,0)),"")</f>
        <v>assumption</v>
      </c>
      <c r="N281" s="2" t="str">
        <f aca="false">IFERROR(INDEX(MW_Check,MATCH(G281,MW_Key,0)),"")</f>
        <v>BELOW FLOOR</v>
      </c>
      <c r="O281" s="0" t="str">
        <f aca="false">IF(NOT(ISNUMBER(H281)),"LABOR QUOTE NEEDED – total incomplete",IF(N281="BELOW FLOOR","CHECK: typical labor below wage floor – payout and customer labor raised to floor",IF(M281&lt;&gt;"none","Labor rate flagged: "&amp;M281,"OK")))</f>
        <v>CHECK: typical labor below wage floor – payout and customer labor raised to floor</v>
      </c>
      <c r="P281" s="0" t="s">
        <v>1376</v>
      </c>
      <c r="Q281" s="8" t="s">
        <v>1377</v>
      </c>
      <c r="R281" s="2" t="str">
        <f aca="false">IF(OR(M281="regulated",COUNTIFS(Tasks_TaskID,A281,Tasks_Tier,D281,Tasks_Review,"base")&gt;0),"PENDING REVIEW – priced, not bookable until human approval",IF(COUNTIFS(Tasks_TaskID,A281,Tasks_Tier,D281,Tasks_Review,"as-needed")&gt;0,"Bookable (re-evaluate if regulated as-needed line selected)","Bookable"))</f>
        <v>Bookable</v>
      </c>
    </row>
    <row r="282" customFormat="false" ht="17.15" hidden="false" customHeight="false" outlineLevel="0" collapsed="false">
      <c r="A282" s="2" t="s">
        <v>1372</v>
      </c>
      <c r="B282" s="2" t="s">
        <v>590</v>
      </c>
      <c r="C282" s="2" t="s">
        <v>1373</v>
      </c>
      <c r="D282" s="2" t="s">
        <v>1049</v>
      </c>
      <c r="E282" s="2" t="s">
        <v>1895</v>
      </c>
      <c r="F282" s="3" t="n">
        <f aca="false">INDEX(Sum_Base,MATCH(A282,Sum_BaseTasks,0),MATCH(D282,Sum_BaseTiers,0))</f>
        <v>107</v>
      </c>
      <c r="G282" s="2" t="str">
        <f aca="false">IF(ISNUMBER(MATCH(A282&amp;"|"&amp;D282,LR_Key,0)),A282&amp;"|"&amp;D282,A282&amp;"|All")</f>
        <v>FIXX-CAR-001|All</v>
      </c>
      <c r="H282" s="3" t="n">
        <f aca="false">IFERROR(INDEX(LR_TypLabor,MATCH(G282,LR_Key,0)),"")</f>
        <v>240</v>
      </c>
      <c r="I282" s="12" t="n">
        <f aca="false">INDEX(Urg_Mult,MATCH(E282,Urg_Levels,0))</f>
        <v>1</v>
      </c>
      <c r="J282" s="3" t="n">
        <f aca="false">IF(ISNUMBER(H282),MAX(H282,IFERROR(INDEX(MW_Floor,MATCH(G282,MW_Key,0)),0))*I282,"")</f>
        <v>363.44</v>
      </c>
      <c r="K282" s="3" t="n">
        <f aca="false">IF(ISNUMBER(J282),F282+J282,"")</f>
        <v>470.44</v>
      </c>
      <c r="L282" s="3" t="n">
        <f aca="false">IF(ISNUMBER(H282),MAX(H282,IFERROR(INDEX(MW_Floor,MATCH(G282,MW_Key,0)),0))*I282,"")</f>
        <v>363.44</v>
      </c>
      <c r="M282" s="2" t="str">
        <f aca="false">IFERROR(INDEX(LR_Flag,MATCH(G282,LR_Key,0)),"")</f>
        <v>assumption</v>
      </c>
      <c r="N282" s="2" t="str">
        <f aca="false">IFERROR(INDEX(MW_Check,MATCH(G282,MW_Key,0)),"")</f>
        <v>BELOW FLOOR</v>
      </c>
      <c r="O282" s="0" t="str">
        <f aca="false">IF(NOT(ISNUMBER(H282)),"LABOR QUOTE NEEDED – total incomplete",IF(N282="BELOW FLOOR","CHECK: typical labor below wage floor – payout and customer labor raised to floor",IF(M282&lt;&gt;"none","Labor rate flagged: "&amp;M282,"OK")))</f>
        <v>CHECK: typical labor below wage floor – payout and customer labor raised to floor</v>
      </c>
      <c r="P282" s="0" t="s">
        <v>1376</v>
      </c>
      <c r="Q282" s="8" t="s">
        <v>1377</v>
      </c>
      <c r="R282" s="2" t="str">
        <f aca="false">IF(OR(M282="regulated",COUNTIFS(Tasks_TaskID,A282,Tasks_Tier,D282,Tasks_Review,"base")&gt;0),"PENDING REVIEW – priced, not bookable until human approval",IF(COUNTIFS(Tasks_TaskID,A282,Tasks_Tier,D282,Tasks_Review,"as-needed")&gt;0,"Bookable (re-evaluate if regulated as-needed line selected)","Bookable"))</f>
        <v>Bookable</v>
      </c>
    </row>
    <row r="283" customFormat="false" ht="17.15" hidden="false" customHeight="false" outlineLevel="0" collapsed="false">
      <c r="A283" s="2" t="s">
        <v>1372</v>
      </c>
      <c r="B283" s="2" t="s">
        <v>590</v>
      </c>
      <c r="C283" s="2" t="s">
        <v>1373</v>
      </c>
      <c r="D283" s="2" t="s">
        <v>1049</v>
      </c>
      <c r="E283" s="2" t="s">
        <v>1896</v>
      </c>
      <c r="F283" s="3" t="n">
        <f aca="false">INDEX(Sum_Base,MATCH(A283,Sum_BaseTasks,0),MATCH(D283,Sum_BaseTiers,0))</f>
        <v>107</v>
      </c>
      <c r="G283" s="2" t="str">
        <f aca="false">IF(ISNUMBER(MATCH(A283&amp;"|"&amp;D283,LR_Key,0)),A283&amp;"|"&amp;D283,A283&amp;"|All")</f>
        <v>FIXX-CAR-001|All</v>
      </c>
      <c r="H283" s="3" t="n">
        <f aca="false">IFERROR(INDEX(LR_TypLabor,MATCH(G283,LR_Key,0)),"")</f>
        <v>240</v>
      </c>
      <c r="I283" s="12" t="n">
        <f aca="false">INDEX(Urg_Mult,MATCH(E283,Urg_Levels,0))</f>
        <v>1.15</v>
      </c>
      <c r="J283" s="3" t="n">
        <f aca="false">IF(ISNUMBER(H283),MAX(H283,IFERROR(INDEX(MW_Floor,MATCH(G283,MW_Key,0)),0))*I283,"")</f>
        <v>417.956</v>
      </c>
      <c r="K283" s="3" t="n">
        <f aca="false">IF(ISNUMBER(J283),F283+J283,"")</f>
        <v>524.956</v>
      </c>
      <c r="L283" s="3" t="n">
        <f aca="false">IF(ISNUMBER(H283),MAX(H283,IFERROR(INDEX(MW_Floor,MATCH(G283,MW_Key,0)),0))*I283,"")</f>
        <v>417.956</v>
      </c>
      <c r="M283" s="2" t="str">
        <f aca="false">IFERROR(INDEX(LR_Flag,MATCH(G283,LR_Key,0)),"")</f>
        <v>assumption</v>
      </c>
      <c r="N283" s="2" t="str">
        <f aca="false">IFERROR(INDEX(MW_Check,MATCH(G283,MW_Key,0)),"")</f>
        <v>BELOW FLOOR</v>
      </c>
      <c r="O283" s="0" t="str">
        <f aca="false">IF(NOT(ISNUMBER(H283)),"LABOR QUOTE NEEDED – total incomplete",IF(N283="BELOW FLOOR","CHECK: typical labor below wage floor – payout and customer labor raised to floor",IF(M283&lt;&gt;"none","Labor rate flagged: "&amp;M283,"OK")))</f>
        <v>CHECK: typical labor below wage floor – payout and customer labor raised to floor</v>
      </c>
      <c r="P283" s="0" t="s">
        <v>1376</v>
      </c>
      <c r="Q283" s="8" t="s">
        <v>1377</v>
      </c>
      <c r="R283" s="2" t="str">
        <f aca="false">IF(OR(M283="regulated",COUNTIFS(Tasks_TaskID,A283,Tasks_Tier,D283,Tasks_Review,"base")&gt;0),"PENDING REVIEW – priced, not bookable until human approval",IF(COUNTIFS(Tasks_TaskID,A283,Tasks_Tier,D283,Tasks_Review,"as-needed")&gt;0,"Bookable (re-evaluate if regulated as-needed line selected)","Bookable"))</f>
        <v>Bookable</v>
      </c>
    </row>
    <row r="284" customFormat="false" ht="17.15" hidden="false" customHeight="false" outlineLevel="0" collapsed="false">
      <c r="A284" s="2" t="s">
        <v>1372</v>
      </c>
      <c r="B284" s="2" t="s">
        <v>590</v>
      </c>
      <c r="C284" s="2" t="s">
        <v>1373</v>
      </c>
      <c r="D284" s="2" t="s">
        <v>1049</v>
      </c>
      <c r="E284" s="2" t="s">
        <v>1897</v>
      </c>
      <c r="F284" s="3" t="n">
        <f aca="false">INDEX(Sum_Base,MATCH(A284,Sum_BaseTasks,0),MATCH(D284,Sum_BaseTiers,0))</f>
        <v>107</v>
      </c>
      <c r="G284" s="2" t="str">
        <f aca="false">IF(ISNUMBER(MATCH(A284&amp;"|"&amp;D284,LR_Key,0)),A284&amp;"|"&amp;D284,A284&amp;"|All")</f>
        <v>FIXX-CAR-001|All</v>
      </c>
      <c r="H284" s="3" t="n">
        <f aca="false">IFERROR(INDEX(LR_TypLabor,MATCH(G284,LR_Key,0)),"")</f>
        <v>240</v>
      </c>
      <c r="I284" s="12" t="n">
        <f aca="false">INDEX(Urg_Mult,MATCH(E284,Urg_Levels,0))</f>
        <v>1.3</v>
      </c>
      <c r="J284" s="3" t="n">
        <f aca="false">IF(ISNUMBER(H284),MAX(H284,IFERROR(INDEX(MW_Floor,MATCH(G284,MW_Key,0)),0))*I284,"")</f>
        <v>472.472</v>
      </c>
      <c r="K284" s="3" t="n">
        <f aca="false">IF(ISNUMBER(J284),F284+J284,"")</f>
        <v>579.472</v>
      </c>
      <c r="L284" s="3" t="n">
        <f aca="false">IF(ISNUMBER(H284),MAX(H284,IFERROR(INDEX(MW_Floor,MATCH(G284,MW_Key,0)),0))*I284,"")</f>
        <v>472.472</v>
      </c>
      <c r="M284" s="2" t="str">
        <f aca="false">IFERROR(INDEX(LR_Flag,MATCH(G284,LR_Key,0)),"")</f>
        <v>assumption</v>
      </c>
      <c r="N284" s="2" t="str">
        <f aca="false">IFERROR(INDEX(MW_Check,MATCH(G284,MW_Key,0)),"")</f>
        <v>BELOW FLOOR</v>
      </c>
      <c r="O284" s="0" t="str">
        <f aca="false">IF(NOT(ISNUMBER(H284)),"LABOR QUOTE NEEDED – total incomplete",IF(N284="BELOW FLOOR","CHECK: typical labor below wage floor – payout and customer labor raised to floor",IF(M284&lt;&gt;"none","Labor rate flagged: "&amp;M284,"OK")))</f>
        <v>CHECK: typical labor below wage floor – payout and customer labor raised to floor</v>
      </c>
      <c r="P284" s="0" t="s">
        <v>1376</v>
      </c>
      <c r="Q284" s="8" t="s">
        <v>1377</v>
      </c>
      <c r="R284" s="2" t="str">
        <f aca="false">IF(OR(M284="regulated",COUNTIFS(Tasks_TaskID,A284,Tasks_Tier,D284,Tasks_Review,"base")&gt;0),"PENDING REVIEW – priced, not bookable until human approval",IF(COUNTIFS(Tasks_TaskID,A284,Tasks_Tier,D284,Tasks_Review,"as-needed")&gt;0,"Bookable (re-evaluate if regulated as-needed line selected)","Bookable"))</f>
        <v>Bookable</v>
      </c>
    </row>
    <row r="285" customFormat="false" ht="17.15" hidden="false" customHeight="false" outlineLevel="0" collapsed="false">
      <c r="A285" s="2" t="s">
        <v>1372</v>
      </c>
      <c r="B285" s="2" t="s">
        <v>590</v>
      </c>
      <c r="C285" s="2" t="s">
        <v>1373</v>
      </c>
      <c r="D285" s="2" t="s">
        <v>1049</v>
      </c>
      <c r="E285" s="2" t="s">
        <v>1898</v>
      </c>
      <c r="F285" s="3" t="n">
        <f aca="false">INDEX(Sum_Base,MATCH(A285,Sum_BaseTasks,0),MATCH(D285,Sum_BaseTiers,0))</f>
        <v>107</v>
      </c>
      <c r="G285" s="2" t="str">
        <f aca="false">IF(ISNUMBER(MATCH(A285&amp;"|"&amp;D285,LR_Key,0)),A285&amp;"|"&amp;D285,A285&amp;"|All")</f>
        <v>FIXX-CAR-001|All</v>
      </c>
      <c r="H285" s="3" t="n">
        <f aca="false">IFERROR(INDEX(LR_TypLabor,MATCH(G285,LR_Key,0)),"")</f>
        <v>240</v>
      </c>
      <c r="I285" s="12" t="n">
        <f aca="false">INDEX(Urg_Mult,MATCH(E285,Urg_Levels,0))</f>
        <v>1.5</v>
      </c>
      <c r="J285" s="3" t="n">
        <f aca="false">IF(ISNUMBER(H285),MAX(H285,IFERROR(INDEX(MW_Floor,MATCH(G285,MW_Key,0)),0))*I285,"")</f>
        <v>545.16</v>
      </c>
      <c r="K285" s="3" t="n">
        <f aca="false">IF(ISNUMBER(J285),F285+J285,"")</f>
        <v>652.16</v>
      </c>
      <c r="L285" s="3" t="n">
        <f aca="false">IF(ISNUMBER(H285),MAX(H285,IFERROR(INDEX(MW_Floor,MATCH(G285,MW_Key,0)),0))*I285,"")</f>
        <v>545.16</v>
      </c>
      <c r="M285" s="2" t="str">
        <f aca="false">IFERROR(INDEX(LR_Flag,MATCH(G285,LR_Key,0)),"")</f>
        <v>assumption</v>
      </c>
      <c r="N285" s="2" t="str">
        <f aca="false">IFERROR(INDEX(MW_Check,MATCH(G285,MW_Key,0)),"")</f>
        <v>BELOW FLOOR</v>
      </c>
      <c r="O285" s="0" t="str">
        <f aca="false">IF(NOT(ISNUMBER(H285)),"LABOR QUOTE NEEDED – total incomplete",IF(N285="BELOW FLOOR","CHECK: typical labor below wage floor – payout and customer labor raised to floor",IF(M285&lt;&gt;"none","Labor rate flagged: "&amp;M285,"OK")))</f>
        <v>CHECK: typical labor below wage floor – payout and customer labor raised to floor</v>
      </c>
      <c r="P285" s="0" t="s">
        <v>1376</v>
      </c>
      <c r="Q285" s="8" t="s">
        <v>1377</v>
      </c>
      <c r="R285" s="2" t="str">
        <f aca="false">IF(OR(M285="regulated",COUNTIFS(Tasks_TaskID,A285,Tasks_Tier,D285,Tasks_Review,"base")&gt;0),"PENDING REVIEW – priced, not bookable until human approval",IF(COUNTIFS(Tasks_TaskID,A285,Tasks_Tier,D285,Tasks_Review,"as-needed")&gt;0,"Bookable (re-evaluate if regulated as-needed line selected)","Bookable"))</f>
        <v>Bookable</v>
      </c>
    </row>
    <row r="286" customFormat="false" ht="17.15" hidden="false" customHeight="false" outlineLevel="0" collapsed="false">
      <c r="A286" s="2" t="s">
        <v>1372</v>
      </c>
      <c r="B286" s="2" t="s">
        <v>590</v>
      </c>
      <c r="C286" s="2" t="s">
        <v>1373</v>
      </c>
      <c r="D286" s="2" t="s">
        <v>1051</v>
      </c>
      <c r="E286" s="2" t="s">
        <v>1895</v>
      </c>
      <c r="F286" s="3" t="n">
        <f aca="false">INDEX(Sum_Base,MATCH(A286,Sum_BaseTasks,0),MATCH(D286,Sum_BaseTiers,0))</f>
        <v>156</v>
      </c>
      <c r="G286" s="2" t="str">
        <f aca="false">IF(ISNUMBER(MATCH(A286&amp;"|"&amp;D286,LR_Key,0)),A286&amp;"|"&amp;D286,A286&amp;"|All")</f>
        <v>FIXX-CAR-001|All</v>
      </c>
      <c r="H286" s="3" t="n">
        <f aca="false">IFERROR(INDEX(LR_TypLabor,MATCH(G286,LR_Key,0)),"")</f>
        <v>240</v>
      </c>
      <c r="I286" s="12" t="n">
        <f aca="false">INDEX(Urg_Mult,MATCH(E286,Urg_Levels,0))</f>
        <v>1</v>
      </c>
      <c r="J286" s="3" t="n">
        <f aca="false">IF(ISNUMBER(H286),MAX(H286,IFERROR(INDEX(MW_Floor,MATCH(G286,MW_Key,0)),0))*I286,"")</f>
        <v>363.44</v>
      </c>
      <c r="K286" s="3" t="n">
        <f aca="false">IF(ISNUMBER(J286),F286+J286,"")</f>
        <v>519.44</v>
      </c>
      <c r="L286" s="3" t="n">
        <f aca="false">IF(ISNUMBER(H286),MAX(H286,IFERROR(INDEX(MW_Floor,MATCH(G286,MW_Key,0)),0))*I286,"")</f>
        <v>363.44</v>
      </c>
      <c r="M286" s="2" t="str">
        <f aca="false">IFERROR(INDEX(LR_Flag,MATCH(G286,LR_Key,0)),"")</f>
        <v>assumption</v>
      </c>
      <c r="N286" s="2" t="str">
        <f aca="false">IFERROR(INDEX(MW_Check,MATCH(G286,MW_Key,0)),"")</f>
        <v>BELOW FLOOR</v>
      </c>
      <c r="O286" s="0" t="str">
        <f aca="false">IF(NOT(ISNUMBER(H286)),"LABOR QUOTE NEEDED – total incomplete",IF(N286="BELOW FLOOR","CHECK: typical labor below wage floor – payout and customer labor raised to floor",IF(M286&lt;&gt;"none","Labor rate flagged: "&amp;M286,"OK")))</f>
        <v>CHECK: typical labor below wage floor – payout and customer labor raised to floor</v>
      </c>
      <c r="P286" s="0" t="s">
        <v>1376</v>
      </c>
      <c r="Q286" s="8" t="s">
        <v>1377</v>
      </c>
      <c r="R286" s="2" t="str">
        <f aca="false">IF(OR(M286="regulated",COUNTIFS(Tasks_TaskID,A286,Tasks_Tier,D286,Tasks_Review,"base")&gt;0),"PENDING REVIEW – priced, not bookable until human approval",IF(COUNTIFS(Tasks_TaskID,A286,Tasks_Tier,D286,Tasks_Review,"as-needed")&gt;0,"Bookable (re-evaluate if regulated as-needed line selected)","Bookable"))</f>
        <v>Bookable</v>
      </c>
    </row>
    <row r="287" customFormat="false" ht="17.15" hidden="false" customHeight="false" outlineLevel="0" collapsed="false">
      <c r="A287" s="2" t="s">
        <v>1372</v>
      </c>
      <c r="B287" s="2" t="s">
        <v>590</v>
      </c>
      <c r="C287" s="2" t="s">
        <v>1373</v>
      </c>
      <c r="D287" s="2" t="s">
        <v>1051</v>
      </c>
      <c r="E287" s="2" t="s">
        <v>1896</v>
      </c>
      <c r="F287" s="3" t="n">
        <f aca="false">INDEX(Sum_Base,MATCH(A287,Sum_BaseTasks,0),MATCH(D287,Sum_BaseTiers,0))</f>
        <v>156</v>
      </c>
      <c r="G287" s="2" t="str">
        <f aca="false">IF(ISNUMBER(MATCH(A287&amp;"|"&amp;D287,LR_Key,0)),A287&amp;"|"&amp;D287,A287&amp;"|All")</f>
        <v>FIXX-CAR-001|All</v>
      </c>
      <c r="H287" s="3" t="n">
        <f aca="false">IFERROR(INDEX(LR_TypLabor,MATCH(G287,LR_Key,0)),"")</f>
        <v>240</v>
      </c>
      <c r="I287" s="12" t="n">
        <f aca="false">INDEX(Urg_Mult,MATCH(E287,Urg_Levels,0))</f>
        <v>1.15</v>
      </c>
      <c r="J287" s="3" t="n">
        <f aca="false">IF(ISNUMBER(H287),MAX(H287,IFERROR(INDEX(MW_Floor,MATCH(G287,MW_Key,0)),0))*I287,"")</f>
        <v>417.956</v>
      </c>
      <c r="K287" s="3" t="n">
        <f aca="false">IF(ISNUMBER(J287),F287+J287,"")</f>
        <v>573.956</v>
      </c>
      <c r="L287" s="3" t="n">
        <f aca="false">IF(ISNUMBER(H287),MAX(H287,IFERROR(INDEX(MW_Floor,MATCH(G287,MW_Key,0)),0))*I287,"")</f>
        <v>417.956</v>
      </c>
      <c r="M287" s="2" t="str">
        <f aca="false">IFERROR(INDEX(LR_Flag,MATCH(G287,LR_Key,0)),"")</f>
        <v>assumption</v>
      </c>
      <c r="N287" s="2" t="str">
        <f aca="false">IFERROR(INDEX(MW_Check,MATCH(G287,MW_Key,0)),"")</f>
        <v>BELOW FLOOR</v>
      </c>
      <c r="O287" s="0" t="str">
        <f aca="false">IF(NOT(ISNUMBER(H287)),"LABOR QUOTE NEEDED – total incomplete",IF(N287="BELOW FLOOR","CHECK: typical labor below wage floor – payout and customer labor raised to floor",IF(M287&lt;&gt;"none","Labor rate flagged: "&amp;M287,"OK")))</f>
        <v>CHECK: typical labor below wage floor – payout and customer labor raised to floor</v>
      </c>
      <c r="P287" s="0" t="s">
        <v>1376</v>
      </c>
      <c r="Q287" s="8" t="s">
        <v>1377</v>
      </c>
      <c r="R287" s="2" t="str">
        <f aca="false">IF(OR(M287="regulated",COUNTIFS(Tasks_TaskID,A287,Tasks_Tier,D287,Tasks_Review,"base")&gt;0),"PENDING REVIEW – priced, not bookable until human approval",IF(COUNTIFS(Tasks_TaskID,A287,Tasks_Tier,D287,Tasks_Review,"as-needed")&gt;0,"Bookable (re-evaluate if regulated as-needed line selected)","Bookable"))</f>
        <v>Bookable</v>
      </c>
    </row>
    <row r="288" customFormat="false" ht="17.15" hidden="false" customHeight="false" outlineLevel="0" collapsed="false">
      <c r="A288" s="2" t="s">
        <v>1372</v>
      </c>
      <c r="B288" s="2" t="s">
        <v>590</v>
      </c>
      <c r="C288" s="2" t="s">
        <v>1373</v>
      </c>
      <c r="D288" s="2" t="s">
        <v>1051</v>
      </c>
      <c r="E288" s="2" t="s">
        <v>1897</v>
      </c>
      <c r="F288" s="3" t="n">
        <f aca="false">INDEX(Sum_Base,MATCH(A288,Sum_BaseTasks,0),MATCH(D288,Sum_BaseTiers,0))</f>
        <v>156</v>
      </c>
      <c r="G288" s="2" t="str">
        <f aca="false">IF(ISNUMBER(MATCH(A288&amp;"|"&amp;D288,LR_Key,0)),A288&amp;"|"&amp;D288,A288&amp;"|All")</f>
        <v>FIXX-CAR-001|All</v>
      </c>
      <c r="H288" s="3" t="n">
        <f aca="false">IFERROR(INDEX(LR_TypLabor,MATCH(G288,LR_Key,0)),"")</f>
        <v>240</v>
      </c>
      <c r="I288" s="12" t="n">
        <f aca="false">INDEX(Urg_Mult,MATCH(E288,Urg_Levels,0))</f>
        <v>1.3</v>
      </c>
      <c r="J288" s="3" t="n">
        <f aca="false">IF(ISNUMBER(H288),MAX(H288,IFERROR(INDEX(MW_Floor,MATCH(G288,MW_Key,0)),0))*I288,"")</f>
        <v>472.472</v>
      </c>
      <c r="K288" s="3" t="n">
        <f aca="false">IF(ISNUMBER(J288),F288+J288,"")</f>
        <v>628.472</v>
      </c>
      <c r="L288" s="3" t="n">
        <f aca="false">IF(ISNUMBER(H288),MAX(H288,IFERROR(INDEX(MW_Floor,MATCH(G288,MW_Key,0)),0))*I288,"")</f>
        <v>472.472</v>
      </c>
      <c r="M288" s="2" t="str">
        <f aca="false">IFERROR(INDEX(LR_Flag,MATCH(G288,LR_Key,0)),"")</f>
        <v>assumption</v>
      </c>
      <c r="N288" s="2" t="str">
        <f aca="false">IFERROR(INDEX(MW_Check,MATCH(G288,MW_Key,0)),"")</f>
        <v>BELOW FLOOR</v>
      </c>
      <c r="O288" s="0" t="str">
        <f aca="false">IF(NOT(ISNUMBER(H288)),"LABOR QUOTE NEEDED – total incomplete",IF(N288="BELOW FLOOR","CHECK: typical labor below wage floor – payout and customer labor raised to floor",IF(M288&lt;&gt;"none","Labor rate flagged: "&amp;M288,"OK")))</f>
        <v>CHECK: typical labor below wage floor – payout and customer labor raised to floor</v>
      </c>
      <c r="P288" s="0" t="s">
        <v>1376</v>
      </c>
      <c r="Q288" s="8" t="s">
        <v>1377</v>
      </c>
      <c r="R288" s="2" t="str">
        <f aca="false">IF(OR(M288="regulated",COUNTIFS(Tasks_TaskID,A288,Tasks_Tier,D288,Tasks_Review,"base")&gt;0),"PENDING REVIEW – priced, not bookable until human approval",IF(COUNTIFS(Tasks_TaskID,A288,Tasks_Tier,D288,Tasks_Review,"as-needed")&gt;0,"Bookable (re-evaluate if regulated as-needed line selected)","Bookable"))</f>
        <v>Bookable</v>
      </c>
    </row>
    <row r="289" customFormat="false" ht="17.15" hidden="false" customHeight="false" outlineLevel="0" collapsed="false">
      <c r="A289" s="2" t="s">
        <v>1372</v>
      </c>
      <c r="B289" s="2" t="s">
        <v>590</v>
      </c>
      <c r="C289" s="2" t="s">
        <v>1373</v>
      </c>
      <c r="D289" s="2" t="s">
        <v>1051</v>
      </c>
      <c r="E289" s="2" t="s">
        <v>1898</v>
      </c>
      <c r="F289" s="3" t="n">
        <f aca="false">INDEX(Sum_Base,MATCH(A289,Sum_BaseTasks,0),MATCH(D289,Sum_BaseTiers,0))</f>
        <v>156</v>
      </c>
      <c r="G289" s="2" t="str">
        <f aca="false">IF(ISNUMBER(MATCH(A289&amp;"|"&amp;D289,LR_Key,0)),A289&amp;"|"&amp;D289,A289&amp;"|All")</f>
        <v>FIXX-CAR-001|All</v>
      </c>
      <c r="H289" s="3" t="n">
        <f aca="false">IFERROR(INDEX(LR_TypLabor,MATCH(G289,LR_Key,0)),"")</f>
        <v>240</v>
      </c>
      <c r="I289" s="12" t="n">
        <f aca="false">INDEX(Urg_Mult,MATCH(E289,Urg_Levels,0))</f>
        <v>1.5</v>
      </c>
      <c r="J289" s="3" t="n">
        <f aca="false">IF(ISNUMBER(H289),MAX(H289,IFERROR(INDEX(MW_Floor,MATCH(G289,MW_Key,0)),0))*I289,"")</f>
        <v>545.16</v>
      </c>
      <c r="K289" s="3" t="n">
        <f aca="false">IF(ISNUMBER(J289),F289+J289,"")</f>
        <v>701.16</v>
      </c>
      <c r="L289" s="3" t="n">
        <f aca="false">IF(ISNUMBER(H289),MAX(H289,IFERROR(INDEX(MW_Floor,MATCH(G289,MW_Key,0)),0))*I289,"")</f>
        <v>545.16</v>
      </c>
      <c r="M289" s="2" t="str">
        <f aca="false">IFERROR(INDEX(LR_Flag,MATCH(G289,LR_Key,0)),"")</f>
        <v>assumption</v>
      </c>
      <c r="N289" s="2" t="str">
        <f aca="false">IFERROR(INDEX(MW_Check,MATCH(G289,MW_Key,0)),"")</f>
        <v>BELOW FLOOR</v>
      </c>
      <c r="O289" s="0" t="str">
        <f aca="false">IF(NOT(ISNUMBER(H289)),"LABOR QUOTE NEEDED – total incomplete",IF(N289="BELOW FLOOR","CHECK: typical labor below wage floor – payout and customer labor raised to floor",IF(M289&lt;&gt;"none","Labor rate flagged: "&amp;M289,"OK")))</f>
        <v>CHECK: typical labor below wage floor – payout and customer labor raised to floor</v>
      </c>
      <c r="P289" s="0" t="s">
        <v>1376</v>
      </c>
      <c r="Q289" s="8" t="s">
        <v>1377</v>
      </c>
      <c r="R289" s="2" t="str">
        <f aca="false">IF(OR(M289="regulated",COUNTIFS(Tasks_TaskID,A289,Tasks_Tier,D289,Tasks_Review,"base")&gt;0),"PENDING REVIEW – priced, not bookable until human approval",IF(COUNTIFS(Tasks_TaskID,A289,Tasks_Tier,D289,Tasks_Review,"as-needed")&gt;0,"Bookable (re-evaluate if regulated as-needed line selected)","Bookable"))</f>
        <v>Bookable</v>
      </c>
    </row>
    <row r="290" customFormat="false" ht="17.15" hidden="false" customHeight="false" outlineLevel="0" collapsed="false">
      <c r="A290" s="2" t="s">
        <v>1386</v>
      </c>
      <c r="B290" s="2" t="s">
        <v>618</v>
      </c>
      <c r="C290" s="2" t="s">
        <v>1387</v>
      </c>
      <c r="D290" s="2" t="s">
        <v>1042</v>
      </c>
      <c r="E290" s="2" t="s">
        <v>1895</v>
      </c>
      <c r="F290" s="3" t="n">
        <f aca="false">INDEX(Sum_Base,MATCH(A290,Sum_BaseTasks,0),MATCH(D290,Sum_BaseTiers,0))</f>
        <v>34.25</v>
      </c>
      <c r="G290" s="2" t="str">
        <f aca="false">IF(ISNUMBER(MATCH(A290&amp;"|"&amp;D290,LR_Key,0)),A290&amp;"|"&amp;D290,A290&amp;"|All")</f>
        <v>FIXX-APL-001|All</v>
      </c>
      <c r="H290" s="3" t="n">
        <f aca="false">IFERROR(INDEX(LR_TypLabor,MATCH(G290,LR_Key,0)),"")</f>
        <v>994</v>
      </c>
      <c r="I290" s="12" t="n">
        <f aca="false">INDEX(Urg_Mult,MATCH(E290,Urg_Levels,0))</f>
        <v>1</v>
      </c>
      <c r="J290" s="3" t="n">
        <f aca="false">IF(ISNUMBER(H290),MAX(H290,IFERROR(INDEX(MW_Floor,MATCH(G290,MW_Key,0)),0))*I290,"")</f>
        <v>994</v>
      </c>
      <c r="K290" s="3" t="n">
        <f aca="false">IF(ISNUMBER(J290),F290+J290,"")</f>
        <v>1028.25</v>
      </c>
      <c r="L290" s="3" t="n">
        <f aca="false">IF(ISNUMBER(H290),MAX(H290,IFERROR(INDEX(MW_Floor,MATCH(G290,MW_Key,0)),0))*I290,"")</f>
        <v>994</v>
      </c>
      <c r="M290" s="2" t="str">
        <f aca="false">IFERROR(INDEX(LR_Flag,MATCH(G290,LR_Key,0)),"")</f>
        <v>none</v>
      </c>
      <c r="N290" s="2" t="str">
        <f aca="false">IFERROR(INDEX(MW_Check,MATCH(G290,MW_Key,0)),"")</f>
        <v>OK</v>
      </c>
      <c r="O290" s="0" t="str">
        <f aca="false">IF(NOT(ISNUMBER(H290)),"LABOR QUOTE NEEDED – total incomplete",IF(N290="BELOW FLOOR","CHECK: typical labor below wage floor – payout and customer labor raised to floor",IF(M290&lt;&gt;"none","Labor rate flagged: "&amp;M290,"OK")))</f>
        <v>OK</v>
      </c>
      <c r="P290" s="0" t="s">
        <v>1390</v>
      </c>
      <c r="Q290" s="8" t="s">
        <v>1391</v>
      </c>
      <c r="R290" s="2" t="str">
        <f aca="false">IF(OR(M290="regulated",COUNTIFS(Tasks_TaskID,A290,Tasks_Tier,D290,Tasks_Review,"base")&gt;0),"PENDING REVIEW – priced, not bookable until human approval",IF(COUNTIFS(Tasks_TaskID,A290,Tasks_Tier,D290,Tasks_Review,"as-needed")&gt;0,"Bookable (re-evaluate if regulated as-needed line selected)","Bookable"))</f>
        <v>Bookable</v>
      </c>
    </row>
    <row r="291" customFormat="false" ht="17.15" hidden="false" customHeight="false" outlineLevel="0" collapsed="false">
      <c r="A291" s="2" t="s">
        <v>1386</v>
      </c>
      <c r="B291" s="2" t="s">
        <v>618</v>
      </c>
      <c r="C291" s="2" t="s">
        <v>1387</v>
      </c>
      <c r="D291" s="2" t="s">
        <v>1042</v>
      </c>
      <c r="E291" s="2" t="s">
        <v>1896</v>
      </c>
      <c r="F291" s="3" t="n">
        <f aca="false">INDEX(Sum_Base,MATCH(A291,Sum_BaseTasks,0),MATCH(D291,Sum_BaseTiers,0))</f>
        <v>34.25</v>
      </c>
      <c r="G291" s="2" t="str">
        <f aca="false">IF(ISNUMBER(MATCH(A291&amp;"|"&amp;D291,LR_Key,0)),A291&amp;"|"&amp;D291,A291&amp;"|All")</f>
        <v>FIXX-APL-001|All</v>
      </c>
      <c r="H291" s="3" t="n">
        <f aca="false">IFERROR(INDEX(LR_TypLabor,MATCH(G291,LR_Key,0)),"")</f>
        <v>994</v>
      </c>
      <c r="I291" s="12" t="n">
        <f aca="false">INDEX(Urg_Mult,MATCH(E291,Urg_Levels,0))</f>
        <v>1.15</v>
      </c>
      <c r="J291" s="3" t="n">
        <f aca="false">IF(ISNUMBER(H291),MAX(H291,IFERROR(INDEX(MW_Floor,MATCH(G291,MW_Key,0)),0))*I291,"")</f>
        <v>1143.1</v>
      </c>
      <c r="K291" s="3" t="n">
        <f aca="false">IF(ISNUMBER(J291),F291+J291,"")</f>
        <v>1177.35</v>
      </c>
      <c r="L291" s="3" t="n">
        <f aca="false">IF(ISNUMBER(H291),MAX(H291,IFERROR(INDEX(MW_Floor,MATCH(G291,MW_Key,0)),0))*I291,"")</f>
        <v>1143.1</v>
      </c>
      <c r="M291" s="2" t="str">
        <f aca="false">IFERROR(INDEX(LR_Flag,MATCH(G291,LR_Key,0)),"")</f>
        <v>none</v>
      </c>
      <c r="N291" s="2" t="str">
        <f aca="false">IFERROR(INDEX(MW_Check,MATCH(G291,MW_Key,0)),"")</f>
        <v>OK</v>
      </c>
      <c r="O291" s="0" t="str">
        <f aca="false">IF(NOT(ISNUMBER(H291)),"LABOR QUOTE NEEDED – total incomplete",IF(N291="BELOW FLOOR","CHECK: typical labor below wage floor – payout and customer labor raised to floor",IF(M291&lt;&gt;"none","Labor rate flagged: "&amp;M291,"OK")))</f>
        <v>OK</v>
      </c>
      <c r="P291" s="0" t="s">
        <v>1390</v>
      </c>
      <c r="Q291" s="8" t="s">
        <v>1391</v>
      </c>
      <c r="R291" s="2" t="str">
        <f aca="false">IF(OR(M291="regulated",COUNTIFS(Tasks_TaskID,A291,Tasks_Tier,D291,Tasks_Review,"base")&gt;0),"PENDING REVIEW – priced, not bookable until human approval",IF(COUNTIFS(Tasks_TaskID,A291,Tasks_Tier,D291,Tasks_Review,"as-needed")&gt;0,"Bookable (re-evaluate if regulated as-needed line selected)","Bookable"))</f>
        <v>Bookable</v>
      </c>
    </row>
    <row r="292" customFormat="false" ht="17.15" hidden="false" customHeight="false" outlineLevel="0" collapsed="false">
      <c r="A292" s="2" t="s">
        <v>1386</v>
      </c>
      <c r="B292" s="2" t="s">
        <v>618</v>
      </c>
      <c r="C292" s="2" t="s">
        <v>1387</v>
      </c>
      <c r="D292" s="2" t="s">
        <v>1042</v>
      </c>
      <c r="E292" s="2" t="s">
        <v>1897</v>
      </c>
      <c r="F292" s="3" t="n">
        <f aca="false">INDEX(Sum_Base,MATCH(A292,Sum_BaseTasks,0),MATCH(D292,Sum_BaseTiers,0))</f>
        <v>34.25</v>
      </c>
      <c r="G292" s="2" t="str">
        <f aca="false">IF(ISNUMBER(MATCH(A292&amp;"|"&amp;D292,LR_Key,0)),A292&amp;"|"&amp;D292,A292&amp;"|All")</f>
        <v>FIXX-APL-001|All</v>
      </c>
      <c r="H292" s="3" t="n">
        <f aca="false">IFERROR(INDEX(LR_TypLabor,MATCH(G292,LR_Key,0)),"")</f>
        <v>994</v>
      </c>
      <c r="I292" s="12" t="n">
        <f aca="false">INDEX(Urg_Mult,MATCH(E292,Urg_Levels,0))</f>
        <v>1.3</v>
      </c>
      <c r="J292" s="3" t="n">
        <f aca="false">IF(ISNUMBER(H292),MAX(H292,IFERROR(INDEX(MW_Floor,MATCH(G292,MW_Key,0)),0))*I292,"")</f>
        <v>1292.2</v>
      </c>
      <c r="K292" s="3" t="n">
        <f aca="false">IF(ISNUMBER(J292),F292+J292,"")</f>
        <v>1326.45</v>
      </c>
      <c r="L292" s="3" t="n">
        <f aca="false">IF(ISNUMBER(H292),MAX(H292,IFERROR(INDEX(MW_Floor,MATCH(G292,MW_Key,0)),0))*I292,"")</f>
        <v>1292.2</v>
      </c>
      <c r="M292" s="2" t="str">
        <f aca="false">IFERROR(INDEX(LR_Flag,MATCH(G292,LR_Key,0)),"")</f>
        <v>none</v>
      </c>
      <c r="N292" s="2" t="str">
        <f aca="false">IFERROR(INDEX(MW_Check,MATCH(G292,MW_Key,0)),"")</f>
        <v>OK</v>
      </c>
      <c r="O292" s="0" t="str">
        <f aca="false">IF(NOT(ISNUMBER(H292)),"LABOR QUOTE NEEDED – total incomplete",IF(N292="BELOW FLOOR","CHECK: typical labor below wage floor – payout and customer labor raised to floor",IF(M292&lt;&gt;"none","Labor rate flagged: "&amp;M292,"OK")))</f>
        <v>OK</v>
      </c>
      <c r="P292" s="0" t="s">
        <v>1390</v>
      </c>
      <c r="Q292" s="8" t="s">
        <v>1391</v>
      </c>
      <c r="R292" s="2" t="str">
        <f aca="false">IF(OR(M292="regulated",COUNTIFS(Tasks_TaskID,A292,Tasks_Tier,D292,Tasks_Review,"base")&gt;0),"PENDING REVIEW – priced, not bookable until human approval",IF(COUNTIFS(Tasks_TaskID,A292,Tasks_Tier,D292,Tasks_Review,"as-needed")&gt;0,"Bookable (re-evaluate if regulated as-needed line selected)","Bookable"))</f>
        <v>Bookable</v>
      </c>
    </row>
    <row r="293" customFormat="false" ht="17.15" hidden="false" customHeight="false" outlineLevel="0" collapsed="false">
      <c r="A293" s="2" t="s">
        <v>1386</v>
      </c>
      <c r="B293" s="2" t="s">
        <v>618</v>
      </c>
      <c r="C293" s="2" t="s">
        <v>1387</v>
      </c>
      <c r="D293" s="2" t="s">
        <v>1042</v>
      </c>
      <c r="E293" s="2" t="s">
        <v>1898</v>
      </c>
      <c r="F293" s="3" t="n">
        <f aca="false">INDEX(Sum_Base,MATCH(A293,Sum_BaseTasks,0),MATCH(D293,Sum_BaseTiers,0))</f>
        <v>34.25</v>
      </c>
      <c r="G293" s="2" t="str">
        <f aca="false">IF(ISNUMBER(MATCH(A293&amp;"|"&amp;D293,LR_Key,0)),A293&amp;"|"&amp;D293,A293&amp;"|All")</f>
        <v>FIXX-APL-001|All</v>
      </c>
      <c r="H293" s="3" t="n">
        <f aca="false">IFERROR(INDEX(LR_TypLabor,MATCH(G293,LR_Key,0)),"")</f>
        <v>994</v>
      </c>
      <c r="I293" s="12" t="n">
        <f aca="false">INDEX(Urg_Mult,MATCH(E293,Urg_Levels,0))</f>
        <v>1.5</v>
      </c>
      <c r="J293" s="3" t="n">
        <f aca="false">IF(ISNUMBER(H293),MAX(H293,IFERROR(INDEX(MW_Floor,MATCH(G293,MW_Key,0)),0))*I293,"")</f>
        <v>1491</v>
      </c>
      <c r="K293" s="3" t="n">
        <f aca="false">IF(ISNUMBER(J293),F293+J293,"")</f>
        <v>1525.25</v>
      </c>
      <c r="L293" s="3" t="n">
        <f aca="false">IF(ISNUMBER(H293),MAX(H293,IFERROR(INDEX(MW_Floor,MATCH(G293,MW_Key,0)),0))*I293,"")</f>
        <v>1491</v>
      </c>
      <c r="M293" s="2" t="str">
        <f aca="false">IFERROR(INDEX(LR_Flag,MATCH(G293,LR_Key,0)),"")</f>
        <v>none</v>
      </c>
      <c r="N293" s="2" t="str">
        <f aca="false">IFERROR(INDEX(MW_Check,MATCH(G293,MW_Key,0)),"")</f>
        <v>OK</v>
      </c>
      <c r="O293" s="0" t="str">
        <f aca="false">IF(NOT(ISNUMBER(H293)),"LABOR QUOTE NEEDED – total incomplete",IF(N293="BELOW FLOOR","CHECK: typical labor below wage floor – payout and customer labor raised to floor",IF(M293&lt;&gt;"none","Labor rate flagged: "&amp;M293,"OK")))</f>
        <v>OK</v>
      </c>
      <c r="P293" s="0" t="s">
        <v>1390</v>
      </c>
      <c r="Q293" s="8" t="s">
        <v>1391</v>
      </c>
      <c r="R293" s="2" t="str">
        <f aca="false">IF(OR(M293="regulated",COUNTIFS(Tasks_TaskID,A293,Tasks_Tier,D293,Tasks_Review,"base")&gt;0),"PENDING REVIEW – priced, not bookable until human approval",IF(COUNTIFS(Tasks_TaskID,A293,Tasks_Tier,D293,Tasks_Review,"as-needed")&gt;0,"Bookable (re-evaluate if regulated as-needed line selected)","Bookable"))</f>
        <v>Bookable</v>
      </c>
    </row>
    <row r="294" customFormat="false" ht="17.15" hidden="false" customHeight="false" outlineLevel="0" collapsed="false">
      <c r="A294" s="2" t="s">
        <v>1386</v>
      </c>
      <c r="B294" s="2" t="s">
        <v>618</v>
      </c>
      <c r="C294" s="2" t="s">
        <v>1387</v>
      </c>
      <c r="D294" s="2" t="s">
        <v>1049</v>
      </c>
      <c r="E294" s="2" t="s">
        <v>1895</v>
      </c>
      <c r="F294" s="3" t="n">
        <f aca="false">INDEX(Sum_Base,MATCH(A294,Sum_BaseTasks,0),MATCH(D294,Sum_BaseTiers,0))</f>
        <v>40</v>
      </c>
      <c r="G294" s="2" t="str">
        <f aca="false">IF(ISNUMBER(MATCH(A294&amp;"|"&amp;D294,LR_Key,0)),A294&amp;"|"&amp;D294,A294&amp;"|All")</f>
        <v>FIXX-APL-001|All</v>
      </c>
      <c r="H294" s="3" t="n">
        <f aca="false">IFERROR(INDEX(LR_TypLabor,MATCH(G294,LR_Key,0)),"")</f>
        <v>994</v>
      </c>
      <c r="I294" s="12" t="n">
        <f aca="false">INDEX(Urg_Mult,MATCH(E294,Urg_Levels,0))</f>
        <v>1</v>
      </c>
      <c r="J294" s="3" t="n">
        <f aca="false">IF(ISNUMBER(H294),MAX(H294,IFERROR(INDEX(MW_Floor,MATCH(G294,MW_Key,0)),0))*I294,"")</f>
        <v>994</v>
      </c>
      <c r="K294" s="3" t="n">
        <f aca="false">IF(ISNUMBER(J294),F294+J294,"")</f>
        <v>1034</v>
      </c>
      <c r="L294" s="3" t="n">
        <f aca="false">IF(ISNUMBER(H294),MAX(H294,IFERROR(INDEX(MW_Floor,MATCH(G294,MW_Key,0)),0))*I294,"")</f>
        <v>994</v>
      </c>
      <c r="M294" s="2" t="str">
        <f aca="false">IFERROR(INDEX(LR_Flag,MATCH(G294,LR_Key,0)),"")</f>
        <v>none</v>
      </c>
      <c r="N294" s="2" t="str">
        <f aca="false">IFERROR(INDEX(MW_Check,MATCH(G294,MW_Key,0)),"")</f>
        <v>OK</v>
      </c>
      <c r="O294" s="0" t="str">
        <f aca="false">IF(NOT(ISNUMBER(H294)),"LABOR QUOTE NEEDED – total incomplete",IF(N294="BELOW FLOOR","CHECK: typical labor below wage floor – payout and customer labor raised to floor",IF(M294&lt;&gt;"none","Labor rate flagged: "&amp;M294,"OK")))</f>
        <v>OK</v>
      </c>
      <c r="P294" s="0" t="s">
        <v>1390</v>
      </c>
      <c r="Q294" s="8" t="s">
        <v>1391</v>
      </c>
      <c r="R294" s="2" t="str">
        <f aca="false">IF(OR(M294="regulated",COUNTIFS(Tasks_TaskID,A294,Tasks_Tier,D294,Tasks_Review,"base")&gt;0),"PENDING REVIEW – priced, not bookable until human approval",IF(COUNTIFS(Tasks_TaskID,A294,Tasks_Tier,D294,Tasks_Review,"as-needed")&gt;0,"Bookable (re-evaluate if regulated as-needed line selected)","Bookable"))</f>
        <v>Bookable</v>
      </c>
    </row>
    <row r="295" customFormat="false" ht="17.15" hidden="false" customHeight="false" outlineLevel="0" collapsed="false">
      <c r="A295" s="2" t="s">
        <v>1386</v>
      </c>
      <c r="B295" s="2" t="s">
        <v>618</v>
      </c>
      <c r="C295" s="2" t="s">
        <v>1387</v>
      </c>
      <c r="D295" s="2" t="s">
        <v>1049</v>
      </c>
      <c r="E295" s="2" t="s">
        <v>1896</v>
      </c>
      <c r="F295" s="3" t="n">
        <f aca="false">INDEX(Sum_Base,MATCH(A295,Sum_BaseTasks,0),MATCH(D295,Sum_BaseTiers,0))</f>
        <v>40</v>
      </c>
      <c r="G295" s="2" t="str">
        <f aca="false">IF(ISNUMBER(MATCH(A295&amp;"|"&amp;D295,LR_Key,0)),A295&amp;"|"&amp;D295,A295&amp;"|All")</f>
        <v>FIXX-APL-001|All</v>
      </c>
      <c r="H295" s="3" t="n">
        <f aca="false">IFERROR(INDEX(LR_TypLabor,MATCH(G295,LR_Key,0)),"")</f>
        <v>994</v>
      </c>
      <c r="I295" s="12" t="n">
        <f aca="false">INDEX(Urg_Mult,MATCH(E295,Urg_Levels,0))</f>
        <v>1.15</v>
      </c>
      <c r="J295" s="3" t="n">
        <f aca="false">IF(ISNUMBER(H295),MAX(H295,IFERROR(INDEX(MW_Floor,MATCH(G295,MW_Key,0)),0))*I295,"")</f>
        <v>1143.1</v>
      </c>
      <c r="K295" s="3" t="n">
        <f aca="false">IF(ISNUMBER(J295),F295+J295,"")</f>
        <v>1183.1</v>
      </c>
      <c r="L295" s="3" t="n">
        <f aca="false">IF(ISNUMBER(H295),MAX(H295,IFERROR(INDEX(MW_Floor,MATCH(G295,MW_Key,0)),0))*I295,"")</f>
        <v>1143.1</v>
      </c>
      <c r="M295" s="2" t="str">
        <f aca="false">IFERROR(INDEX(LR_Flag,MATCH(G295,LR_Key,0)),"")</f>
        <v>none</v>
      </c>
      <c r="N295" s="2" t="str">
        <f aca="false">IFERROR(INDEX(MW_Check,MATCH(G295,MW_Key,0)),"")</f>
        <v>OK</v>
      </c>
      <c r="O295" s="0" t="str">
        <f aca="false">IF(NOT(ISNUMBER(H295)),"LABOR QUOTE NEEDED – total incomplete",IF(N295="BELOW FLOOR","CHECK: typical labor below wage floor – payout and customer labor raised to floor",IF(M295&lt;&gt;"none","Labor rate flagged: "&amp;M295,"OK")))</f>
        <v>OK</v>
      </c>
      <c r="P295" s="0" t="s">
        <v>1390</v>
      </c>
      <c r="Q295" s="8" t="s">
        <v>1391</v>
      </c>
      <c r="R295" s="2" t="str">
        <f aca="false">IF(OR(M295="regulated",COUNTIFS(Tasks_TaskID,A295,Tasks_Tier,D295,Tasks_Review,"base")&gt;0),"PENDING REVIEW – priced, not bookable until human approval",IF(COUNTIFS(Tasks_TaskID,A295,Tasks_Tier,D295,Tasks_Review,"as-needed")&gt;0,"Bookable (re-evaluate if regulated as-needed line selected)","Bookable"))</f>
        <v>Bookable</v>
      </c>
    </row>
    <row r="296" customFormat="false" ht="17.15" hidden="false" customHeight="false" outlineLevel="0" collapsed="false">
      <c r="A296" s="2" t="s">
        <v>1386</v>
      </c>
      <c r="B296" s="2" t="s">
        <v>618</v>
      </c>
      <c r="C296" s="2" t="s">
        <v>1387</v>
      </c>
      <c r="D296" s="2" t="s">
        <v>1049</v>
      </c>
      <c r="E296" s="2" t="s">
        <v>1897</v>
      </c>
      <c r="F296" s="3" t="n">
        <f aca="false">INDEX(Sum_Base,MATCH(A296,Sum_BaseTasks,0),MATCH(D296,Sum_BaseTiers,0))</f>
        <v>40</v>
      </c>
      <c r="G296" s="2" t="str">
        <f aca="false">IF(ISNUMBER(MATCH(A296&amp;"|"&amp;D296,LR_Key,0)),A296&amp;"|"&amp;D296,A296&amp;"|All")</f>
        <v>FIXX-APL-001|All</v>
      </c>
      <c r="H296" s="3" t="n">
        <f aca="false">IFERROR(INDEX(LR_TypLabor,MATCH(G296,LR_Key,0)),"")</f>
        <v>994</v>
      </c>
      <c r="I296" s="12" t="n">
        <f aca="false">INDEX(Urg_Mult,MATCH(E296,Urg_Levels,0))</f>
        <v>1.3</v>
      </c>
      <c r="J296" s="3" t="n">
        <f aca="false">IF(ISNUMBER(H296),MAX(H296,IFERROR(INDEX(MW_Floor,MATCH(G296,MW_Key,0)),0))*I296,"")</f>
        <v>1292.2</v>
      </c>
      <c r="K296" s="3" t="n">
        <f aca="false">IF(ISNUMBER(J296),F296+J296,"")</f>
        <v>1332.2</v>
      </c>
      <c r="L296" s="3" t="n">
        <f aca="false">IF(ISNUMBER(H296),MAX(H296,IFERROR(INDEX(MW_Floor,MATCH(G296,MW_Key,0)),0))*I296,"")</f>
        <v>1292.2</v>
      </c>
      <c r="M296" s="2" t="str">
        <f aca="false">IFERROR(INDEX(LR_Flag,MATCH(G296,LR_Key,0)),"")</f>
        <v>none</v>
      </c>
      <c r="N296" s="2" t="str">
        <f aca="false">IFERROR(INDEX(MW_Check,MATCH(G296,MW_Key,0)),"")</f>
        <v>OK</v>
      </c>
      <c r="O296" s="0" t="str">
        <f aca="false">IF(NOT(ISNUMBER(H296)),"LABOR QUOTE NEEDED – total incomplete",IF(N296="BELOW FLOOR","CHECK: typical labor below wage floor – payout and customer labor raised to floor",IF(M296&lt;&gt;"none","Labor rate flagged: "&amp;M296,"OK")))</f>
        <v>OK</v>
      </c>
      <c r="P296" s="0" t="s">
        <v>1390</v>
      </c>
      <c r="Q296" s="8" t="s">
        <v>1391</v>
      </c>
      <c r="R296" s="2" t="str">
        <f aca="false">IF(OR(M296="regulated",COUNTIFS(Tasks_TaskID,A296,Tasks_Tier,D296,Tasks_Review,"base")&gt;0),"PENDING REVIEW – priced, not bookable until human approval",IF(COUNTIFS(Tasks_TaskID,A296,Tasks_Tier,D296,Tasks_Review,"as-needed")&gt;0,"Bookable (re-evaluate if regulated as-needed line selected)","Bookable"))</f>
        <v>Bookable</v>
      </c>
    </row>
    <row r="297" customFormat="false" ht="17.15" hidden="false" customHeight="false" outlineLevel="0" collapsed="false">
      <c r="A297" s="2" t="s">
        <v>1386</v>
      </c>
      <c r="B297" s="2" t="s">
        <v>618</v>
      </c>
      <c r="C297" s="2" t="s">
        <v>1387</v>
      </c>
      <c r="D297" s="2" t="s">
        <v>1049</v>
      </c>
      <c r="E297" s="2" t="s">
        <v>1898</v>
      </c>
      <c r="F297" s="3" t="n">
        <f aca="false">INDEX(Sum_Base,MATCH(A297,Sum_BaseTasks,0),MATCH(D297,Sum_BaseTiers,0))</f>
        <v>40</v>
      </c>
      <c r="G297" s="2" t="str">
        <f aca="false">IF(ISNUMBER(MATCH(A297&amp;"|"&amp;D297,LR_Key,0)),A297&amp;"|"&amp;D297,A297&amp;"|All")</f>
        <v>FIXX-APL-001|All</v>
      </c>
      <c r="H297" s="3" t="n">
        <f aca="false">IFERROR(INDEX(LR_TypLabor,MATCH(G297,LR_Key,0)),"")</f>
        <v>994</v>
      </c>
      <c r="I297" s="12" t="n">
        <f aca="false">INDEX(Urg_Mult,MATCH(E297,Urg_Levels,0))</f>
        <v>1.5</v>
      </c>
      <c r="J297" s="3" t="n">
        <f aca="false">IF(ISNUMBER(H297),MAX(H297,IFERROR(INDEX(MW_Floor,MATCH(G297,MW_Key,0)),0))*I297,"")</f>
        <v>1491</v>
      </c>
      <c r="K297" s="3" t="n">
        <f aca="false">IF(ISNUMBER(J297),F297+J297,"")</f>
        <v>1531</v>
      </c>
      <c r="L297" s="3" t="n">
        <f aca="false">IF(ISNUMBER(H297),MAX(H297,IFERROR(INDEX(MW_Floor,MATCH(G297,MW_Key,0)),0))*I297,"")</f>
        <v>1491</v>
      </c>
      <c r="M297" s="2" t="str">
        <f aca="false">IFERROR(INDEX(LR_Flag,MATCH(G297,LR_Key,0)),"")</f>
        <v>none</v>
      </c>
      <c r="N297" s="2" t="str">
        <f aca="false">IFERROR(INDEX(MW_Check,MATCH(G297,MW_Key,0)),"")</f>
        <v>OK</v>
      </c>
      <c r="O297" s="0" t="str">
        <f aca="false">IF(NOT(ISNUMBER(H297)),"LABOR QUOTE NEEDED – total incomplete",IF(N297="BELOW FLOOR","CHECK: typical labor below wage floor – payout and customer labor raised to floor",IF(M297&lt;&gt;"none","Labor rate flagged: "&amp;M297,"OK")))</f>
        <v>OK</v>
      </c>
      <c r="P297" s="0" t="s">
        <v>1390</v>
      </c>
      <c r="Q297" s="8" t="s">
        <v>1391</v>
      </c>
      <c r="R297" s="2" t="str">
        <f aca="false">IF(OR(M297="regulated",COUNTIFS(Tasks_TaskID,A297,Tasks_Tier,D297,Tasks_Review,"base")&gt;0),"PENDING REVIEW – priced, not bookable until human approval",IF(COUNTIFS(Tasks_TaskID,A297,Tasks_Tier,D297,Tasks_Review,"as-needed")&gt;0,"Bookable (re-evaluate if regulated as-needed line selected)","Bookable"))</f>
        <v>Bookable</v>
      </c>
    </row>
    <row r="298" customFormat="false" ht="17.15" hidden="false" customHeight="false" outlineLevel="0" collapsed="false">
      <c r="A298" s="2" t="s">
        <v>1386</v>
      </c>
      <c r="B298" s="2" t="s">
        <v>618</v>
      </c>
      <c r="C298" s="2" t="s">
        <v>1387</v>
      </c>
      <c r="D298" s="2" t="s">
        <v>1051</v>
      </c>
      <c r="E298" s="2" t="s">
        <v>1895</v>
      </c>
      <c r="F298" s="3" t="n">
        <f aca="false">INDEX(Sum_Base,MATCH(A298,Sum_BaseTasks,0),MATCH(D298,Sum_BaseTiers,0))</f>
        <v>56.3175</v>
      </c>
      <c r="G298" s="2" t="str">
        <f aca="false">IF(ISNUMBER(MATCH(A298&amp;"|"&amp;D298,LR_Key,0)),A298&amp;"|"&amp;D298,A298&amp;"|All")</f>
        <v>FIXX-APL-001|All</v>
      </c>
      <c r="H298" s="3" t="n">
        <f aca="false">IFERROR(INDEX(LR_TypLabor,MATCH(G298,LR_Key,0)),"")</f>
        <v>994</v>
      </c>
      <c r="I298" s="12" t="n">
        <f aca="false">INDEX(Urg_Mult,MATCH(E298,Urg_Levels,0))</f>
        <v>1</v>
      </c>
      <c r="J298" s="3" t="n">
        <f aca="false">IF(ISNUMBER(H298),MAX(H298,IFERROR(INDEX(MW_Floor,MATCH(G298,MW_Key,0)),0))*I298,"")</f>
        <v>994</v>
      </c>
      <c r="K298" s="3" t="n">
        <f aca="false">IF(ISNUMBER(J298),F298+J298,"")</f>
        <v>1050.3175</v>
      </c>
      <c r="L298" s="3" t="n">
        <f aca="false">IF(ISNUMBER(H298),MAX(H298,IFERROR(INDEX(MW_Floor,MATCH(G298,MW_Key,0)),0))*I298,"")</f>
        <v>994</v>
      </c>
      <c r="M298" s="2" t="str">
        <f aca="false">IFERROR(INDEX(LR_Flag,MATCH(G298,LR_Key,0)),"")</f>
        <v>none</v>
      </c>
      <c r="N298" s="2" t="str">
        <f aca="false">IFERROR(INDEX(MW_Check,MATCH(G298,MW_Key,0)),"")</f>
        <v>OK</v>
      </c>
      <c r="O298" s="0" t="str">
        <f aca="false">IF(NOT(ISNUMBER(H298)),"LABOR QUOTE NEEDED – total incomplete",IF(N298="BELOW FLOOR","CHECK: typical labor below wage floor – payout and customer labor raised to floor",IF(M298&lt;&gt;"none","Labor rate flagged: "&amp;M298,"OK")))</f>
        <v>OK</v>
      </c>
      <c r="P298" s="0" t="s">
        <v>1390</v>
      </c>
      <c r="Q298" s="8" t="s">
        <v>1391</v>
      </c>
      <c r="R298" s="2" t="str">
        <f aca="false">IF(OR(M298="regulated",COUNTIFS(Tasks_TaskID,A298,Tasks_Tier,D298,Tasks_Review,"base")&gt;0),"PENDING REVIEW – priced, not bookable until human approval",IF(COUNTIFS(Tasks_TaskID,A298,Tasks_Tier,D298,Tasks_Review,"as-needed")&gt;0,"Bookable (re-evaluate if regulated as-needed line selected)","Bookable"))</f>
        <v>Bookable</v>
      </c>
    </row>
    <row r="299" customFormat="false" ht="17.15" hidden="false" customHeight="false" outlineLevel="0" collapsed="false">
      <c r="A299" s="2" t="s">
        <v>1386</v>
      </c>
      <c r="B299" s="2" t="s">
        <v>618</v>
      </c>
      <c r="C299" s="2" t="s">
        <v>1387</v>
      </c>
      <c r="D299" s="2" t="s">
        <v>1051</v>
      </c>
      <c r="E299" s="2" t="s">
        <v>1896</v>
      </c>
      <c r="F299" s="3" t="n">
        <f aca="false">INDEX(Sum_Base,MATCH(A299,Sum_BaseTasks,0),MATCH(D299,Sum_BaseTiers,0))</f>
        <v>56.3175</v>
      </c>
      <c r="G299" s="2" t="str">
        <f aca="false">IF(ISNUMBER(MATCH(A299&amp;"|"&amp;D299,LR_Key,0)),A299&amp;"|"&amp;D299,A299&amp;"|All")</f>
        <v>FIXX-APL-001|All</v>
      </c>
      <c r="H299" s="3" t="n">
        <f aca="false">IFERROR(INDEX(LR_TypLabor,MATCH(G299,LR_Key,0)),"")</f>
        <v>994</v>
      </c>
      <c r="I299" s="12" t="n">
        <f aca="false">INDEX(Urg_Mult,MATCH(E299,Urg_Levels,0))</f>
        <v>1.15</v>
      </c>
      <c r="J299" s="3" t="n">
        <f aca="false">IF(ISNUMBER(H299),MAX(H299,IFERROR(INDEX(MW_Floor,MATCH(G299,MW_Key,0)),0))*I299,"")</f>
        <v>1143.1</v>
      </c>
      <c r="K299" s="3" t="n">
        <f aca="false">IF(ISNUMBER(J299),F299+J299,"")</f>
        <v>1199.4175</v>
      </c>
      <c r="L299" s="3" t="n">
        <f aca="false">IF(ISNUMBER(H299),MAX(H299,IFERROR(INDEX(MW_Floor,MATCH(G299,MW_Key,0)),0))*I299,"")</f>
        <v>1143.1</v>
      </c>
      <c r="M299" s="2" t="str">
        <f aca="false">IFERROR(INDEX(LR_Flag,MATCH(G299,LR_Key,0)),"")</f>
        <v>none</v>
      </c>
      <c r="N299" s="2" t="str">
        <f aca="false">IFERROR(INDEX(MW_Check,MATCH(G299,MW_Key,0)),"")</f>
        <v>OK</v>
      </c>
      <c r="O299" s="0" t="str">
        <f aca="false">IF(NOT(ISNUMBER(H299)),"LABOR QUOTE NEEDED – total incomplete",IF(N299="BELOW FLOOR","CHECK: typical labor below wage floor – payout and customer labor raised to floor",IF(M299&lt;&gt;"none","Labor rate flagged: "&amp;M299,"OK")))</f>
        <v>OK</v>
      </c>
      <c r="P299" s="0" t="s">
        <v>1390</v>
      </c>
      <c r="Q299" s="8" t="s">
        <v>1391</v>
      </c>
      <c r="R299" s="2" t="str">
        <f aca="false">IF(OR(M299="regulated",COUNTIFS(Tasks_TaskID,A299,Tasks_Tier,D299,Tasks_Review,"base")&gt;0),"PENDING REVIEW – priced, not bookable until human approval",IF(COUNTIFS(Tasks_TaskID,A299,Tasks_Tier,D299,Tasks_Review,"as-needed")&gt;0,"Bookable (re-evaluate if regulated as-needed line selected)","Bookable"))</f>
        <v>Bookable</v>
      </c>
    </row>
    <row r="300" customFormat="false" ht="17.15" hidden="false" customHeight="false" outlineLevel="0" collapsed="false">
      <c r="A300" s="2" t="s">
        <v>1386</v>
      </c>
      <c r="B300" s="2" t="s">
        <v>618</v>
      </c>
      <c r="C300" s="2" t="s">
        <v>1387</v>
      </c>
      <c r="D300" s="2" t="s">
        <v>1051</v>
      </c>
      <c r="E300" s="2" t="s">
        <v>1897</v>
      </c>
      <c r="F300" s="3" t="n">
        <f aca="false">INDEX(Sum_Base,MATCH(A300,Sum_BaseTasks,0),MATCH(D300,Sum_BaseTiers,0))</f>
        <v>56.3175</v>
      </c>
      <c r="G300" s="2" t="str">
        <f aca="false">IF(ISNUMBER(MATCH(A300&amp;"|"&amp;D300,LR_Key,0)),A300&amp;"|"&amp;D300,A300&amp;"|All")</f>
        <v>FIXX-APL-001|All</v>
      </c>
      <c r="H300" s="3" t="n">
        <f aca="false">IFERROR(INDEX(LR_TypLabor,MATCH(G300,LR_Key,0)),"")</f>
        <v>994</v>
      </c>
      <c r="I300" s="12" t="n">
        <f aca="false">INDEX(Urg_Mult,MATCH(E300,Urg_Levels,0))</f>
        <v>1.3</v>
      </c>
      <c r="J300" s="3" t="n">
        <f aca="false">IF(ISNUMBER(H300),MAX(H300,IFERROR(INDEX(MW_Floor,MATCH(G300,MW_Key,0)),0))*I300,"")</f>
        <v>1292.2</v>
      </c>
      <c r="K300" s="3" t="n">
        <f aca="false">IF(ISNUMBER(J300),F300+J300,"")</f>
        <v>1348.5175</v>
      </c>
      <c r="L300" s="3" t="n">
        <f aca="false">IF(ISNUMBER(H300),MAX(H300,IFERROR(INDEX(MW_Floor,MATCH(G300,MW_Key,0)),0))*I300,"")</f>
        <v>1292.2</v>
      </c>
      <c r="M300" s="2" t="str">
        <f aca="false">IFERROR(INDEX(LR_Flag,MATCH(G300,LR_Key,0)),"")</f>
        <v>none</v>
      </c>
      <c r="N300" s="2" t="str">
        <f aca="false">IFERROR(INDEX(MW_Check,MATCH(G300,MW_Key,0)),"")</f>
        <v>OK</v>
      </c>
      <c r="O300" s="0" t="str">
        <f aca="false">IF(NOT(ISNUMBER(H300)),"LABOR QUOTE NEEDED – total incomplete",IF(N300="BELOW FLOOR","CHECK: typical labor below wage floor – payout and customer labor raised to floor",IF(M300&lt;&gt;"none","Labor rate flagged: "&amp;M300,"OK")))</f>
        <v>OK</v>
      </c>
      <c r="P300" s="0" t="s">
        <v>1390</v>
      </c>
      <c r="Q300" s="8" t="s">
        <v>1391</v>
      </c>
      <c r="R300" s="2" t="str">
        <f aca="false">IF(OR(M300="regulated",COUNTIFS(Tasks_TaskID,A300,Tasks_Tier,D300,Tasks_Review,"base")&gt;0),"PENDING REVIEW – priced, not bookable until human approval",IF(COUNTIFS(Tasks_TaskID,A300,Tasks_Tier,D300,Tasks_Review,"as-needed")&gt;0,"Bookable (re-evaluate if regulated as-needed line selected)","Bookable"))</f>
        <v>Bookable</v>
      </c>
    </row>
    <row r="301" customFormat="false" ht="17.15" hidden="false" customHeight="false" outlineLevel="0" collapsed="false">
      <c r="A301" s="2" t="s">
        <v>1386</v>
      </c>
      <c r="B301" s="2" t="s">
        <v>618</v>
      </c>
      <c r="C301" s="2" t="s">
        <v>1387</v>
      </c>
      <c r="D301" s="2" t="s">
        <v>1051</v>
      </c>
      <c r="E301" s="2" t="s">
        <v>1898</v>
      </c>
      <c r="F301" s="3" t="n">
        <f aca="false">INDEX(Sum_Base,MATCH(A301,Sum_BaseTasks,0),MATCH(D301,Sum_BaseTiers,0))</f>
        <v>56.3175</v>
      </c>
      <c r="G301" s="2" t="str">
        <f aca="false">IF(ISNUMBER(MATCH(A301&amp;"|"&amp;D301,LR_Key,0)),A301&amp;"|"&amp;D301,A301&amp;"|All")</f>
        <v>FIXX-APL-001|All</v>
      </c>
      <c r="H301" s="3" t="n">
        <f aca="false">IFERROR(INDEX(LR_TypLabor,MATCH(G301,LR_Key,0)),"")</f>
        <v>994</v>
      </c>
      <c r="I301" s="12" t="n">
        <f aca="false">INDEX(Urg_Mult,MATCH(E301,Urg_Levels,0))</f>
        <v>1.5</v>
      </c>
      <c r="J301" s="3" t="n">
        <f aca="false">IF(ISNUMBER(H301),MAX(H301,IFERROR(INDEX(MW_Floor,MATCH(G301,MW_Key,0)),0))*I301,"")</f>
        <v>1491</v>
      </c>
      <c r="K301" s="3" t="n">
        <f aca="false">IF(ISNUMBER(J301),F301+J301,"")</f>
        <v>1547.3175</v>
      </c>
      <c r="L301" s="3" t="n">
        <f aca="false">IF(ISNUMBER(H301),MAX(H301,IFERROR(INDEX(MW_Floor,MATCH(G301,MW_Key,0)),0))*I301,"")</f>
        <v>1491</v>
      </c>
      <c r="M301" s="2" t="str">
        <f aca="false">IFERROR(INDEX(LR_Flag,MATCH(G301,LR_Key,0)),"")</f>
        <v>none</v>
      </c>
      <c r="N301" s="2" t="str">
        <f aca="false">IFERROR(INDEX(MW_Check,MATCH(G301,MW_Key,0)),"")</f>
        <v>OK</v>
      </c>
      <c r="O301" s="0" t="str">
        <f aca="false">IF(NOT(ISNUMBER(H301)),"LABOR QUOTE NEEDED – total incomplete",IF(N301="BELOW FLOOR","CHECK: typical labor below wage floor – payout and customer labor raised to floor",IF(M301&lt;&gt;"none","Labor rate flagged: "&amp;M301,"OK")))</f>
        <v>OK</v>
      </c>
      <c r="P301" s="0" t="s">
        <v>1390</v>
      </c>
      <c r="Q301" s="8" t="s">
        <v>1391</v>
      </c>
      <c r="R301" s="2" t="str">
        <f aca="false">IF(OR(M301="regulated",COUNTIFS(Tasks_TaskID,A301,Tasks_Tier,D301,Tasks_Review,"base")&gt;0),"PENDING REVIEW – priced, not bookable until human approval",IF(COUNTIFS(Tasks_TaskID,A301,Tasks_Tier,D301,Tasks_Review,"as-needed")&gt;0,"Bookable (re-evaluate if regulated as-needed line selected)","Bookable"))</f>
        <v>Bookable</v>
      </c>
    </row>
    <row r="302" customFormat="false" ht="17.15" hidden="false" customHeight="false" outlineLevel="0" collapsed="false">
      <c r="A302" s="2" t="s">
        <v>1396</v>
      </c>
      <c r="B302" s="2" t="s">
        <v>618</v>
      </c>
      <c r="C302" s="2" t="s">
        <v>1397</v>
      </c>
      <c r="D302" s="2" t="s">
        <v>1042</v>
      </c>
      <c r="E302" s="2" t="s">
        <v>1895</v>
      </c>
      <c r="F302" s="3" t="n">
        <f aca="false">INDEX(Sum_Base,MATCH(A302,Sum_BaseTasks,0),MATCH(D302,Sum_BaseTiers,0))</f>
        <v>34.25</v>
      </c>
      <c r="G302" s="2" t="str">
        <f aca="false">IF(ISNUMBER(MATCH(A302&amp;"|"&amp;D302,LR_Key,0)),A302&amp;"|"&amp;D302,A302&amp;"|All")</f>
        <v>FIXX-APL-002|All</v>
      </c>
      <c r="H302" s="3" t="n">
        <f aca="false">IFERROR(INDEX(LR_TypLabor,MATCH(G302,LR_Key,0)),"")</f>
        <v>1850</v>
      </c>
      <c r="I302" s="12" t="n">
        <f aca="false">INDEX(Urg_Mult,MATCH(E302,Urg_Levels,0))</f>
        <v>1</v>
      </c>
      <c r="J302" s="3" t="n">
        <f aca="false">IF(ISNUMBER(H302),MAX(H302,IFERROR(INDEX(MW_Floor,MATCH(G302,MW_Key,0)),0))*I302,"")</f>
        <v>1850</v>
      </c>
      <c r="K302" s="3" t="n">
        <f aca="false">IF(ISNUMBER(J302),F302+J302,"")</f>
        <v>1884.25</v>
      </c>
      <c r="L302" s="3" t="n">
        <f aca="false">IF(ISNUMBER(H302),MAX(H302,IFERROR(INDEX(MW_Floor,MATCH(G302,MW_Key,0)),0))*I302,"")</f>
        <v>1850</v>
      </c>
      <c r="M302" s="2" t="str">
        <f aca="false">IFERROR(INDEX(LR_Flag,MATCH(G302,LR_Key,0)),"")</f>
        <v>regulated</v>
      </c>
      <c r="N302" s="2" t="str">
        <f aca="false">IFERROR(INDEX(MW_Check,MATCH(G302,MW_Key,0)),"")</f>
        <v>OK</v>
      </c>
      <c r="O302" s="0" t="str">
        <f aca="false">IF(NOT(ISNUMBER(H302)),"LABOR QUOTE NEEDED – total incomplete",IF(N302="BELOW FLOOR","CHECK: typical labor below wage floor – payout and customer labor raised to floor",IF(M302&lt;&gt;"none","Labor rate flagged: "&amp;M302,"OK")))</f>
        <v>Labor rate flagged: regulated</v>
      </c>
      <c r="P302" s="0" t="s">
        <v>1398</v>
      </c>
      <c r="Q302" s="8" t="s">
        <v>1399</v>
      </c>
      <c r="R302" s="2" t="str">
        <f aca="false">IF(OR(M302="regulated",COUNTIFS(Tasks_TaskID,A302,Tasks_Tier,D302,Tasks_Review,"base")&gt;0),"PENDING REVIEW – priced, not bookable until human approval",IF(COUNTIFS(Tasks_TaskID,A302,Tasks_Tier,D302,Tasks_Review,"as-needed")&gt;0,"Bookable (re-evaluate if regulated as-needed line selected)","Bookable"))</f>
        <v>PENDING REVIEW – priced, not bookable until human approval</v>
      </c>
    </row>
    <row r="303" customFormat="false" ht="17.15" hidden="false" customHeight="false" outlineLevel="0" collapsed="false">
      <c r="A303" s="2" t="s">
        <v>1396</v>
      </c>
      <c r="B303" s="2" t="s">
        <v>618</v>
      </c>
      <c r="C303" s="2" t="s">
        <v>1397</v>
      </c>
      <c r="D303" s="2" t="s">
        <v>1042</v>
      </c>
      <c r="E303" s="2" t="s">
        <v>1896</v>
      </c>
      <c r="F303" s="3" t="n">
        <f aca="false">INDEX(Sum_Base,MATCH(A303,Sum_BaseTasks,0),MATCH(D303,Sum_BaseTiers,0))</f>
        <v>34.25</v>
      </c>
      <c r="G303" s="2" t="str">
        <f aca="false">IF(ISNUMBER(MATCH(A303&amp;"|"&amp;D303,LR_Key,0)),A303&amp;"|"&amp;D303,A303&amp;"|All")</f>
        <v>FIXX-APL-002|All</v>
      </c>
      <c r="H303" s="3" t="n">
        <f aca="false">IFERROR(INDEX(LR_TypLabor,MATCH(G303,LR_Key,0)),"")</f>
        <v>1850</v>
      </c>
      <c r="I303" s="12" t="n">
        <f aca="false">INDEX(Urg_Mult,MATCH(E303,Urg_Levels,0))</f>
        <v>1.15</v>
      </c>
      <c r="J303" s="3" t="n">
        <f aca="false">IF(ISNUMBER(H303),MAX(H303,IFERROR(INDEX(MW_Floor,MATCH(G303,MW_Key,0)),0))*I303,"")</f>
        <v>2127.5</v>
      </c>
      <c r="K303" s="3" t="n">
        <f aca="false">IF(ISNUMBER(J303),F303+J303,"")</f>
        <v>2161.75</v>
      </c>
      <c r="L303" s="3" t="n">
        <f aca="false">IF(ISNUMBER(H303),MAX(H303,IFERROR(INDEX(MW_Floor,MATCH(G303,MW_Key,0)),0))*I303,"")</f>
        <v>2127.5</v>
      </c>
      <c r="M303" s="2" t="str">
        <f aca="false">IFERROR(INDEX(LR_Flag,MATCH(G303,LR_Key,0)),"")</f>
        <v>regulated</v>
      </c>
      <c r="N303" s="2" t="str">
        <f aca="false">IFERROR(INDEX(MW_Check,MATCH(G303,MW_Key,0)),"")</f>
        <v>OK</v>
      </c>
      <c r="O303" s="0" t="str">
        <f aca="false">IF(NOT(ISNUMBER(H303)),"LABOR QUOTE NEEDED – total incomplete",IF(N303="BELOW FLOOR","CHECK: typical labor below wage floor – payout and customer labor raised to floor",IF(M303&lt;&gt;"none","Labor rate flagged: "&amp;M303,"OK")))</f>
        <v>Labor rate flagged: regulated</v>
      </c>
      <c r="P303" s="0" t="s">
        <v>1398</v>
      </c>
      <c r="Q303" s="8" t="s">
        <v>1399</v>
      </c>
      <c r="R303" s="2" t="str">
        <f aca="false">IF(OR(M303="regulated",COUNTIFS(Tasks_TaskID,A303,Tasks_Tier,D303,Tasks_Review,"base")&gt;0),"PENDING REVIEW – priced, not bookable until human approval",IF(COUNTIFS(Tasks_TaskID,A303,Tasks_Tier,D303,Tasks_Review,"as-needed")&gt;0,"Bookable (re-evaluate if regulated as-needed line selected)","Bookable"))</f>
        <v>PENDING REVIEW – priced, not bookable until human approval</v>
      </c>
    </row>
    <row r="304" customFormat="false" ht="17.15" hidden="false" customHeight="false" outlineLevel="0" collapsed="false">
      <c r="A304" s="2" t="s">
        <v>1396</v>
      </c>
      <c r="B304" s="2" t="s">
        <v>618</v>
      </c>
      <c r="C304" s="2" t="s">
        <v>1397</v>
      </c>
      <c r="D304" s="2" t="s">
        <v>1042</v>
      </c>
      <c r="E304" s="2" t="s">
        <v>1897</v>
      </c>
      <c r="F304" s="3" t="n">
        <f aca="false">INDEX(Sum_Base,MATCH(A304,Sum_BaseTasks,0),MATCH(D304,Sum_BaseTiers,0))</f>
        <v>34.25</v>
      </c>
      <c r="G304" s="2" t="str">
        <f aca="false">IF(ISNUMBER(MATCH(A304&amp;"|"&amp;D304,LR_Key,0)),A304&amp;"|"&amp;D304,A304&amp;"|All")</f>
        <v>FIXX-APL-002|All</v>
      </c>
      <c r="H304" s="3" t="n">
        <f aca="false">IFERROR(INDEX(LR_TypLabor,MATCH(G304,LR_Key,0)),"")</f>
        <v>1850</v>
      </c>
      <c r="I304" s="12" t="n">
        <f aca="false">INDEX(Urg_Mult,MATCH(E304,Urg_Levels,0))</f>
        <v>1.3</v>
      </c>
      <c r="J304" s="3" t="n">
        <f aca="false">IF(ISNUMBER(H304),MAX(H304,IFERROR(INDEX(MW_Floor,MATCH(G304,MW_Key,0)),0))*I304,"")</f>
        <v>2405</v>
      </c>
      <c r="K304" s="3" t="n">
        <f aca="false">IF(ISNUMBER(J304),F304+J304,"")</f>
        <v>2439.25</v>
      </c>
      <c r="L304" s="3" t="n">
        <f aca="false">IF(ISNUMBER(H304),MAX(H304,IFERROR(INDEX(MW_Floor,MATCH(G304,MW_Key,0)),0))*I304,"")</f>
        <v>2405</v>
      </c>
      <c r="M304" s="2" t="str">
        <f aca="false">IFERROR(INDEX(LR_Flag,MATCH(G304,LR_Key,0)),"")</f>
        <v>regulated</v>
      </c>
      <c r="N304" s="2" t="str">
        <f aca="false">IFERROR(INDEX(MW_Check,MATCH(G304,MW_Key,0)),"")</f>
        <v>OK</v>
      </c>
      <c r="O304" s="0" t="str">
        <f aca="false">IF(NOT(ISNUMBER(H304)),"LABOR QUOTE NEEDED – total incomplete",IF(N304="BELOW FLOOR","CHECK: typical labor below wage floor – payout and customer labor raised to floor",IF(M304&lt;&gt;"none","Labor rate flagged: "&amp;M304,"OK")))</f>
        <v>Labor rate flagged: regulated</v>
      </c>
      <c r="P304" s="0" t="s">
        <v>1398</v>
      </c>
      <c r="Q304" s="8" t="s">
        <v>1399</v>
      </c>
      <c r="R304" s="2" t="str">
        <f aca="false">IF(OR(M304="regulated",COUNTIFS(Tasks_TaskID,A304,Tasks_Tier,D304,Tasks_Review,"base")&gt;0),"PENDING REVIEW – priced, not bookable until human approval",IF(COUNTIFS(Tasks_TaskID,A304,Tasks_Tier,D304,Tasks_Review,"as-needed")&gt;0,"Bookable (re-evaluate if regulated as-needed line selected)","Bookable"))</f>
        <v>PENDING REVIEW – priced, not bookable until human approval</v>
      </c>
    </row>
    <row r="305" customFormat="false" ht="17.15" hidden="false" customHeight="false" outlineLevel="0" collapsed="false">
      <c r="A305" s="2" t="s">
        <v>1396</v>
      </c>
      <c r="B305" s="2" t="s">
        <v>618</v>
      </c>
      <c r="C305" s="2" t="s">
        <v>1397</v>
      </c>
      <c r="D305" s="2" t="s">
        <v>1042</v>
      </c>
      <c r="E305" s="2" t="s">
        <v>1898</v>
      </c>
      <c r="F305" s="3" t="n">
        <f aca="false">INDEX(Sum_Base,MATCH(A305,Sum_BaseTasks,0),MATCH(D305,Sum_BaseTiers,0))</f>
        <v>34.25</v>
      </c>
      <c r="G305" s="2" t="str">
        <f aca="false">IF(ISNUMBER(MATCH(A305&amp;"|"&amp;D305,LR_Key,0)),A305&amp;"|"&amp;D305,A305&amp;"|All")</f>
        <v>FIXX-APL-002|All</v>
      </c>
      <c r="H305" s="3" t="n">
        <f aca="false">IFERROR(INDEX(LR_TypLabor,MATCH(G305,LR_Key,0)),"")</f>
        <v>1850</v>
      </c>
      <c r="I305" s="12" t="n">
        <f aca="false">INDEX(Urg_Mult,MATCH(E305,Urg_Levels,0))</f>
        <v>1.5</v>
      </c>
      <c r="J305" s="3" t="n">
        <f aca="false">IF(ISNUMBER(H305),MAX(H305,IFERROR(INDEX(MW_Floor,MATCH(G305,MW_Key,0)),0))*I305,"")</f>
        <v>2775</v>
      </c>
      <c r="K305" s="3" t="n">
        <f aca="false">IF(ISNUMBER(J305),F305+J305,"")</f>
        <v>2809.25</v>
      </c>
      <c r="L305" s="3" t="n">
        <f aca="false">IF(ISNUMBER(H305),MAX(H305,IFERROR(INDEX(MW_Floor,MATCH(G305,MW_Key,0)),0))*I305,"")</f>
        <v>2775</v>
      </c>
      <c r="M305" s="2" t="str">
        <f aca="false">IFERROR(INDEX(LR_Flag,MATCH(G305,LR_Key,0)),"")</f>
        <v>regulated</v>
      </c>
      <c r="N305" s="2" t="str">
        <f aca="false">IFERROR(INDEX(MW_Check,MATCH(G305,MW_Key,0)),"")</f>
        <v>OK</v>
      </c>
      <c r="O305" s="0" t="str">
        <f aca="false">IF(NOT(ISNUMBER(H305)),"LABOR QUOTE NEEDED – total incomplete",IF(N305="BELOW FLOOR","CHECK: typical labor below wage floor – payout and customer labor raised to floor",IF(M305&lt;&gt;"none","Labor rate flagged: "&amp;M305,"OK")))</f>
        <v>Labor rate flagged: regulated</v>
      </c>
      <c r="P305" s="0" t="s">
        <v>1398</v>
      </c>
      <c r="Q305" s="8" t="s">
        <v>1399</v>
      </c>
      <c r="R305" s="2" t="str">
        <f aca="false">IF(OR(M305="regulated",COUNTIFS(Tasks_TaskID,A305,Tasks_Tier,D305,Tasks_Review,"base")&gt;0),"PENDING REVIEW – priced, not bookable until human approval",IF(COUNTIFS(Tasks_TaskID,A305,Tasks_Tier,D305,Tasks_Review,"as-needed")&gt;0,"Bookable (re-evaluate if regulated as-needed line selected)","Bookable"))</f>
        <v>PENDING REVIEW – priced, not bookable until human approval</v>
      </c>
    </row>
    <row r="306" customFormat="false" ht="17.15" hidden="false" customHeight="false" outlineLevel="0" collapsed="false">
      <c r="A306" s="2" t="s">
        <v>1396</v>
      </c>
      <c r="B306" s="2" t="s">
        <v>618</v>
      </c>
      <c r="C306" s="2" t="s">
        <v>1397</v>
      </c>
      <c r="D306" s="2" t="s">
        <v>1049</v>
      </c>
      <c r="E306" s="2" t="s">
        <v>1895</v>
      </c>
      <c r="F306" s="3" t="n">
        <f aca="false">INDEX(Sum_Base,MATCH(A306,Sum_BaseTasks,0),MATCH(D306,Sum_BaseTiers,0))</f>
        <v>40</v>
      </c>
      <c r="G306" s="2" t="str">
        <f aca="false">IF(ISNUMBER(MATCH(A306&amp;"|"&amp;D306,LR_Key,0)),A306&amp;"|"&amp;D306,A306&amp;"|All")</f>
        <v>FIXX-APL-002|All</v>
      </c>
      <c r="H306" s="3" t="n">
        <f aca="false">IFERROR(INDEX(LR_TypLabor,MATCH(G306,LR_Key,0)),"")</f>
        <v>1850</v>
      </c>
      <c r="I306" s="12" t="n">
        <f aca="false">INDEX(Urg_Mult,MATCH(E306,Urg_Levels,0))</f>
        <v>1</v>
      </c>
      <c r="J306" s="3" t="n">
        <f aca="false">IF(ISNUMBER(H306),MAX(H306,IFERROR(INDEX(MW_Floor,MATCH(G306,MW_Key,0)),0))*I306,"")</f>
        <v>1850</v>
      </c>
      <c r="K306" s="3" t="n">
        <f aca="false">IF(ISNUMBER(J306),F306+J306,"")</f>
        <v>1890</v>
      </c>
      <c r="L306" s="3" t="n">
        <f aca="false">IF(ISNUMBER(H306),MAX(H306,IFERROR(INDEX(MW_Floor,MATCH(G306,MW_Key,0)),0))*I306,"")</f>
        <v>1850</v>
      </c>
      <c r="M306" s="2" t="str">
        <f aca="false">IFERROR(INDEX(LR_Flag,MATCH(G306,LR_Key,0)),"")</f>
        <v>regulated</v>
      </c>
      <c r="N306" s="2" t="str">
        <f aca="false">IFERROR(INDEX(MW_Check,MATCH(G306,MW_Key,0)),"")</f>
        <v>OK</v>
      </c>
      <c r="O306" s="0" t="str">
        <f aca="false">IF(NOT(ISNUMBER(H306)),"LABOR QUOTE NEEDED – total incomplete",IF(N306="BELOW FLOOR","CHECK: typical labor below wage floor – payout and customer labor raised to floor",IF(M306&lt;&gt;"none","Labor rate flagged: "&amp;M306,"OK")))</f>
        <v>Labor rate flagged: regulated</v>
      </c>
      <c r="P306" s="0" t="s">
        <v>1398</v>
      </c>
      <c r="Q306" s="8" t="s">
        <v>1399</v>
      </c>
      <c r="R306" s="2" t="str">
        <f aca="false">IF(OR(M306="regulated",COUNTIFS(Tasks_TaskID,A306,Tasks_Tier,D306,Tasks_Review,"base")&gt;0),"PENDING REVIEW – priced, not bookable until human approval",IF(COUNTIFS(Tasks_TaskID,A306,Tasks_Tier,D306,Tasks_Review,"as-needed")&gt;0,"Bookable (re-evaluate if regulated as-needed line selected)","Bookable"))</f>
        <v>PENDING REVIEW – priced, not bookable until human approval</v>
      </c>
    </row>
    <row r="307" customFormat="false" ht="17.15" hidden="false" customHeight="false" outlineLevel="0" collapsed="false">
      <c r="A307" s="2" t="s">
        <v>1396</v>
      </c>
      <c r="B307" s="2" t="s">
        <v>618</v>
      </c>
      <c r="C307" s="2" t="s">
        <v>1397</v>
      </c>
      <c r="D307" s="2" t="s">
        <v>1049</v>
      </c>
      <c r="E307" s="2" t="s">
        <v>1896</v>
      </c>
      <c r="F307" s="3" t="n">
        <f aca="false">INDEX(Sum_Base,MATCH(A307,Sum_BaseTasks,0),MATCH(D307,Sum_BaseTiers,0))</f>
        <v>40</v>
      </c>
      <c r="G307" s="2" t="str">
        <f aca="false">IF(ISNUMBER(MATCH(A307&amp;"|"&amp;D307,LR_Key,0)),A307&amp;"|"&amp;D307,A307&amp;"|All")</f>
        <v>FIXX-APL-002|All</v>
      </c>
      <c r="H307" s="3" t="n">
        <f aca="false">IFERROR(INDEX(LR_TypLabor,MATCH(G307,LR_Key,0)),"")</f>
        <v>1850</v>
      </c>
      <c r="I307" s="12" t="n">
        <f aca="false">INDEX(Urg_Mult,MATCH(E307,Urg_Levels,0))</f>
        <v>1.15</v>
      </c>
      <c r="J307" s="3" t="n">
        <f aca="false">IF(ISNUMBER(H307),MAX(H307,IFERROR(INDEX(MW_Floor,MATCH(G307,MW_Key,0)),0))*I307,"")</f>
        <v>2127.5</v>
      </c>
      <c r="K307" s="3" t="n">
        <f aca="false">IF(ISNUMBER(J307),F307+J307,"")</f>
        <v>2167.5</v>
      </c>
      <c r="L307" s="3" t="n">
        <f aca="false">IF(ISNUMBER(H307),MAX(H307,IFERROR(INDEX(MW_Floor,MATCH(G307,MW_Key,0)),0))*I307,"")</f>
        <v>2127.5</v>
      </c>
      <c r="M307" s="2" t="str">
        <f aca="false">IFERROR(INDEX(LR_Flag,MATCH(G307,LR_Key,0)),"")</f>
        <v>regulated</v>
      </c>
      <c r="N307" s="2" t="str">
        <f aca="false">IFERROR(INDEX(MW_Check,MATCH(G307,MW_Key,0)),"")</f>
        <v>OK</v>
      </c>
      <c r="O307" s="0" t="str">
        <f aca="false">IF(NOT(ISNUMBER(H307)),"LABOR QUOTE NEEDED – total incomplete",IF(N307="BELOW FLOOR","CHECK: typical labor below wage floor – payout and customer labor raised to floor",IF(M307&lt;&gt;"none","Labor rate flagged: "&amp;M307,"OK")))</f>
        <v>Labor rate flagged: regulated</v>
      </c>
      <c r="P307" s="0" t="s">
        <v>1398</v>
      </c>
      <c r="Q307" s="8" t="s">
        <v>1399</v>
      </c>
      <c r="R307" s="2" t="str">
        <f aca="false">IF(OR(M307="regulated",COUNTIFS(Tasks_TaskID,A307,Tasks_Tier,D307,Tasks_Review,"base")&gt;0),"PENDING REVIEW – priced, not bookable until human approval",IF(COUNTIFS(Tasks_TaskID,A307,Tasks_Tier,D307,Tasks_Review,"as-needed")&gt;0,"Bookable (re-evaluate if regulated as-needed line selected)","Bookable"))</f>
        <v>PENDING REVIEW – priced, not bookable until human approval</v>
      </c>
    </row>
    <row r="308" customFormat="false" ht="17.15" hidden="false" customHeight="false" outlineLevel="0" collapsed="false">
      <c r="A308" s="2" t="s">
        <v>1396</v>
      </c>
      <c r="B308" s="2" t="s">
        <v>618</v>
      </c>
      <c r="C308" s="2" t="s">
        <v>1397</v>
      </c>
      <c r="D308" s="2" t="s">
        <v>1049</v>
      </c>
      <c r="E308" s="2" t="s">
        <v>1897</v>
      </c>
      <c r="F308" s="3" t="n">
        <f aca="false">INDEX(Sum_Base,MATCH(A308,Sum_BaseTasks,0),MATCH(D308,Sum_BaseTiers,0))</f>
        <v>40</v>
      </c>
      <c r="G308" s="2" t="str">
        <f aca="false">IF(ISNUMBER(MATCH(A308&amp;"|"&amp;D308,LR_Key,0)),A308&amp;"|"&amp;D308,A308&amp;"|All")</f>
        <v>FIXX-APL-002|All</v>
      </c>
      <c r="H308" s="3" t="n">
        <f aca="false">IFERROR(INDEX(LR_TypLabor,MATCH(G308,LR_Key,0)),"")</f>
        <v>1850</v>
      </c>
      <c r="I308" s="12" t="n">
        <f aca="false">INDEX(Urg_Mult,MATCH(E308,Urg_Levels,0))</f>
        <v>1.3</v>
      </c>
      <c r="J308" s="3" t="n">
        <f aca="false">IF(ISNUMBER(H308),MAX(H308,IFERROR(INDEX(MW_Floor,MATCH(G308,MW_Key,0)),0))*I308,"")</f>
        <v>2405</v>
      </c>
      <c r="K308" s="3" t="n">
        <f aca="false">IF(ISNUMBER(J308),F308+J308,"")</f>
        <v>2445</v>
      </c>
      <c r="L308" s="3" t="n">
        <f aca="false">IF(ISNUMBER(H308),MAX(H308,IFERROR(INDEX(MW_Floor,MATCH(G308,MW_Key,0)),0))*I308,"")</f>
        <v>2405</v>
      </c>
      <c r="M308" s="2" t="str">
        <f aca="false">IFERROR(INDEX(LR_Flag,MATCH(G308,LR_Key,0)),"")</f>
        <v>regulated</v>
      </c>
      <c r="N308" s="2" t="str">
        <f aca="false">IFERROR(INDEX(MW_Check,MATCH(G308,MW_Key,0)),"")</f>
        <v>OK</v>
      </c>
      <c r="O308" s="0" t="str">
        <f aca="false">IF(NOT(ISNUMBER(H308)),"LABOR QUOTE NEEDED – total incomplete",IF(N308="BELOW FLOOR","CHECK: typical labor below wage floor – payout and customer labor raised to floor",IF(M308&lt;&gt;"none","Labor rate flagged: "&amp;M308,"OK")))</f>
        <v>Labor rate flagged: regulated</v>
      </c>
      <c r="P308" s="0" t="s">
        <v>1398</v>
      </c>
      <c r="Q308" s="8" t="s">
        <v>1399</v>
      </c>
      <c r="R308" s="2" t="str">
        <f aca="false">IF(OR(M308="regulated",COUNTIFS(Tasks_TaskID,A308,Tasks_Tier,D308,Tasks_Review,"base")&gt;0),"PENDING REVIEW – priced, not bookable until human approval",IF(COUNTIFS(Tasks_TaskID,A308,Tasks_Tier,D308,Tasks_Review,"as-needed")&gt;0,"Bookable (re-evaluate if regulated as-needed line selected)","Bookable"))</f>
        <v>PENDING REVIEW – priced, not bookable until human approval</v>
      </c>
    </row>
    <row r="309" customFormat="false" ht="17.15" hidden="false" customHeight="false" outlineLevel="0" collapsed="false">
      <c r="A309" s="2" t="s">
        <v>1396</v>
      </c>
      <c r="B309" s="2" t="s">
        <v>618</v>
      </c>
      <c r="C309" s="2" t="s">
        <v>1397</v>
      </c>
      <c r="D309" s="2" t="s">
        <v>1049</v>
      </c>
      <c r="E309" s="2" t="s">
        <v>1898</v>
      </c>
      <c r="F309" s="3" t="n">
        <f aca="false">INDEX(Sum_Base,MATCH(A309,Sum_BaseTasks,0),MATCH(D309,Sum_BaseTiers,0))</f>
        <v>40</v>
      </c>
      <c r="G309" s="2" t="str">
        <f aca="false">IF(ISNUMBER(MATCH(A309&amp;"|"&amp;D309,LR_Key,0)),A309&amp;"|"&amp;D309,A309&amp;"|All")</f>
        <v>FIXX-APL-002|All</v>
      </c>
      <c r="H309" s="3" t="n">
        <f aca="false">IFERROR(INDEX(LR_TypLabor,MATCH(G309,LR_Key,0)),"")</f>
        <v>1850</v>
      </c>
      <c r="I309" s="12" t="n">
        <f aca="false">INDEX(Urg_Mult,MATCH(E309,Urg_Levels,0))</f>
        <v>1.5</v>
      </c>
      <c r="J309" s="3" t="n">
        <f aca="false">IF(ISNUMBER(H309),MAX(H309,IFERROR(INDEX(MW_Floor,MATCH(G309,MW_Key,0)),0))*I309,"")</f>
        <v>2775</v>
      </c>
      <c r="K309" s="3" t="n">
        <f aca="false">IF(ISNUMBER(J309),F309+J309,"")</f>
        <v>2815</v>
      </c>
      <c r="L309" s="3" t="n">
        <f aca="false">IF(ISNUMBER(H309),MAX(H309,IFERROR(INDEX(MW_Floor,MATCH(G309,MW_Key,0)),0))*I309,"")</f>
        <v>2775</v>
      </c>
      <c r="M309" s="2" t="str">
        <f aca="false">IFERROR(INDEX(LR_Flag,MATCH(G309,LR_Key,0)),"")</f>
        <v>regulated</v>
      </c>
      <c r="N309" s="2" t="str">
        <f aca="false">IFERROR(INDEX(MW_Check,MATCH(G309,MW_Key,0)),"")</f>
        <v>OK</v>
      </c>
      <c r="O309" s="0" t="str">
        <f aca="false">IF(NOT(ISNUMBER(H309)),"LABOR QUOTE NEEDED – total incomplete",IF(N309="BELOW FLOOR","CHECK: typical labor below wage floor – payout and customer labor raised to floor",IF(M309&lt;&gt;"none","Labor rate flagged: "&amp;M309,"OK")))</f>
        <v>Labor rate flagged: regulated</v>
      </c>
      <c r="P309" s="0" t="s">
        <v>1398</v>
      </c>
      <c r="Q309" s="8" t="s">
        <v>1399</v>
      </c>
      <c r="R309" s="2" t="str">
        <f aca="false">IF(OR(M309="regulated",COUNTIFS(Tasks_TaskID,A309,Tasks_Tier,D309,Tasks_Review,"base")&gt;0),"PENDING REVIEW – priced, not bookable until human approval",IF(COUNTIFS(Tasks_TaskID,A309,Tasks_Tier,D309,Tasks_Review,"as-needed")&gt;0,"Bookable (re-evaluate if regulated as-needed line selected)","Bookable"))</f>
        <v>PENDING REVIEW – priced, not bookable until human approval</v>
      </c>
    </row>
    <row r="310" customFormat="false" ht="17.15" hidden="false" customHeight="false" outlineLevel="0" collapsed="false">
      <c r="A310" s="2" t="s">
        <v>1396</v>
      </c>
      <c r="B310" s="2" t="s">
        <v>618</v>
      </c>
      <c r="C310" s="2" t="s">
        <v>1397</v>
      </c>
      <c r="D310" s="2" t="s">
        <v>1051</v>
      </c>
      <c r="E310" s="2" t="s">
        <v>1895</v>
      </c>
      <c r="F310" s="3" t="n">
        <f aca="false">INDEX(Sum_Base,MATCH(A310,Sum_BaseTasks,0),MATCH(D310,Sum_BaseTiers,0))</f>
        <v>56.3175</v>
      </c>
      <c r="G310" s="2" t="str">
        <f aca="false">IF(ISNUMBER(MATCH(A310&amp;"|"&amp;D310,LR_Key,0)),A310&amp;"|"&amp;D310,A310&amp;"|All")</f>
        <v>FIXX-APL-002|All</v>
      </c>
      <c r="H310" s="3" t="n">
        <f aca="false">IFERROR(INDEX(LR_TypLabor,MATCH(G310,LR_Key,0)),"")</f>
        <v>1850</v>
      </c>
      <c r="I310" s="12" t="n">
        <f aca="false">INDEX(Urg_Mult,MATCH(E310,Urg_Levels,0))</f>
        <v>1</v>
      </c>
      <c r="J310" s="3" t="n">
        <f aca="false">IF(ISNUMBER(H310),MAX(H310,IFERROR(INDEX(MW_Floor,MATCH(G310,MW_Key,0)),0))*I310,"")</f>
        <v>1850</v>
      </c>
      <c r="K310" s="3" t="n">
        <f aca="false">IF(ISNUMBER(J310),F310+J310,"")</f>
        <v>1906.3175</v>
      </c>
      <c r="L310" s="3" t="n">
        <f aca="false">IF(ISNUMBER(H310),MAX(H310,IFERROR(INDEX(MW_Floor,MATCH(G310,MW_Key,0)),0))*I310,"")</f>
        <v>1850</v>
      </c>
      <c r="M310" s="2" t="str">
        <f aca="false">IFERROR(INDEX(LR_Flag,MATCH(G310,LR_Key,0)),"")</f>
        <v>regulated</v>
      </c>
      <c r="N310" s="2" t="str">
        <f aca="false">IFERROR(INDEX(MW_Check,MATCH(G310,MW_Key,0)),"")</f>
        <v>OK</v>
      </c>
      <c r="O310" s="0" t="str">
        <f aca="false">IF(NOT(ISNUMBER(H310)),"LABOR QUOTE NEEDED – total incomplete",IF(N310="BELOW FLOOR","CHECK: typical labor below wage floor – payout and customer labor raised to floor",IF(M310&lt;&gt;"none","Labor rate flagged: "&amp;M310,"OK")))</f>
        <v>Labor rate flagged: regulated</v>
      </c>
      <c r="P310" s="0" t="s">
        <v>1398</v>
      </c>
      <c r="Q310" s="8" t="s">
        <v>1399</v>
      </c>
      <c r="R310" s="2" t="str">
        <f aca="false">IF(OR(M310="regulated",COUNTIFS(Tasks_TaskID,A310,Tasks_Tier,D310,Tasks_Review,"base")&gt;0),"PENDING REVIEW – priced, not bookable until human approval",IF(COUNTIFS(Tasks_TaskID,A310,Tasks_Tier,D310,Tasks_Review,"as-needed")&gt;0,"Bookable (re-evaluate if regulated as-needed line selected)","Bookable"))</f>
        <v>PENDING REVIEW – priced, not bookable until human approval</v>
      </c>
    </row>
    <row r="311" customFormat="false" ht="17.15" hidden="false" customHeight="false" outlineLevel="0" collapsed="false">
      <c r="A311" s="2" t="s">
        <v>1396</v>
      </c>
      <c r="B311" s="2" t="s">
        <v>618</v>
      </c>
      <c r="C311" s="2" t="s">
        <v>1397</v>
      </c>
      <c r="D311" s="2" t="s">
        <v>1051</v>
      </c>
      <c r="E311" s="2" t="s">
        <v>1896</v>
      </c>
      <c r="F311" s="3" t="n">
        <f aca="false">INDEX(Sum_Base,MATCH(A311,Sum_BaseTasks,0),MATCH(D311,Sum_BaseTiers,0))</f>
        <v>56.3175</v>
      </c>
      <c r="G311" s="2" t="str">
        <f aca="false">IF(ISNUMBER(MATCH(A311&amp;"|"&amp;D311,LR_Key,0)),A311&amp;"|"&amp;D311,A311&amp;"|All")</f>
        <v>FIXX-APL-002|All</v>
      </c>
      <c r="H311" s="3" t="n">
        <f aca="false">IFERROR(INDEX(LR_TypLabor,MATCH(G311,LR_Key,0)),"")</f>
        <v>1850</v>
      </c>
      <c r="I311" s="12" t="n">
        <f aca="false">INDEX(Urg_Mult,MATCH(E311,Urg_Levels,0))</f>
        <v>1.15</v>
      </c>
      <c r="J311" s="3" t="n">
        <f aca="false">IF(ISNUMBER(H311),MAX(H311,IFERROR(INDEX(MW_Floor,MATCH(G311,MW_Key,0)),0))*I311,"")</f>
        <v>2127.5</v>
      </c>
      <c r="K311" s="3" t="n">
        <f aca="false">IF(ISNUMBER(J311),F311+J311,"")</f>
        <v>2183.8175</v>
      </c>
      <c r="L311" s="3" t="n">
        <f aca="false">IF(ISNUMBER(H311),MAX(H311,IFERROR(INDEX(MW_Floor,MATCH(G311,MW_Key,0)),0))*I311,"")</f>
        <v>2127.5</v>
      </c>
      <c r="M311" s="2" t="str">
        <f aca="false">IFERROR(INDEX(LR_Flag,MATCH(G311,LR_Key,0)),"")</f>
        <v>regulated</v>
      </c>
      <c r="N311" s="2" t="str">
        <f aca="false">IFERROR(INDEX(MW_Check,MATCH(G311,MW_Key,0)),"")</f>
        <v>OK</v>
      </c>
      <c r="O311" s="0" t="str">
        <f aca="false">IF(NOT(ISNUMBER(H311)),"LABOR QUOTE NEEDED – total incomplete",IF(N311="BELOW FLOOR","CHECK: typical labor below wage floor – payout and customer labor raised to floor",IF(M311&lt;&gt;"none","Labor rate flagged: "&amp;M311,"OK")))</f>
        <v>Labor rate flagged: regulated</v>
      </c>
      <c r="P311" s="0" t="s">
        <v>1398</v>
      </c>
      <c r="Q311" s="8" t="s">
        <v>1399</v>
      </c>
      <c r="R311" s="2" t="str">
        <f aca="false">IF(OR(M311="regulated",COUNTIFS(Tasks_TaskID,A311,Tasks_Tier,D311,Tasks_Review,"base")&gt;0),"PENDING REVIEW – priced, not bookable until human approval",IF(COUNTIFS(Tasks_TaskID,A311,Tasks_Tier,D311,Tasks_Review,"as-needed")&gt;0,"Bookable (re-evaluate if regulated as-needed line selected)","Bookable"))</f>
        <v>PENDING REVIEW – priced, not bookable until human approval</v>
      </c>
    </row>
    <row r="312" customFormat="false" ht="17.15" hidden="false" customHeight="false" outlineLevel="0" collapsed="false">
      <c r="A312" s="2" t="s">
        <v>1396</v>
      </c>
      <c r="B312" s="2" t="s">
        <v>618</v>
      </c>
      <c r="C312" s="2" t="s">
        <v>1397</v>
      </c>
      <c r="D312" s="2" t="s">
        <v>1051</v>
      </c>
      <c r="E312" s="2" t="s">
        <v>1897</v>
      </c>
      <c r="F312" s="3" t="n">
        <f aca="false">INDEX(Sum_Base,MATCH(A312,Sum_BaseTasks,0),MATCH(D312,Sum_BaseTiers,0))</f>
        <v>56.3175</v>
      </c>
      <c r="G312" s="2" t="str">
        <f aca="false">IF(ISNUMBER(MATCH(A312&amp;"|"&amp;D312,LR_Key,0)),A312&amp;"|"&amp;D312,A312&amp;"|All")</f>
        <v>FIXX-APL-002|All</v>
      </c>
      <c r="H312" s="3" t="n">
        <f aca="false">IFERROR(INDEX(LR_TypLabor,MATCH(G312,LR_Key,0)),"")</f>
        <v>1850</v>
      </c>
      <c r="I312" s="12" t="n">
        <f aca="false">INDEX(Urg_Mult,MATCH(E312,Urg_Levels,0))</f>
        <v>1.3</v>
      </c>
      <c r="J312" s="3" t="n">
        <f aca="false">IF(ISNUMBER(H312),MAX(H312,IFERROR(INDEX(MW_Floor,MATCH(G312,MW_Key,0)),0))*I312,"")</f>
        <v>2405</v>
      </c>
      <c r="K312" s="3" t="n">
        <f aca="false">IF(ISNUMBER(J312),F312+J312,"")</f>
        <v>2461.3175</v>
      </c>
      <c r="L312" s="3" t="n">
        <f aca="false">IF(ISNUMBER(H312),MAX(H312,IFERROR(INDEX(MW_Floor,MATCH(G312,MW_Key,0)),0))*I312,"")</f>
        <v>2405</v>
      </c>
      <c r="M312" s="2" t="str">
        <f aca="false">IFERROR(INDEX(LR_Flag,MATCH(G312,LR_Key,0)),"")</f>
        <v>regulated</v>
      </c>
      <c r="N312" s="2" t="str">
        <f aca="false">IFERROR(INDEX(MW_Check,MATCH(G312,MW_Key,0)),"")</f>
        <v>OK</v>
      </c>
      <c r="O312" s="0" t="str">
        <f aca="false">IF(NOT(ISNUMBER(H312)),"LABOR QUOTE NEEDED – total incomplete",IF(N312="BELOW FLOOR","CHECK: typical labor below wage floor – payout and customer labor raised to floor",IF(M312&lt;&gt;"none","Labor rate flagged: "&amp;M312,"OK")))</f>
        <v>Labor rate flagged: regulated</v>
      </c>
      <c r="P312" s="0" t="s">
        <v>1398</v>
      </c>
      <c r="Q312" s="8" t="s">
        <v>1399</v>
      </c>
      <c r="R312" s="2" t="str">
        <f aca="false">IF(OR(M312="regulated",COUNTIFS(Tasks_TaskID,A312,Tasks_Tier,D312,Tasks_Review,"base")&gt;0),"PENDING REVIEW – priced, not bookable until human approval",IF(COUNTIFS(Tasks_TaskID,A312,Tasks_Tier,D312,Tasks_Review,"as-needed")&gt;0,"Bookable (re-evaluate if regulated as-needed line selected)","Bookable"))</f>
        <v>PENDING REVIEW – priced, not bookable until human approval</v>
      </c>
    </row>
    <row r="313" customFormat="false" ht="17.15" hidden="false" customHeight="false" outlineLevel="0" collapsed="false">
      <c r="A313" s="2" t="s">
        <v>1396</v>
      </c>
      <c r="B313" s="2" t="s">
        <v>618</v>
      </c>
      <c r="C313" s="2" t="s">
        <v>1397</v>
      </c>
      <c r="D313" s="2" t="s">
        <v>1051</v>
      </c>
      <c r="E313" s="2" t="s">
        <v>1898</v>
      </c>
      <c r="F313" s="3" t="n">
        <f aca="false">INDEX(Sum_Base,MATCH(A313,Sum_BaseTasks,0),MATCH(D313,Sum_BaseTiers,0))</f>
        <v>56.3175</v>
      </c>
      <c r="G313" s="2" t="str">
        <f aca="false">IF(ISNUMBER(MATCH(A313&amp;"|"&amp;D313,LR_Key,0)),A313&amp;"|"&amp;D313,A313&amp;"|All")</f>
        <v>FIXX-APL-002|All</v>
      </c>
      <c r="H313" s="3" t="n">
        <f aca="false">IFERROR(INDEX(LR_TypLabor,MATCH(G313,LR_Key,0)),"")</f>
        <v>1850</v>
      </c>
      <c r="I313" s="12" t="n">
        <f aca="false">INDEX(Urg_Mult,MATCH(E313,Urg_Levels,0))</f>
        <v>1.5</v>
      </c>
      <c r="J313" s="3" t="n">
        <f aca="false">IF(ISNUMBER(H313),MAX(H313,IFERROR(INDEX(MW_Floor,MATCH(G313,MW_Key,0)),0))*I313,"")</f>
        <v>2775</v>
      </c>
      <c r="K313" s="3" t="n">
        <f aca="false">IF(ISNUMBER(J313),F313+J313,"")</f>
        <v>2831.3175</v>
      </c>
      <c r="L313" s="3" t="n">
        <f aca="false">IF(ISNUMBER(H313),MAX(H313,IFERROR(INDEX(MW_Floor,MATCH(G313,MW_Key,0)),0))*I313,"")</f>
        <v>2775</v>
      </c>
      <c r="M313" s="2" t="str">
        <f aca="false">IFERROR(INDEX(LR_Flag,MATCH(G313,LR_Key,0)),"")</f>
        <v>regulated</v>
      </c>
      <c r="N313" s="2" t="str">
        <f aca="false">IFERROR(INDEX(MW_Check,MATCH(G313,MW_Key,0)),"")</f>
        <v>OK</v>
      </c>
      <c r="O313" s="0" t="str">
        <f aca="false">IF(NOT(ISNUMBER(H313)),"LABOR QUOTE NEEDED – total incomplete",IF(N313="BELOW FLOOR","CHECK: typical labor below wage floor – payout and customer labor raised to floor",IF(M313&lt;&gt;"none","Labor rate flagged: "&amp;M313,"OK")))</f>
        <v>Labor rate flagged: regulated</v>
      </c>
      <c r="P313" s="0" t="s">
        <v>1398</v>
      </c>
      <c r="Q313" s="8" t="s">
        <v>1399</v>
      </c>
      <c r="R313" s="2" t="str">
        <f aca="false">IF(OR(M313="regulated",COUNTIFS(Tasks_TaskID,A313,Tasks_Tier,D313,Tasks_Review,"base")&gt;0),"PENDING REVIEW – priced, not bookable until human approval",IF(COUNTIFS(Tasks_TaskID,A313,Tasks_Tier,D313,Tasks_Review,"as-needed")&gt;0,"Bookable (re-evaluate if regulated as-needed line selected)","Bookable"))</f>
        <v>PENDING REVIEW – priced, not bookable until human approval</v>
      </c>
    </row>
    <row r="314" customFormat="false" ht="17.15" hidden="false" customHeight="false" outlineLevel="0" collapsed="false">
      <c r="A314" s="2" t="s">
        <v>1415</v>
      </c>
      <c r="B314" s="2" t="s">
        <v>646</v>
      </c>
      <c r="C314" s="2" t="s">
        <v>1416</v>
      </c>
      <c r="D314" s="2" t="s">
        <v>1042</v>
      </c>
      <c r="E314" s="2" t="s">
        <v>1895</v>
      </c>
      <c r="F314" s="3" t="n">
        <f aca="false">INDEX(Sum_Base,MATCH(A314,Sum_BaseTasks,0),MATCH(D314,Sum_BaseTiers,0))</f>
        <v>4210.000274</v>
      </c>
      <c r="G314" s="2" t="str">
        <f aca="false">IF(ISNUMBER(MATCH(A314&amp;"|"&amp;D314,LR_Key,0)),A314&amp;"|"&amp;D314,A314&amp;"|All")</f>
        <v>FIXX-ROF-001|Budget</v>
      </c>
      <c r="H314" s="3" t="n">
        <f aca="false">IFERROR(INDEX(LR_TypLabor,MATCH(G314,LR_Key,0)),"")</f>
        <v>3900</v>
      </c>
      <c r="I314" s="12" t="n">
        <f aca="false">INDEX(Urg_Mult,MATCH(E314,Urg_Levels,0))</f>
        <v>1</v>
      </c>
      <c r="J314" s="3" t="n">
        <f aca="false">IF(ISNUMBER(H314),MAX(H314,IFERROR(INDEX(MW_Floor,MATCH(G314,MW_Key,0)),0))*I314,"")</f>
        <v>3900</v>
      </c>
      <c r="K314" s="3" t="n">
        <f aca="false">IF(ISNUMBER(J314),F314+J314,"")</f>
        <v>8110.000274</v>
      </c>
      <c r="L314" s="3" t="n">
        <f aca="false">IF(ISNUMBER(H314),MAX(H314,IFERROR(INDEX(MW_Floor,MATCH(G314,MW_Key,0)),0))*I314,"")</f>
        <v>3900</v>
      </c>
      <c r="M314" s="2" t="str">
        <f aca="false">IFERROR(INDEX(LR_Flag,MATCH(G314,LR_Key,0)),"")</f>
        <v>assumption</v>
      </c>
      <c r="N314" s="2" t="str">
        <f aca="false">IFERROR(INDEX(MW_Check,MATCH(G314,MW_Key,0)),"")</f>
        <v>OK</v>
      </c>
      <c r="O314" s="0" t="str">
        <f aca="false">IF(NOT(ISNUMBER(H314)),"LABOR QUOTE NEEDED – total incomplete",IF(N314="BELOW FLOOR","CHECK: typical labor below wage floor – payout and customer labor raised to floor",IF(M314&lt;&gt;"none","Labor rate flagged: "&amp;M314,"OK")))</f>
        <v>Labor rate flagged: assumption</v>
      </c>
      <c r="P314" s="0" t="s">
        <v>1418</v>
      </c>
      <c r="Q314" s="8" t="s">
        <v>1419</v>
      </c>
      <c r="R314" s="2" t="str">
        <f aca="false">IF(OR(M314="regulated",COUNTIFS(Tasks_TaskID,A314,Tasks_Tier,D314,Tasks_Review,"base")&gt;0),"PENDING REVIEW – priced, not bookable until human approval",IF(COUNTIFS(Tasks_TaskID,A314,Tasks_Tier,D314,Tasks_Review,"as-needed")&gt;0,"Bookable (re-evaluate if regulated as-needed line selected)","Bookable"))</f>
        <v>Bookable</v>
      </c>
    </row>
    <row r="315" customFormat="false" ht="17.15" hidden="false" customHeight="false" outlineLevel="0" collapsed="false">
      <c r="A315" s="2" t="s">
        <v>1415</v>
      </c>
      <c r="B315" s="2" t="s">
        <v>646</v>
      </c>
      <c r="C315" s="2" t="s">
        <v>1416</v>
      </c>
      <c r="D315" s="2" t="s">
        <v>1042</v>
      </c>
      <c r="E315" s="2" t="s">
        <v>1896</v>
      </c>
      <c r="F315" s="3" t="n">
        <f aca="false">INDEX(Sum_Base,MATCH(A315,Sum_BaseTasks,0),MATCH(D315,Sum_BaseTiers,0))</f>
        <v>4210.000274</v>
      </c>
      <c r="G315" s="2" t="str">
        <f aca="false">IF(ISNUMBER(MATCH(A315&amp;"|"&amp;D315,LR_Key,0)),A315&amp;"|"&amp;D315,A315&amp;"|All")</f>
        <v>FIXX-ROF-001|Budget</v>
      </c>
      <c r="H315" s="3" t="n">
        <f aca="false">IFERROR(INDEX(LR_TypLabor,MATCH(G315,LR_Key,0)),"")</f>
        <v>3900</v>
      </c>
      <c r="I315" s="12" t="n">
        <f aca="false">INDEX(Urg_Mult,MATCH(E315,Urg_Levels,0))</f>
        <v>1.15</v>
      </c>
      <c r="J315" s="3" t="n">
        <f aca="false">IF(ISNUMBER(H315),MAX(H315,IFERROR(INDEX(MW_Floor,MATCH(G315,MW_Key,0)),0))*I315,"")</f>
        <v>4485</v>
      </c>
      <c r="K315" s="3" t="n">
        <f aca="false">IF(ISNUMBER(J315),F315+J315,"")</f>
        <v>8695.000274</v>
      </c>
      <c r="L315" s="3" t="n">
        <f aca="false">IF(ISNUMBER(H315),MAX(H315,IFERROR(INDEX(MW_Floor,MATCH(G315,MW_Key,0)),0))*I315,"")</f>
        <v>4485</v>
      </c>
      <c r="M315" s="2" t="str">
        <f aca="false">IFERROR(INDEX(LR_Flag,MATCH(G315,LR_Key,0)),"")</f>
        <v>assumption</v>
      </c>
      <c r="N315" s="2" t="str">
        <f aca="false">IFERROR(INDEX(MW_Check,MATCH(G315,MW_Key,0)),"")</f>
        <v>OK</v>
      </c>
      <c r="O315" s="0" t="str">
        <f aca="false">IF(NOT(ISNUMBER(H315)),"LABOR QUOTE NEEDED – total incomplete",IF(N315="BELOW FLOOR","CHECK: typical labor below wage floor – payout and customer labor raised to floor",IF(M315&lt;&gt;"none","Labor rate flagged: "&amp;M315,"OK")))</f>
        <v>Labor rate flagged: assumption</v>
      </c>
      <c r="P315" s="0" t="s">
        <v>1418</v>
      </c>
      <c r="Q315" s="8" t="s">
        <v>1419</v>
      </c>
      <c r="R315" s="2" t="str">
        <f aca="false">IF(OR(M315="regulated",COUNTIFS(Tasks_TaskID,A315,Tasks_Tier,D315,Tasks_Review,"base")&gt;0),"PENDING REVIEW – priced, not bookable until human approval",IF(COUNTIFS(Tasks_TaskID,A315,Tasks_Tier,D315,Tasks_Review,"as-needed")&gt;0,"Bookable (re-evaluate if regulated as-needed line selected)","Bookable"))</f>
        <v>Bookable</v>
      </c>
    </row>
    <row r="316" customFormat="false" ht="17.15" hidden="false" customHeight="false" outlineLevel="0" collapsed="false">
      <c r="A316" s="2" t="s">
        <v>1415</v>
      </c>
      <c r="B316" s="2" t="s">
        <v>646</v>
      </c>
      <c r="C316" s="2" t="s">
        <v>1416</v>
      </c>
      <c r="D316" s="2" t="s">
        <v>1042</v>
      </c>
      <c r="E316" s="2" t="s">
        <v>1897</v>
      </c>
      <c r="F316" s="3" t="n">
        <f aca="false">INDEX(Sum_Base,MATCH(A316,Sum_BaseTasks,0),MATCH(D316,Sum_BaseTiers,0))</f>
        <v>4210.000274</v>
      </c>
      <c r="G316" s="2" t="str">
        <f aca="false">IF(ISNUMBER(MATCH(A316&amp;"|"&amp;D316,LR_Key,0)),A316&amp;"|"&amp;D316,A316&amp;"|All")</f>
        <v>FIXX-ROF-001|Budget</v>
      </c>
      <c r="H316" s="3" t="n">
        <f aca="false">IFERROR(INDEX(LR_TypLabor,MATCH(G316,LR_Key,0)),"")</f>
        <v>3900</v>
      </c>
      <c r="I316" s="12" t="n">
        <f aca="false">INDEX(Urg_Mult,MATCH(E316,Urg_Levels,0))</f>
        <v>1.3</v>
      </c>
      <c r="J316" s="3" t="n">
        <f aca="false">IF(ISNUMBER(H316),MAX(H316,IFERROR(INDEX(MW_Floor,MATCH(G316,MW_Key,0)),0))*I316,"")</f>
        <v>5070</v>
      </c>
      <c r="K316" s="3" t="n">
        <f aca="false">IF(ISNUMBER(J316),F316+J316,"")</f>
        <v>9280.000274</v>
      </c>
      <c r="L316" s="3" t="n">
        <f aca="false">IF(ISNUMBER(H316),MAX(H316,IFERROR(INDEX(MW_Floor,MATCH(G316,MW_Key,0)),0))*I316,"")</f>
        <v>5070</v>
      </c>
      <c r="M316" s="2" t="str">
        <f aca="false">IFERROR(INDEX(LR_Flag,MATCH(G316,LR_Key,0)),"")</f>
        <v>assumption</v>
      </c>
      <c r="N316" s="2" t="str">
        <f aca="false">IFERROR(INDEX(MW_Check,MATCH(G316,MW_Key,0)),"")</f>
        <v>OK</v>
      </c>
      <c r="O316" s="0" t="str">
        <f aca="false">IF(NOT(ISNUMBER(H316)),"LABOR QUOTE NEEDED – total incomplete",IF(N316="BELOW FLOOR","CHECK: typical labor below wage floor – payout and customer labor raised to floor",IF(M316&lt;&gt;"none","Labor rate flagged: "&amp;M316,"OK")))</f>
        <v>Labor rate flagged: assumption</v>
      </c>
      <c r="P316" s="0" t="s">
        <v>1418</v>
      </c>
      <c r="Q316" s="8" t="s">
        <v>1419</v>
      </c>
      <c r="R316" s="2" t="str">
        <f aca="false">IF(OR(M316="regulated",COUNTIFS(Tasks_TaskID,A316,Tasks_Tier,D316,Tasks_Review,"base")&gt;0),"PENDING REVIEW – priced, not bookable until human approval",IF(COUNTIFS(Tasks_TaskID,A316,Tasks_Tier,D316,Tasks_Review,"as-needed")&gt;0,"Bookable (re-evaluate if regulated as-needed line selected)","Bookable"))</f>
        <v>Bookable</v>
      </c>
    </row>
    <row r="317" customFormat="false" ht="17.15" hidden="false" customHeight="false" outlineLevel="0" collapsed="false">
      <c r="A317" s="2" t="s">
        <v>1415</v>
      </c>
      <c r="B317" s="2" t="s">
        <v>646</v>
      </c>
      <c r="C317" s="2" t="s">
        <v>1416</v>
      </c>
      <c r="D317" s="2" t="s">
        <v>1042</v>
      </c>
      <c r="E317" s="2" t="s">
        <v>1898</v>
      </c>
      <c r="F317" s="3" t="n">
        <f aca="false">INDEX(Sum_Base,MATCH(A317,Sum_BaseTasks,0),MATCH(D317,Sum_BaseTiers,0))</f>
        <v>4210.000274</v>
      </c>
      <c r="G317" s="2" t="str">
        <f aca="false">IF(ISNUMBER(MATCH(A317&amp;"|"&amp;D317,LR_Key,0)),A317&amp;"|"&amp;D317,A317&amp;"|All")</f>
        <v>FIXX-ROF-001|Budget</v>
      </c>
      <c r="H317" s="3" t="n">
        <f aca="false">IFERROR(INDEX(LR_TypLabor,MATCH(G317,LR_Key,0)),"")</f>
        <v>3900</v>
      </c>
      <c r="I317" s="12" t="n">
        <f aca="false">INDEX(Urg_Mult,MATCH(E317,Urg_Levels,0))</f>
        <v>1.5</v>
      </c>
      <c r="J317" s="3" t="n">
        <f aca="false">IF(ISNUMBER(H317),MAX(H317,IFERROR(INDEX(MW_Floor,MATCH(G317,MW_Key,0)),0))*I317,"")</f>
        <v>5850</v>
      </c>
      <c r="K317" s="3" t="n">
        <f aca="false">IF(ISNUMBER(J317),F317+J317,"")</f>
        <v>10060.000274</v>
      </c>
      <c r="L317" s="3" t="n">
        <f aca="false">IF(ISNUMBER(H317),MAX(H317,IFERROR(INDEX(MW_Floor,MATCH(G317,MW_Key,0)),0))*I317,"")</f>
        <v>5850</v>
      </c>
      <c r="M317" s="2" t="str">
        <f aca="false">IFERROR(INDEX(LR_Flag,MATCH(G317,LR_Key,0)),"")</f>
        <v>assumption</v>
      </c>
      <c r="N317" s="2" t="str">
        <f aca="false">IFERROR(INDEX(MW_Check,MATCH(G317,MW_Key,0)),"")</f>
        <v>OK</v>
      </c>
      <c r="O317" s="0" t="str">
        <f aca="false">IF(NOT(ISNUMBER(H317)),"LABOR QUOTE NEEDED – total incomplete",IF(N317="BELOW FLOOR","CHECK: typical labor below wage floor – payout and customer labor raised to floor",IF(M317&lt;&gt;"none","Labor rate flagged: "&amp;M317,"OK")))</f>
        <v>Labor rate flagged: assumption</v>
      </c>
      <c r="P317" s="0" t="s">
        <v>1418</v>
      </c>
      <c r="Q317" s="8" t="s">
        <v>1419</v>
      </c>
      <c r="R317" s="2" t="str">
        <f aca="false">IF(OR(M317="regulated",COUNTIFS(Tasks_TaskID,A317,Tasks_Tier,D317,Tasks_Review,"base")&gt;0),"PENDING REVIEW – priced, not bookable until human approval",IF(COUNTIFS(Tasks_TaskID,A317,Tasks_Tier,D317,Tasks_Review,"as-needed")&gt;0,"Bookable (re-evaluate if regulated as-needed line selected)","Bookable"))</f>
        <v>Bookable</v>
      </c>
    </row>
    <row r="318" customFormat="false" ht="17.15" hidden="false" customHeight="false" outlineLevel="0" collapsed="false">
      <c r="A318" s="2" t="s">
        <v>1415</v>
      </c>
      <c r="B318" s="2" t="s">
        <v>646</v>
      </c>
      <c r="C318" s="2" t="s">
        <v>1416</v>
      </c>
      <c r="D318" s="2" t="s">
        <v>1049</v>
      </c>
      <c r="E318" s="2" t="s">
        <v>1895</v>
      </c>
      <c r="F318" s="3" t="n">
        <f aca="false">INDEX(Sum_Base,MATCH(A318,Sum_BaseTasks,0),MATCH(D318,Sum_BaseTiers,0))</f>
        <v>5230.000274</v>
      </c>
      <c r="G318" s="2" t="str">
        <f aca="false">IF(ISNUMBER(MATCH(A318&amp;"|"&amp;D318,LR_Key,0)),A318&amp;"|"&amp;D318,A318&amp;"|All")</f>
        <v>FIXX-ROF-001|Standard</v>
      </c>
      <c r="H318" s="3" t="n">
        <f aca="false">IFERROR(INDEX(LR_TypLabor,MATCH(G318,LR_Key,0)),"")</f>
        <v>3900</v>
      </c>
      <c r="I318" s="12" t="n">
        <f aca="false">INDEX(Urg_Mult,MATCH(E318,Urg_Levels,0))</f>
        <v>1</v>
      </c>
      <c r="J318" s="3" t="n">
        <f aca="false">IF(ISNUMBER(H318),MAX(H318,IFERROR(INDEX(MW_Floor,MATCH(G318,MW_Key,0)),0))*I318,"")</f>
        <v>3900</v>
      </c>
      <c r="K318" s="3" t="n">
        <f aca="false">IF(ISNUMBER(J318),F318+J318,"")</f>
        <v>9130.000274</v>
      </c>
      <c r="L318" s="3" t="n">
        <f aca="false">IF(ISNUMBER(H318),MAX(H318,IFERROR(INDEX(MW_Floor,MATCH(G318,MW_Key,0)),0))*I318,"")</f>
        <v>3900</v>
      </c>
      <c r="M318" s="2" t="str">
        <f aca="false">IFERROR(INDEX(LR_Flag,MATCH(G318,LR_Key,0)),"")</f>
        <v>assumption</v>
      </c>
      <c r="N318" s="2" t="str">
        <f aca="false">IFERROR(INDEX(MW_Check,MATCH(G318,MW_Key,0)),"")</f>
        <v>OK</v>
      </c>
      <c r="O318" s="0" t="str">
        <f aca="false">IF(NOT(ISNUMBER(H318)),"LABOR QUOTE NEEDED – total incomplete",IF(N318="BELOW FLOOR","CHECK: typical labor below wage floor – payout and customer labor raised to floor",IF(M318&lt;&gt;"none","Labor rate flagged: "&amp;M318,"OK")))</f>
        <v>Labor rate flagged: assumption</v>
      </c>
      <c r="P318" s="0" t="s">
        <v>1418</v>
      </c>
      <c r="Q318" s="8" t="s">
        <v>1419</v>
      </c>
      <c r="R318" s="2" t="str">
        <f aca="false">IF(OR(M318="regulated",COUNTIFS(Tasks_TaskID,A318,Tasks_Tier,D318,Tasks_Review,"base")&gt;0),"PENDING REVIEW – priced, not bookable until human approval",IF(COUNTIFS(Tasks_TaskID,A318,Tasks_Tier,D318,Tasks_Review,"as-needed")&gt;0,"Bookable (re-evaluate if regulated as-needed line selected)","Bookable"))</f>
        <v>Bookable</v>
      </c>
    </row>
    <row r="319" customFormat="false" ht="17.15" hidden="false" customHeight="false" outlineLevel="0" collapsed="false">
      <c r="A319" s="2" t="s">
        <v>1415</v>
      </c>
      <c r="B319" s="2" t="s">
        <v>646</v>
      </c>
      <c r="C319" s="2" t="s">
        <v>1416</v>
      </c>
      <c r="D319" s="2" t="s">
        <v>1049</v>
      </c>
      <c r="E319" s="2" t="s">
        <v>1896</v>
      </c>
      <c r="F319" s="3" t="n">
        <f aca="false">INDEX(Sum_Base,MATCH(A319,Sum_BaseTasks,0),MATCH(D319,Sum_BaseTiers,0))</f>
        <v>5230.000274</v>
      </c>
      <c r="G319" s="2" t="str">
        <f aca="false">IF(ISNUMBER(MATCH(A319&amp;"|"&amp;D319,LR_Key,0)),A319&amp;"|"&amp;D319,A319&amp;"|All")</f>
        <v>FIXX-ROF-001|Standard</v>
      </c>
      <c r="H319" s="3" t="n">
        <f aca="false">IFERROR(INDEX(LR_TypLabor,MATCH(G319,LR_Key,0)),"")</f>
        <v>3900</v>
      </c>
      <c r="I319" s="12" t="n">
        <f aca="false">INDEX(Urg_Mult,MATCH(E319,Urg_Levels,0))</f>
        <v>1.15</v>
      </c>
      <c r="J319" s="3" t="n">
        <f aca="false">IF(ISNUMBER(H319),MAX(H319,IFERROR(INDEX(MW_Floor,MATCH(G319,MW_Key,0)),0))*I319,"")</f>
        <v>4485</v>
      </c>
      <c r="K319" s="3" t="n">
        <f aca="false">IF(ISNUMBER(J319),F319+J319,"")</f>
        <v>9715.000274</v>
      </c>
      <c r="L319" s="3" t="n">
        <f aca="false">IF(ISNUMBER(H319),MAX(H319,IFERROR(INDEX(MW_Floor,MATCH(G319,MW_Key,0)),0))*I319,"")</f>
        <v>4485</v>
      </c>
      <c r="M319" s="2" t="str">
        <f aca="false">IFERROR(INDEX(LR_Flag,MATCH(G319,LR_Key,0)),"")</f>
        <v>assumption</v>
      </c>
      <c r="N319" s="2" t="str">
        <f aca="false">IFERROR(INDEX(MW_Check,MATCH(G319,MW_Key,0)),"")</f>
        <v>OK</v>
      </c>
      <c r="O319" s="0" t="str">
        <f aca="false">IF(NOT(ISNUMBER(H319)),"LABOR QUOTE NEEDED – total incomplete",IF(N319="BELOW FLOOR","CHECK: typical labor below wage floor – payout and customer labor raised to floor",IF(M319&lt;&gt;"none","Labor rate flagged: "&amp;M319,"OK")))</f>
        <v>Labor rate flagged: assumption</v>
      </c>
      <c r="P319" s="0" t="s">
        <v>1418</v>
      </c>
      <c r="Q319" s="8" t="s">
        <v>1419</v>
      </c>
      <c r="R319" s="2" t="str">
        <f aca="false">IF(OR(M319="regulated",COUNTIFS(Tasks_TaskID,A319,Tasks_Tier,D319,Tasks_Review,"base")&gt;0),"PENDING REVIEW – priced, not bookable until human approval",IF(COUNTIFS(Tasks_TaskID,A319,Tasks_Tier,D319,Tasks_Review,"as-needed")&gt;0,"Bookable (re-evaluate if regulated as-needed line selected)","Bookable"))</f>
        <v>Bookable</v>
      </c>
    </row>
    <row r="320" customFormat="false" ht="17.15" hidden="false" customHeight="false" outlineLevel="0" collapsed="false">
      <c r="A320" s="2" t="s">
        <v>1415</v>
      </c>
      <c r="B320" s="2" t="s">
        <v>646</v>
      </c>
      <c r="C320" s="2" t="s">
        <v>1416</v>
      </c>
      <c r="D320" s="2" t="s">
        <v>1049</v>
      </c>
      <c r="E320" s="2" t="s">
        <v>1897</v>
      </c>
      <c r="F320" s="3" t="n">
        <f aca="false">INDEX(Sum_Base,MATCH(A320,Sum_BaseTasks,0),MATCH(D320,Sum_BaseTiers,0))</f>
        <v>5230.000274</v>
      </c>
      <c r="G320" s="2" t="str">
        <f aca="false">IF(ISNUMBER(MATCH(A320&amp;"|"&amp;D320,LR_Key,0)),A320&amp;"|"&amp;D320,A320&amp;"|All")</f>
        <v>FIXX-ROF-001|Standard</v>
      </c>
      <c r="H320" s="3" t="n">
        <f aca="false">IFERROR(INDEX(LR_TypLabor,MATCH(G320,LR_Key,0)),"")</f>
        <v>3900</v>
      </c>
      <c r="I320" s="12" t="n">
        <f aca="false">INDEX(Urg_Mult,MATCH(E320,Urg_Levels,0))</f>
        <v>1.3</v>
      </c>
      <c r="J320" s="3" t="n">
        <f aca="false">IF(ISNUMBER(H320),MAX(H320,IFERROR(INDEX(MW_Floor,MATCH(G320,MW_Key,0)),0))*I320,"")</f>
        <v>5070</v>
      </c>
      <c r="K320" s="3" t="n">
        <f aca="false">IF(ISNUMBER(J320),F320+J320,"")</f>
        <v>10300.000274</v>
      </c>
      <c r="L320" s="3" t="n">
        <f aca="false">IF(ISNUMBER(H320),MAX(H320,IFERROR(INDEX(MW_Floor,MATCH(G320,MW_Key,0)),0))*I320,"")</f>
        <v>5070</v>
      </c>
      <c r="M320" s="2" t="str">
        <f aca="false">IFERROR(INDEX(LR_Flag,MATCH(G320,LR_Key,0)),"")</f>
        <v>assumption</v>
      </c>
      <c r="N320" s="2" t="str">
        <f aca="false">IFERROR(INDEX(MW_Check,MATCH(G320,MW_Key,0)),"")</f>
        <v>OK</v>
      </c>
      <c r="O320" s="0" t="str">
        <f aca="false">IF(NOT(ISNUMBER(H320)),"LABOR QUOTE NEEDED – total incomplete",IF(N320="BELOW FLOOR","CHECK: typical labor below wage floor – payout and customer labor raised to floor",IF(M320&lt;&gt;"none","Labor rate flagged: "&amp;M320,"OK")))</f>
        <v>Labor rate flagged: assumption</v>
      </c>
      <c r="P320" s="0" t="s">
        <v>1418</v>
      </c>
      <c r="Q320" s="8" t="s">
        <v>1419</v>
      </c>
      <c r="R320" s="2" t="str">
        <f aca="false">IF(OR(M320="regulated",COUNTIFS(Tasks_TaskID,A320,Tasks_Tier,D320,Tasks_Review,"base")&gt;0),"PENDING REVIEW – priced, not bookable until human approval",IF(COUNTIFS(Tasks_TaskID,A320,Tasks_Tier,D320,Tasks_Review,"as-needed")&gt;0,"Bookable (re-evaluate if regulated as-needed line selected)","Bookable"))</f>
        <v>Bookable</v>
      </c>
    </row>
    <row r="321" customFormat="false" ht="17.15" hidden="false" customHeight="false" outlineLevel="0" collapsed="false">
      <c r="A321" s="2" t="s">
        <v>1415</v>
      </c>
      <c r="B321" s="2" t="s">
        <v>646</v>
      </c>
      <c r="C321" s="2" t="s">
        <v>1416</v>
      </c>
      <c r="D321" s="2" t="s">
        <v>1049</v>
      </c>
      <c r="E321" s="2" t="s">
        <v>1898</v>
      </c>
      <c r="F321" s="3" t="n">
        <f aca="false">INDEX(Sum_Base,MATCH(A321,Sum_BaseTasks,0),MATCH(D321,Sum_BaseTiers,0))</f>
        <v>5230.000274</v>
      </c>
      <c r="G321" s="2" t="str">
        <f aca="false">IF(ISNUMBER(MATCH(A321&amp;"|"&amp;D321,LR_Key,0)),A321&amp;"|"&amp;D321,A321&amp;"|All")</f>
        <v>FIXX-ROF-001|Standard</v>
      </c>
      <c r="H321" s="3" t="n">
        <f aca="false">IFERROR(INDEX(LR_TypLabor,MATCH(G321,LR_Key,0)),"")</f>
        <v>3900</v>
      </c>
      <c r="I321" s="12" t="n">
        <f aca="false">INDEX(Urg_Mult,MATCH(E321,Urg_Levels,0))</f>
        <v>1.5</v>
      </c>
      <c r="J321" s="3" t="n">
        <f aca="false">IF(ISNUMBER(H321),MAX(H321,IFERROR(INDEX(MW_Floor,MATCH(G321,MW_Key,0)),0))*I321,"")</f>
        <v>5850</v>
      </c>
      <c r="K321" s="3" t="n">
        <f aca="false">IF(ISNUMBER(J321),F321+J321,"")</f>
        <v>11080.000274</v>
      </c>
      <c r="L321" s="3" t="n">
        <f aca="false">IF(ISNUMBER(H321),MAX(H321,IFERROR(INDEX(MW_Floor,MATCH(G321,MW_Key,0)),0))*I321,"")</f>
        <v>5850</v>
      </c>
      <c r="M321" s="2" t="str">
        <f aca="false">IFERROR(INDEX(LR_Flag,MATCH(G321,LR_Key,0)),"")</f>
        <v>assumption</v>
      </c>
      <c r="N321" s="2" t="str">
        <f aca="false">IFERROR(INDEX(MW_Check,MATCH(G321,MW_Key,0)),"")</f>
        <v>OK</v>
      </c>
      <c r="O321" s="0" t="str">
        <f aca="false">IF(NOT(ISNUMBER(H321)),"LABOR QUOTE NEEDED – total incomplete",IF(N321="BELOW FLOOR","CHECK: typical labor below wage floor – payout and customer labor raised to floor",IF(M321&lt;&gt;"none","Labor rate flagged: "&amp;M321,"OK")))</f>
        <v>Labor rate flagged: assumption</v>
      </c>
      <c r="P321" s="0" t="s">
        <v>1418</v>
      </c>
      <c r="Q321" s="8" t="s">
        <v>1419</v>
      </c>
      <c r="R321" s="2" t="str">
        <f aca="false">IF(OR(M321="regulated",COUNTIFS(Tasks_TaskID,A321,Tasks_Tier,D321,Tasks_Review,"base")&gt;0),"PENDING REVIEW – priced, not bookable until human approval",IF(COUNTIFS(Tasks_TaskID,A321,Tasks_Tier,D321,Tasks_Review,"as-needed")&gt;0,"Bookable (re-evaluate if regulated as-needed line selected)","Bookable"))</f>
        <v>Bookable</v>
      </c>
    </row>
    <row r="322" customFormat="false" ht="17.15" hidden="false" customHeight="false" outlineLevel="0" collapsed="false">
      <c r="A322" s="2" t="s">
        <v>1415</v>
      </c>
      <c r="B322" s="2" t="s">
        <v>646</v>
      </c>
      <c r="C322" s="2" t="s">
        <v>1416</v>
      </c>
      <c r="D322" s="2" t="s">
        <v>1051</v>
      </c>
      <c r="E322" s="2" t="s">
        <v>1895</v>
      </c>
      <c r="F322" s="3" t="n">
        <f aca="false">INDEX(Sum_Base,MATCH(A322,Sum_BaseTasks,0),MATCH(D322,Sum_BaseTiers,0))</f>
        <v>11568.210884</v>
      </c>
      <c r="G322" s="2" t="str">
        <f aca="false">IF(ISNUMBER(MATCH(A322&amp;"|"&amp;D322,LR_Key,0)),A322&amp;"|"&amp;D322,A322&amp;"|All")</f>
        <v>FIXX-ROF-001|Premium</v>
      </c>
      <c r="H322" s="3" t="n">
        <f aca="false">IFERROR(INDEX(LR_TypLabor,MATCH(G322,LR_Key,0)),"")</f>
        <v>5250</v>
      </c>
      <c r="I322" s="12" t="n">
        <f aca="false">INDEX(Urg_Mult,MATCH(E322,Urg_Levels,0))</f>
        <v>1</v>
      </c>
      <c r="J322" s="3" t="n">
        <f aca="false">IF(ISNUMBER(H322),MAX(H322,IFERROR(INDEX(MW_Floor,MATCH(G322,MW_Key,0)),0))*I322,"")</f>
        <v>5250</v>
      </c>
      <c r="K322" s="3" t="n">
        <f aca="false">IF(ISNUMBER(J322),F322+J322,"")</f>
        <v>16818.210884</v>
      </c>
      <c r="L322" s="3" t="n">
        <f aca="false">IF(ISNUMBER(H322),MAX(H322,IFERROR(INDEX(MW_Floor,MATCH(G322,MW_Key,0)),0))*I322,"")</f>
        <v>5250</v>
      </c>
      <c r="M322" s="2" t="str">
        <f aca="false">IFERROR(INDEX(LR_Flag,MATCH(G322,LR_Key,0)),"")</f>
        <v>regulated</v>
      </c>
      <c r="N322" s="2" t="str">
        <f aca="false">IFERROR(INDEX(MW_Check,MATCH(G322,MW_Key,0)),"")</f>
        <v>OK</v>
      </c>
      <c r="O322" s="0" t="str">
        <f aca="false">IF(NOT(ISNUMBER(H322)),"LABOR QUOTE NEEDED – total incomplete",IF(N322="BELOW FLOOR","CHECK: typical labor below wage floor – payout and customer labor raised to floor",IF(M322&lt;&gt;"none","Labor rate flagged: "&amp;M322,"OK")))</f>
        <v>Labor rate flagged: regulated</v>
      </c>
      <c r="P322" s="0" t="s">
        <v>1418</v>
      </c>
      <c r="Q322" s="8" t="s">
        <v>1419</v>
      </c>
      <c r="R322" s="2" t="str">
        <f aca="false">IF(OR(M322="regulated",COUNTIFS(Tasks_TaskID,A322,Tasks_Tier,D322,Tasks_Review,"base")&gt;0),"PENDING REVIEW – priced, not bookable until human approval",IF(COUNTIFS(Tasks_TaskID,A322,Tasks_Tier,D322,Tasks_Review,"as-needed")&gt;0,"Bookable (re-evaluate if regulated as-needed line selected)","Bookable"))</f>
        <v>PENDING REVIEW – priced, not bookable until human approval</v>
      </c>
    </row>
    <row r="323" customFormat="false" ht="17.15" hidden="false" customHeight="false" outlineLevel="0" collapsed="false">
      <c r="A323" s="2" t="s">
        <v>1415</v>
      </c>
      <c r="B323" s="2" t="s">
        <v>646</v>
      </c>
      <c r="C323" s="2" t="s">
        <v>1416</v>
      </c>
      <c r="D323" s="2" t="s">
        <v>1051</v>
      </c>
      <c r="E323" s="2" t="s">
        <v>1896</v>
      </c>
      <c r="F323" s="3" t="n">
        <f aca="false">INDEX(Sum_Base,MATCH(A323,Sum_BaseTasks,0),MATCH(D323,Sum_BaseTiers,0))</f>
        <v>11568.210884</v>
      </c>
      <c r="G323" s="2" t="str">
        <f aca="false">IF(ISNUMBER(MATCH(A323&amp;"|"&amp;D323,LR_Key,0)),A323&amp;"|"&amp;D323,A323&amp;"|All")</f>
        <v>FIXX-ROF-001|Premium</v>
      </c>
      <c r="H323" s="3" t="n">
        <f aca="false">IFERROR(INDEX(LR_TypLabor,MATCH(G323,LR_Key,0)),"")</f>
        <v>5250</v>
      </c>
      <c r="I323" s="12" t="n">
        <f aca="false">INDEX(Urg_Mult,MATCH(E323,Urg_Levels,0))</f>
        <v>1.15</v>
      </c>
      <c r="J323" s="3" t="n">
        <f aca="false">IF(ISNUMBER(H323),MAX(H323,IFERROR(INDEX(MW_Floor,MATCH(G323,MW_Key,0)),0))*I323,"")</f>
        <v>6037.5</v>
      </c>
      <c r="K323" s="3" t="n">
        <f aca="false">IF(ISNUMBER(J323),F323+J323,"")</f>
        <v>17605.710884</v>
      </c>
      <c r="L323" s="3" t="n">
        <f aca="false">IF(ISNUMBER(H323),MAX(H323,IFERROR(INDEX(MW_Floor,MATCH(G323,MW_Key,0)),0))*I323,"")</f>
        <v>6037.5</v>
      </c>
      <c r="M323" s="2" t="str">
        <f aca="false">IFERROR(INDEX(LR_Flag,MATCH(G323,LR_Key,0)),"")</f>
        <v>regulated</v>
      </c>
      <c r="N323" s="2" t="str">
        <f aca="false">IFERROR(INDEX(MW_Check,MATCH(G323,MW_Key,0)),"")</f>
        <v>OK</v>
      </c>
      <c r="O323" s="0" t="str">
        <f aca="false">IF(NOT(ISNUMBER(H323)),"LABOR QUOTE NEEDED – total incomplete",IF(N323="BELOW FLOOR","CHECK: typical labor below wage floor – payout and customer labor raised to floor",IF(M323&lt;&gt;"none","Labor rate flagged: "&amp;M323,"OK")))</f>
        <v>Labor rate flagged: regulated</v>
      </c>
      <c r="P323" s="0" t="s">
        <v>1418</v>
      </c>
      <c r="Q323" s="8" t="s">
        <v>1419</v>
      </c>
      <c r="R323" s="2" t="str">
        <f aca="false">IF(OR(M323="regulated",COUNTIFS(Tasks_TaskID,A323,Tasks_Tier,D323,Tasks_Review,"base")&gt;0),"PENDING REVIEW – priced, not bookable until human approval",IF(COUNTIFS(Tasks_TaskID,A323,Tasks_Tier,D323,Tasks_Review,"as-needed")&gt;0,"Bookable (re-evaluate if regulated as-needed line selected)","Bookable"))</f>
        <v>PENDING REVIEW – priced, not bookable until human approval</v>
      </c>
    </row>
    <row r="324" customFormat="false" ht="17.15" hidden="false" customHeight="false" outlineLevel="0" collapsed="false">
      <c r="A324" s="2" t="s">
        <v>1415</v>
      </c>
      <c r="B324" s="2" t="s">
        <v>646</v>
      </c>
      <c r="C324" s="2" t="s">
        <v>1416</v>
      </c>
      <c r="D324" s="2" t="s">
        <v>1051</v>
      </c>
      <c r="E324" s="2" t="s">
        <v>1897</v>
      </c>
      <c r="F324" s="3" t="n">
        <f aca="false">INDEX(Sum_Base,MATCH(A324,Sum_BaseTasks,0),MATCH(D324,Sum_BaseTiers,0))</f>
        <v>11568.210884</v>
      </c>
      <c r="G324" s="2" t="str">
        <f aca="false">IF(ISNUMBER(MATCH(A324&amp;"|"&amp;D324,LR_Key,0)),A324&amp;"|"&amp;D324,A324&amp;"|All")</f>
        <v>FIXX-ROF-001|Premium</v>
      </c>
      <c r="H324" s="3" t="n">
        <f aca="false">IFERROR(INDEX(LR_TypLabor,MATCH(G324,LR_Key,0)),"")</f>
        <v>5250</v>
      </c>
      <c r="I324" s="12" t="n">
        <f aca="false">INDEX(Urg_Mult,MATCH(E324,Urg_Levels,0))</f>
        <v>1.3</v>
      </c>
      <c r="J324" s="3" t="n">
        <f aca="false">IF(ISNUMBER(H324),MAX(H324,IFERROR(INDEX(MW_Floor,MATCH(G324,MW_Key,0)),0))*I324,"")</f>
        <v>6825</v>
      </c>
      <c r="K324" s="3" t="n">
        <f aca="false">IF(ISNUMBER(J324),F324+J324,"")</f>
        <v>18393.210884</v>
      </c>
      <c r="L324" s="3" t="n">
        <f aca="false">IF(ISNUMBER(H324),MAX(H324,IFERROR(INDEX(MW_Floor,MATCH(G324,MW_Key,0)),0))*I324,"")</f>
        <v>6825</v>
      </c>
      <c r="M324" s="2" t="str">
        <f aca="false">IFERROR(INDEX(LR_Flag,MATCH(G324,LR_Key,0)),"")</f>
        <v>regulated</v>
      </c>
      <c r="N324" s="2" t="str">
        <f aca="false">IFERROR(INDEX(MW_Check,MATCH(G324,MW_Key,0)),"")</f>
        <v>OK</v>
      </c>
      <c r="O324" s="0" t="str">
        <f aca="false">IF(NOT(ISNUMBER(H324)),"LABOR QUOTE NEEDED – total incomplete",IF(N324="BELOW FLOOR","CHECK: typical labor below wage floor – payout and customer labor raised to floor",IF(M324&lt;&gt;"none","Labor rate flagged: "&amp;M324,"OK")))</f>
        <v>Labor rate flagged: regulated</v>
      </c>
      <c r="P324" s="0" t="s">
        <v>1418</v>
      </c>
      <c r="Q324" s="8" t="s">
        <v>1419</v>
      </c>
      <c r="R324" s="2" t="str">
        <f aca="false">IF(OR(M324="regulated",COUNTIFS(Tasks_TaskID,A324,Tasks_Tier,D324,Tasks_Review,"base")&gt;0),"PENDING REVIEW – priced, not bookable until human approval",IF(COUNTIFS(Tasks_TaskID,A324,Tasks_Tier,D324,Tasks_Review,"as-needed")&gt;0,"Bookable (re-evaluate if regulated as-needed line selected)","Bookable"))</f>
        <v>PENDING REVIEW – priced, not bookable until human approval</v>
      </c>
    </row>
    <row r="325" customFormat="false" ht="17.15" hidden="false" customHeight="false" outlineLevel="0" collapsed="false">
      <c r="A325" s="2" t="s">
        <v>1415</v>
      </c>
      <c r="B325" s="2" t="s">
        <v>646</v>
      </c>
      <c r="C325" s="2" t="s">
        <v>1416</v>
      </c>
      <c r="D325" s="2" t="s">
        <v>1051</v>
      </c>
      <c r="E325" s="2" t="s">
        <v>1898</v>
      </c>
      <c r="F325" s="3" t="n">
        <f aca="false">INDEX(Sum_Base,MATCH(A325,Sum_BaseTasks,0),MATCH(D325,Sum_BaseTiers,0))</f>
        <v>11568.210884</v>
      </c>
      <c r="G325" s="2" t="str">
        <f aca="false">IF(ISNUMBER(MATCH(A325&amp;"|"&amp;D325,LR_Key,0)),A325&amp;"|"&amp;D325,A325&amp;"|All")</f>
        <v>FIXX-ROF-001|Premium</v>
      </c>
      <c r="H325" s="3" t="n">
        <f aca="false">IFERROR(INDEX(LR_TypLabor,MATCH(G325,LR_Key,0)),"")</f>
        <v>5250</v>
      </c>
      <c r="I325" s="12" t="n">
        <f aca="false">INDEX(Urg_Mult,MATCH(E325,Urg_Levels,0))</f>
        <v>1.5</v>
      </c>
      <c r="J325" s="3" t="n">
        <f aca="false">IF(ISNUMBER(H325),MAX(H325,IFERROR(INDEX(MW_Floor,MATCH(G325,MW_Key,0)),0))*I325,"")</f>
        <v>7875</v>
      </c>
      <c r="K325" s="3" t="n">
        <f aca="false">IF(ISNUMBER(J325),F325+J325,"")</f>
        <v>19443.210884</v>
      </c>
      <c r="L325" s="3" t="n">
        <f aca="false">IF(ISNUMBER(H325),MAX(H325,IFERROR(INDEX(MW_Floor,MATCH(G325,MW_Key,0)),0))*I325,"")</f>
        <v>7875</v>
      </c>
      <c r="M325" s="2" t="str">
        <f aca="false">IFERROR(INDEX(LR_Flag,MATCH(G325,LR_Key,0)),"")</f>
        <v>regulated</v>
      </c>
      <c r="N325" s="2" t="str">
        <f aca="false">IFERROR(INDEX(MW_Check,MATCH(G325,MW_Key,0)),"")</f>
        <v>OK</v>
      </c>
      <c r="O325" s="0" t="str">
        <f aca="false">IF(NOT(ISNUMBER(H325)),"LABOR QUOTE NEEDED – total incomplete",IF(N325="BELOW FLOOR","CHECK: typical labor below wage floor – payout and customer labor raised to floor",IF(M325&lt;&gt;"none","Labor rate flagged: "&amp;M325,"OK")))</f>
        <v>Labor rate flagged: regulated</v>
      </c>
      <c r="P325" s="0" t="s">
        <v>1418</v>
      </c>
      <c r="Q325" s="8" t="s">
        <v>1419</v>
      </c>
      <c r="R325" s="2" t="str">
        <f aca="false">IF(OR(M325="regulated",COUNTIFS(Tasks_TaskID,A325,Tasks_Tier,D325,Tasks_Review,"base")&gt;0),"PENDING REVIEW – priced, not bookable until human approval",IF(COUNTIFS(Tasks_TaskID,A325,Tasks_Tier,D325,Tasks_Review,"as-needed")&gt;0,"Bookable (re-evaluate if regulated as-needed line selected)","Bookable"))</f>
        <v>PENDING REVIEW – priced, not bookable until human approval</v>
      </c>
    </row>
    <row r="326" customFormat="false" ht="17.15" hidden="false" customHeight="false" outlineLevel="0" collapsed="false">
      <c r="A326" s="2" t="s">
        <v>1430</v>
      </c>
      <c r="B326" s="2" t="s">
        <v>677</v>
      </c>
      <c r="C326" s="2" t="s">
        <v>1431</v>
      </c>
      <c r="D326" s="2" t="s">
        <v>1042</v>
      </c>
      <c r="E326" s="2" t="s">
        <v>1895</v>
      </c>
      <c r="F326" s="3" t="n">
        <f aca="false">INDEX(Sum_Base,MATCH(A326,Sum_BaseTasks,0),MATCH(D326,Sum_BaseTiers,0))</f>
        <v>234</v>
      </c>
      <c r="G326" s="2" t="str">
        <f aca="false">IF(ISNUMBER(MATCH(A326&amp;"|"&amp;D326,LR_Key,0)),A326&amp;"|"&amp;D326,A326&amp;"|All")</f>
        <v>FIXX-HND-001|Budget</v>
      </c>
      <c r="H326" s="3" t="n">
        <f aca="false">IFERROR(INDEX(LR_TypLabor,MATCH(G326,LR_Key,0)),"")</f>
        <v>599</v>
      </c>
      <c r="I326" s="12" t="n">
        <f aca="false">INDEX(Urg_Mult,MATCH(E326,Urg_Levels,0))</f>
        <v>1</v>
      </c>
      <c r="J326" s="3" t="n">
        <f aca="false">IF(ISNUMBER(H326),MAX(H326,IFERROR(INDEX(MW_Floor,MATCH(G326,MW_Key,0)),0))*I326,"")</f>
        <v>599</v>
      </c>
      <c r="K326" s="3" t="n">
        <f aca="false">IF(ISNUMBER(J326),F326+J326,"")</f>
        <v>833</v>
      </c>
      <c r="L326" s="3" t="n">
        <f aca="false">IF(ISNUMBER(H326),MAX(H326,IFERROR(INDEX(MW_Floor,MATCH(G326,MW_Key,0)),0))*I326,"")</f>
        <v>599</v>
      </c>
      <c r="M326" s="2" t="str">
        <f aca="false">IFERROR(INDEX(LR_Flag,MATCH(G326,LR_Key,0)),"")</f>
        <v>none</v>
      </c>
      <c r="N326" s="2" t="str">
        <f aca="false">IFERROR(INDEX(MW_Check,MATCH(G326,MW_Key,0)),"")</f>
        <v>OK</v>
      </c>
      <c r="O326" s="0" t="str">
        <f aca="false">IF(NOT(ISNUMBER(H326)),"LABOR QUOTE NEEDED – total incomplete",IF(N326="BELOW FLOOR","CHECK: typical labor below wage floor – payout and customer labor raised to floor",IF(M326&lt;&gt;"none","Labor rate flagged: "&amp;M326,"OK")))</f>
        <v>OK</v>
      </c>
      <c r="P326" s="0" t="s">
        <v>1433</v>
      </c>
      <c r="Q326" s="0" t="s">
        <v>1434</v>
      </c>
      <c r="R326" s="2" t="str">
        <f aca="false">IF(OR(M326="regulated",COUNTIFS(Tasks_TaskID,A326,Tasks_Tier,D326,Tasks_Review,"base")&gt;0),"PENDING REVIEW – priced, not bookable until human approval",IF(COUNTIFS(Tasks_TaskID,A326,Tasks_Tier,D326,Tasks_Review,"as-needed")&gt;0,"Bookable (re-evaluate if regulated as-needed line selected)","Bookable"))</f>
        <v>Bookable</v>
      </c>
    </row>
    <row r="327" customFormat="false" ht="17.15" hidden="false" customHeight="false" outlineLevel="0" collapsed="false">
      <c r="A327" s="2" t="s">
        <v>1430</v>
      </c>
      <c r="B327" s="2" t="s">
        <v>677</v>
      </c>
      <c r="C327" s="2" t="s">
        <v>1431</v>
      </c>
      <c r="D327" s="2" t="s">
        <v>1042</v>
      </c>
      <c r="E327" s="2" t="s">
        <v>1896</v>
      </c>
      <c r="F327" s="3" t="n">
        <f aca="false">INDEX(Sum_Base,MATCH(A327,Sum_BaseTasks,0),MATCH(D327,Sum_BaseTiers,0))</f>
        <v>234</v>
      </c>
      <c r="G327" s="2" t="str">
        <f aca="false">IF(ISNUMBER(MATCH(A327&amp;"|"&amp;D327,LR_Key,0)),A327&amp;"|"&amp;D327,A327&amp;"|All")</f>
        <v>FIXX-HND-001|Budget</v>
      </c>
      <c r="H327" s="3" t="n">
        <f aca="false">IFERROR(INDEX(LR_TypLabor,MATCH(G327,LR_Key,0)),"")</f>
        <v>599</v>
      </c>
      <c r="I327" s="12" t="n">
        <f aca="false">INDEX(Urg_Mult,MATCH(E327,Urg_Levels,0))</f>
        <v>1.15</v>
      </c>
      <c r="J327" s="3" t="n">
        <f aca="false">IF(ISNUMBER(H327),MAX(H327,IFERROR(INDEX(MW_Floor,MATCH(G327,MW_Key,0)),0))*I327,"")</f>
        <v>688.85</v>
      </c>
      <c r="K327" s="3" t="n">
        <f aca="false">IF(ISNUMBER(J327),F327+J327,"")</f>
        <v>922.85</v>
      </c>
      <c r="L327" s="3" t="n">
        <f aca="false">IF(ISNUMBER(H327),MAX(H327,IFERROR(INDEX(MW_Floor,MATCH(G327,MW_Key,0)),0))*I327,"")</f>
        <v>688.85</v>
      </c>
      <c r="M327" s="2" t="str">
        <f aca="false">IFERROR(INDEX(LR_Flag,MATCH(G327,LR_Key,0)),"")</f>
        <v>none</v>
      </c>
      <c r="N327" s="2" t="str">
        <f aca="false">IFERROR(INDEX(MW_Check,MATCH(G327,MW_Key,0)),"")</f>
        <v>OK</v>
      </c>
      <c r="O327" s="0" t="str">
        <f aca="false">IF(NOT(ISNUMBER(H327)),"LABOR QUOTE NEEDED – total incomplete",IF(N327="BELOW FLOOR","CHECK: typical labor below wage floor – payout and customer labor raised to floor",IF(M327&lt;&gt;"none","Labor rate flagged: "&amp;M327,"OK")))</f>
        <v>OK</v>
      </c>
      <c r="P327" s="0" t="s">
        <v>1433</v>
      </c>
      <c r="Q327" s="0" t="s">
        <v>1434</v>
      </c>
      <c r="R327" s="2" t="str">
        <f aca="false">IF(OR(M327="regulated",COUNTIFS(Tasks_TaskID,A327,Tasks_Tier,D327,Tasks_Review,"base")&gt;0),"PENDING REVIEW – priced, not bookable until human approval",IF(COUNTIFS(Tasks_TaskID,A327,Tasks_Tier,D327,Tasks_Review,"as-needed")&gt;0,"Bookable (re-evaluate if regulated as-needed line selected)","Bookable"))</f>
        <v>Bookable</v>
      </c>
    </row>
    <row r="328" customFormat="false" ht="17.15" hidden="false" customHeight="false" outlineLevel="0" collapsed="false">
      <c r="A328" s="2" t="s">
        <v>1430</v>
      </c>
      <c r="B328" s="2" t="s">
        <v>677</v>
      </c>
      <c r="C328" s="2" t="s">
        <v>1431</v>
      </c>
      <c r="D328" s="2" t="s">
        <v>1042</v>
      </c>
      <c r="E328" s="2" t="s">
        <v>1897</v>
      </c>
      <c r="F328" s="3" t="n">
        <f aca="false">INDEX(Sum_Base,MATCH(A328,Sum_BaseTasks,0),MATCH(D328,Sum_BaseTiers,0))</f>
        <v>234</v>
      </c>
      <c r="G328" s="2" t="str">
        <f aca="false">IF(ISNUMBER(MATCH(A328&amp;"|"&amp;D328,LR_Key,0)),A328&amp;"|"&amp;D328,A328&amp;"|All")</f>
        <v>FIXX-HND-001|Budget</v>
      </c>
      <c r="H328" s="3" t="n">
        <f aca="false">IFERROR(INDEX(LR_TypLabor,MATCH(G328,LR_Key,0)),"")</f>
        <v>599</v>
      </c>
      <c r="I328" s="12" t="n">
        <f aca="false">INDEX(Urg_Mult,MATCH(E328,Urg_Levels,0))</f>
        <v>1.3</v>
      </c>
      <c r="J328" s="3" t="n">
        <f aca="false">IF(ISNUMBER(H328),MAX(H328,IFERROR(INDEX(MW_Floor,MATCH(G328,MW_Key,0)),0))*I328,"")</f>
        <v>778.7</v>
      </c>
      <c r="K328" s="3" t="n">
        <f aca="false">IF(ISNUMBER(J328),F328+J328,"")</f>
        <v>1012.7</v>
      </c>
      <c r="L328" s="3" t="n">
        <f aca="false">IF(ISNUMBER(H328),MAX(H328,IFERROR(INDEX(MW_Floor,MATCH(G328,MW_Key,0)),0))*I328,"")</f>
        <v>778.7</v>
      </c>
      <c r="M328" s="2" t="str">
        <f aca="false">IFERROR(INDEX(LR_Flag,MATCH(G328,LR_Key,0)),"")</f>
        <v>none</v>
      </c>
      <c r="N328" s="2" t="str">
        <f aca="false">IFERROR(INDEX(MW_Check,MATCH(G328,MW_Key,0)),"")</f>
        <v>OK</v>
      </c>
      <c r="O328" s="0" t="str">
        <f aca="false">IF(NOT(ISNUMBER(H328)),"LABOR QUOTE NEEDED – total incomplete",IF(N328="BELOW FLOOR","CHECK: typical labor below wage floor – payout and customer labor raised to floor",IF(M328&lt;&gt;"none","Labor rate flagged: "&amp;M328,"OK")))</f>
        <v>OK</v>
      </c>
      <c r="P328" s="0" t="s">
        <v>1433</v>
      </c>
      <c r="Q328" s="0" t="s">
        <v>1434</v>
      </c>
      <c r="R328" s="2" t="str">
        <f aca="false">IF(OR(M328="regulated",COUNTIFS(Tasks_TaskID,A328,Tasks_Tier,D328,Tasks_Review,"base")&gt;0),"PENDING REVIEW – priced, not bookable until human approval",IF(COUNTIFS(Tasks_TaskID,A328,Tasks_Tier,D328,Tasks_Review,"as-needed")&gt;0,"Bookable (re-evaluate if regulated as-needed line selected)","Bookable"))</f>
        <v>Bookable</v>
      </c>
    </row>
    <row r="329" customFormat="false" ht="17.15" hidden="false" customHeight="false" outlineLevel="0" collapsed="false">
      <c r="A329" s="2" t="s">
        <v>1430</v>
      </c>
      <c r="B329" s="2" t="s">
        <v>677</v>
      </c>
      <c r="C329" s="2" t="s">
        <v>1431</v>
      </c>
      <c r="D329" s="2" t="s">
        <v>1042</v>
      </c>
      <c r="E329" s="2" t="s">
        <v>1898</v>
      </c>
      <c r="F329" s="3" t="n">
        <f aca="false">INDEX(Sum_Base,MATCH(A329,Sum_BaseTasks,0),MATCH(D329,Sum_BaseTiers,0))</f>
        <v>234</v>
      </c>
      <c r="G329" s="2" t="str">
        <f aca="false">IF(ISNUMBER(MATCH(A329&amp;"|"&amp;D329,LR_Key,0)),A329&amp;"|"&amp;D329,A329&amp;"|All")</f>
        <v>FIXX-HND-001|Budget</v>
      </c>
      <c r="H329" s="3" t="n">
        <f aca="false">IFERROR(INDEX(LR_TypLabor,MATCH(G329,LR_Key,0)),"")</f>
        <v>599</v>
      </c>
      <c r="I329" s="12" t="n">
        <f aca="false">INDEX(Urg_Mult,MATCH(E329,Urg_Levels,0))</f>
        <v>1.5</v>
      </c>
      <c r="J329" s="3" t="n">
        <f aca="false">IF(ISNUMBER(H329),MAX(H329,IFERROR(INDEX(MW_Floor,MATCH(G329,MW_Key,0)),0))*I329,"")</f>
        <v>898.5</v>
      </c>
      <c r="K329" s="3" t="n">
        <f aca="false">IF(ISNUMBER(J329),F329+J329,"")</f>
        <v>1132.5</v>
      </c>
      <c r="L329" s="3" t="n">
        <f aca="false">IF(ISNUMBER(H329),MAX(H329,IFERROR(INDEX(MW_Floor,MATCH(G329,MW_Key,0)),0))*I329,"")</f>
        <v>898.5</v>
      </c>
      <c r="M329" s="2" t="str">
        <f aca="false">IFERROR(INDEX(LR_Flag,MATCH(G329,LR_Key,0)),"")</f>
        <v>none</v>
      </c>
      <c r="N329" s="2" t="str">
        <f aca="false">IFERROR(INDEX(MW_Check,MATCH(G329,MW_Key,0)),"")</f>
        <v>OK</v>
      </c>
      <c r="O329" s="0" t="str">
        <f aca="false">IF(NOT(ISNUMBER(H329)),"LABOR QUOTE NEEDED – total incomplete",IF(N329="BELOW FLOOR","CHECK: typical labor below wage floor – payout and customer labor raised to floor",IF(M329&lt;&gt;"none","Labor rate flagged: "&amp;M329,"OK")))</f>
        <v>OK</v>
      </c>
      <c r="P329" s="0" t="s">
        <v>1433</v>
      </c>
      <c r="Q329" s="0" t="s">
        <v>1434</v>
      </c>
      <c r="R329" s="2" t="str">
        <f aca="false">IF(OR(M329="regulated",COUNTIFS(Tasks_TaskID,A329,Tasks_Tier,D329,Tasks_Review,"base")&gt;0),"PENDING REVIEW – priced, not bookable until human approval",IF(COUNTIFS(Tasks_TaskID,A329,Tasks_Tier,D329,Tasks_Review,"as-needed")&gt;0,"Bookable (re-evaluate if regulated as-needed line selected)","Bookable"))</f>
        <v>Bookable</v>
      </c>
    </row>
    <row r="330" customFormat="false" ht="17.15" hidden="false" customHeight="false" outlineLevel="0" collapsed="false">
      <c r="A330" s="2" t="s">
        <v>1430</v>
      </c>
      <c r="B330" s="2" t="s">
        <v>677</v>
      </c>
      <c r="C330" s="2" t="s">
        <v>1431</v>
      </c>
      <c r="D330" s="2" t="s">
        <v>1049</v>
      </c>
      <c r="E330" s="2" t="s">
        <v>1895</v>
      </c>
      <c r="F330" s="3" t="n">
        <f aca="false">INDEX(Sum_Base,MATCH(A330,Sum_BaseTasks,0),MATCH(D330,Sum_BaseTiers,0))</f>
        <v>332</v>
      </c>
      <c r="G330" s="2" t="str">
        <f aca="false">IF(ISNUMBER(MATCH(A330&amp;"|"&amp;D330,LR_Key,0)),A330&amp;"|"&amp;D330,A330&amp;"|All")</f>
        <v>FIXX-HND-001|Standard</v>
      </c>
      <c r="H330" s="3" t="n">
        <f aca="false">IFERROR(INDEX(LR_TypLabor,MATCH(G330,LR_Key,0)),"")</f>
        <v>599</v>
      </c>
      <c r="I330" s="12" t="n">
        <f aca="false">INDEX(Urg_Mult,MATCH(E330,Urg_Levels,0))</f>
        <v>1</v>
      </c>
      <c r="J330" s="3" t="n">
        <f aca="false">IF(ISNUMBER(H330),MAX(H330,IFERROR(INDEX(MW_Floor,MATCH(G330,MW_Key,0)),0))*I330,"")</f>
        <v>599</v>
      </c>
      <c r="K330" s="3" t="n">
        <f aca="false">IF(ISNUMBER(J330),F330+J330,"")</f>
        <v>931</v>
      </c>
      <c r="L330" s="3" t="n">
        <f aca="false">IF(ISNUMBER(H330),MAX(H330,IFERROR(INDEX(MW_Floor,MATCH(G330,MW_Key,0)),0))*I330,"")</f>
        <v>599</v>
      </c>
      <c r="M330" s="2" t="str">
        <f aca="false">IFERROR(INDEX(LR_Flag,MATCH(G330,LR_Key,0)),"")</f>
        <v>none</v>
      </c>
      <c r="N330" s="2" t="str">
        <f aca="false">IFERROR(INDEX(MW_Check,MATCH(G330,MW_Key,0)),"")</f>
        <v>OK</v>
      </c>
      <c r="O330" s="0" t="str">
        <f aca="false">IF(NOT(ISNUMBER(H330)),"LABOR QUOTE NEEDED – total incomplete",IF(N330="BELOW FLOOR","CHECK: typical labor below wage floor – payout and customer labor raised to floor",IF(M330&lt;&gt;"none","Labor rate flagged: "&amp;M330,"OK")))</f>
        <v>OK</v>
      </c>
      <c r="P330" s="0" t="s">
        <v>1433</v>
      </c>
      <c r="Q330" s="0" t="s">
        <v>1434</v>
      </c>
      <c r="R330" s="2" t="str">
        <f aca="false">IF(OR(M330="regulated",COUNTIFS(Tasks_TaskID,A330,Tasks_Tier,D330,Tasks_Review,"base")&gt;0),"PENDING REVIEW – priced, not bookable until human approval",IF(COUNTIFS(Tasks_TaskID,A330,Tasks_Tier,D330,Tasks_Review,"as-needed")&gt;0,"Bookable (re-evaluate if regulated as-needed line selected)","Bookable"))</f>
        <v>Bookable</v>
      </c>
    </row>
    <row r="331" customFormat="false" ht="17.15" hidden="false" customHeight="false" outlineLevel="0" collapsed="false">
      <c r="A331" s="2" t="s">
        <v>1430</v>
      </c>
      <c r="B331" s="2" t="s">
        <v>677</v>
      </c>
      <c r="C331" s="2" t="s">
        <v>1431</v>
      </c>
      <c r="D331" s="2" t="s">
        <v>1049</v>
      </c>
      <c r="E331" s="2" t="s">
        <v>1896</v>
      </c>
      <c r="F331" s="3" t="n">
        <f aca="false">INDEX(Sum_Base,MATCH(A331,Sum_BaseTasks,0),MATCH(D331,Sum_BaseTiers,0))</f>
        <v>332</v>
      </c>
      <c r="G331" s="2" t="str">
        <f aca="false">IF(ISNUMBER(MATCH(A331&amp;"|"&amp;D331,LR_Key,0)),A331&amp;"|"&amp;D331,A331&amp;"|All")</f>
        <v>FIXX-HND-001|Standard</v>
      </c>
      <c r="H331" s="3" t="n">
        <f aca="false">IFERROR(INDEX(LR_TypLabor,MATCH(G331,LR_Key,0)),"")</f>
        <v>599</v>
      </c>
      <c r="I331" s="12" t="n">
        <f aca="false">INDEX(Urg_Mult,MATCH(E331,Urg_Levels,0))</f>
        <v>1.15</v>
      </c>
      <c r="J331" s="3" t="n">
        <f aca="false">IF(ISNUMBER(H331),MAX(H331,IFERROR(INDEX(MW_Floor,MATCH(G331,MW_Key,0)),0))*I331,"")</f>
        <v>688.85</v>
      </c>
      <c r="K331" s="3" t="n">
        <f aca="false">IF(ISNUMBER(J331),F331+J331,"")</f>
        <v>1020.85</v>
      </c>
      <c r="L331" s="3" t="n">
        <f aca="false">IF(ISNUMBER(H331),MAX(H331,IFERROR(INDEX(MW_Floor,MATCH(G331,MW_Key,0)),0))*I331,"")</f>
        <v>688.85</v>
      </c>
      <c r="M331" s="2" t="str">
        <f aca="false">IFERROR(INDEX(LR_Flag,MATCH(G331,LR_Key,0)),"")</f>
        <v>none</v>
      </c>
      <c r="N331" s="2" t="str">
        <f aca="false">IFERROR(INDEX(MW_Check,MATCH(G331,MW_Key,0)),"")</f>
        <v>OK</v>
      </c>
      <c r="O331" s="0" t="str">
        <f aca="false">IF(NOT(ISNUMBER(H331)),"LABOR QUOTE NEEDED – total incomplete",IF(N331="BELOW FLOOR","CHECK: typical labor below wage floor – payout and customer labor raised to floor",IF(M331&lt;&gt;"none","Labor rate flagged: "&amp;M331,"OK")))</f>
        <v>OK</v>
      </c>
      <c r="P331" s="0" t="s">
        <v>1433</v>
      </c>
      <c r="Q331" s="0" t="s">
        <v>1434</v>
      </c>
      <c r="R331" s="2" t="str">
        <f aca="false">IF(OR(M331="regulated",COUNTIFS(Tasks_TaskID,A331,Tasks_Tier,D331,Tasks_Review,"base")&gt;0),"PENDING REVIEW – priced, not bookable until human approval",IF(COUNTIFS(Tasks_TaskID,A331,Tasks_Tier,D331,Tasks_Review,"as-needed")&gt;0,"Bookable (re-evaluate if regulated as-needed line selected)","Bookable"))</f>
        <v>Bookable</v>
      </c>
    </row>
    <row r="332" customFormat="false" ht="17.15" hidden="false" customHeight="false" outlineLevel="0" collapsed="false">
      <c r="A332" s="2" t="s">
        <v>1430</v>
      </c>
      <c r="B332" s="2" t="s">
        <v>677</v>
      </c>
      <c r="C332" s="2" t="s">
        <v>1431</v>
      </c>
      <c r="D332" s="2" t="s">
        <v>1049</v>
      </c>
      <c r="E332" s="2" t="s">
        <v>1897</v>
      </c>
      <c r="F332" s="3" t="n">
        <f aca="false">INDEX(Sum_Base,MATCH(A332,Sum_BaseTasks,0),MATCH(D332,Sum_BaseTiers,0))</f>
        <v>332</v>
      </c>
      <c r="G332" s="2" t="str">
        <f aca="false">IF(ISNUMBER(MATCH(A332&amp;"|"&amp;D332,LR_Key,0)),A332&amp;"|"&amp;D332,A332&amp;"|All")</f>
        <v>FIXX-HND-001|Standard</v>
      </c>
      <c r="H332" s="3" t="n">
        <f aca="false">IFERROR(INDEX(LR_TypLabor,MATCH(G332,LR_Key,0)),"")</f>
        <v>599</v>
      </c>
      <c r="I332" s="12" t="n">
        <f aca="false">INDEX(Urg_Mult,MATCH(E332,Urg_Levels,0))</f>
        <v>1.3</v>
      </c>
      <c r="J332" s="3" t="n">
        <f aca="false">IF(ISNUMBER(H332),MAX(H332,IFERROR(INDEX(MW_Floor,MATCH(G332,MW_Key,0)),0))*I332,"")</f>
        <v>778.7</v>
      </c>
      <c r="K332" s="3" t="n">
        <f aca="false">IF(ISNUMBER(J332),F332+J332,"")</f>
        <v>1110.7</v>
      </c>
      <c r="L332" s="3" t="n">
        <f aca="false">IF(ISNUMBER(H332),MAX(H332,IFERROR(INDEX(MW_Floor,MATCH(G332,MW_Key,0)),0))*I332,"")</f>
        <v>778.7</v>
      </c>
      <c r="M332" s="2" t="str">
        <f aca="false">IFERROR(INDEX(LR_Flag,MATCH(G332,LR_Key,0)),"")</f>
        <v>none</v>
      </c>
      <c r="N332" s="2" t="str">
        <f aca="false">IFERROR(INDEX(MW_Check,MATCH(G332,MW_Key,0)),"")</f>
        <v>OK</v>
      </c>
      <c r="O332" s="0" t="str">
        <f aca="false">IF(NOT(ISNUMBER(H332)),"LABOR QUOTE NEEDED – total incomplete",IF(N332="BELOW FLOOR","CHECK: typical labor below wage floor – payout and customer labor raised to floor",IF(M332&lt;&gt;"none","Labor rate flagged: "&amp;M332,"OK")))</f>
        <v>OK</v>
      </c>
      <c r="P332" s="0" t="s">
        <v>1433</v>
      </c>
      <c r="Q332" s="0" t="s">
        <v>1434</v>
      </c>
      <c r="R332" s="2" t="str">
        <f aca="false">IF(OR(M332="regulated",COUNTIFS(Tasks_TaskID,A332,Tasks_Tier,D332,Tasks_Review,"base")&gt;0),"PENDING REVIEW – priced, not bookable until human approval",IF(COUNTIFS(Tasks_TaskID,A332,Tasks_Tier,D332,Tasks_Review,"as-needed")&gt;0,"Bookable (re-evaluate if regulated as-needed line selected)","Bookable"))</f>
        <v>Bookable</v>
      </c>
    </row>
    <row r="333" customFormat="false" ht="17.15" hidden="false" customHeight="false" outlineLevel="0" collapsed="false">
      <c r="A333" s="2" t="s">
        <v>1430</v>
      </c>
      <c r="B333" s="2" t="s">
        <v>677</v>
      </c>
      <c r="C333" s="2" t="s">
        <v>1431</v>
      </c>
      <c r="D333" s="2" t="s">
        <v>1049</v>
      </c>
      <c r="E333" s="2" t="s">
        <v>1898</v>
      </c>
      <c r="F333" s="3" t="n">
        <f aca="false">INDEX(Sum_Base,MATCH(A333,Sum_BaseTasks,0),MATCH(D333,Sum_BaseTiers,0))</f>
        <v>332</v>
      </c>
      <c r="G333" s="2" t="str">
        <f aca="false">IF(ISNUMBER(MATCH(A333&amp;"|"&amp;D333,LR_Key,0)),A333&amp;"|"&amp;D333,A333&amp;"|All")</f>
        <v>FIXX-HND-001|Standard</v>
      </c>
      <c r="H333" s="3" t="n">
        <f aca="false">IFERROR(INDEX(LR_TypLabor,MATCH(G333,LR_Key,0)),"")</f>
        <v>599</v>
      </c>
      <c r="I333" s="12" t="n">
        <f aca="false">INDEX(Urg_Mult,MATCH(E333,Urg_Levels,0))</f>
        <v>1.5</v>
      </c>
      <c r="J333" s="3" t="n">
        <f aca="false">IF(ISNUMBER(H333),MAX(H333,IFERROR(INDEX(MW_Floor,MATCH(G333,MW_Key,0)),0))*I333,"")</f>
        <v>898.5</v>
      </c>
      <c r="K333" s="3" t="n">
        <f aca="false">IF(ISNUMBER(J333),F333+J333,"")</f>
        <v>1230.5</v>
      </c>
      <c r="L333" s="3" t="n">
        <f aca="false">IF(ISNUMBER(H333),MAX(H333,IFERROR(INDEX(MW_Floor,MATCH(G333,MW_Key,0)),0))*I333,"")</f>
        <v>898.5</v>
      </c>
      <c r="M333" s="2" t="str">
        <f aca="false">IFERROR(INDEX(LR_Flag,MATCH(G333,LR_Key,0)),"")</f>
        <v>none</v>
      </c>
      <c r="N333" s="2" t="str">
        <f aca="false">IFERROR(INDEX(MW_Check,MATCH(G333,MW_Key,0)),"")</f>
        <v>OK</v>
      </c>
      <c r="O333" s="0" t="str">
        <f aca="false">IF(NOT(ISNUMBER(H333)),"LABOR QUOTE NEEDED – total incomplete",IF(N333="BELOW FLOOR","CHECK: typical labor below wage floor – payout and customer labor raised to floor",IF(M333&lt;&gt;"none","Labor rate flagged: "&amp;M333,"OK")))</f>
        <v>OK</v>
      </c>
      <c r="P333" s="0" t="s">
        <v>1433</v>
      </c>
      <c r="Q333" s="0" t="s">
        <v>1434</v>
      </c>
      <c r="R333" s="2" t="str">
        <f aca="false">IF(OR(M333="regulated",COUNTIFS(Tasks_TaskID,A333,Tasks_Tier,D333,Tasks_Review,"base")&gt;0),"PENDING REVIEW – priced, not bookable until human approval",IF(COUNTIFS(Tasks_TaskID,A333,Tasks_Tier,D333,Tasks_Review,"as-needed")&gt;0,"Bookable (re-evaluate if regulated as-needed line selected)","Bookable"))</f>
        <v>Bookable</v>
      </c>
    </row>
    <row r="334" customFormat="false" ht="17.15" hidden="false" customHeight="false" outlineLevel="0" collapsed="false">
      <c r="A334" s="2" t="s">
        <v>1430</v>
      </c>
      <c r="B334" s="2" t="s">
        <v>677</v>
      </c>
      <c r="C334" s="2" t="s">
        <v>1431</v>
      </c>
      <c r="D334" s="2" t="s">
        <v>1051</v>
      </c>
      <c r="E334" s="2" t="s">
        <v>1895</v>
      </c>
      <c r="F334" s="3" t="n">
        <f aca="false">INDEX(Sum_Base,MATCH(A334,Sum_BaseTasks,0),MATCH(D334,Sum_BaseTiers,0))</f>
        <v>1187</v>
      </c>
      <c r="G334" s="2" t="str">
        <f aca="false">IF(ISNUMBER(MATCH(A334&amp;"|"&amp;D334,LR_Key,0)),A334&amp;"|"&amp;D334,A334&amp;"|All")</f>
        <v>FIXX-HND-001|Premium</v>
      </c>
      <c r="H334" s="3" t="n">
        <f aca="false">IFERROR(INDEX(LR_TypLabor,MATCH(G334,LR_Key,0)),"")</f>
        <v>1099</v>
      </c>
      <c r="I334" s="12" t="n">
        <f aca="false">INDEX(Urg_Mult,MATCH(E334,Urg_Levels,0))</f>
        <v>1</v>
      </c>
      <c r="J334" s="3" t="n">
        <f aca="false">IF(ISNUMBER(H334),MAX(H334,IFERROR(INDEX(MW_Floor,MATCH(G334,MW_Key,0)),0))*I334,"")</f>
        <v>1099</v>
      </c>
      <c r="K334" s="3" t="n">
        <f aca="false">IF(ISNUMBER(J334),F334+J334,"")</f>
        <v>2286</v>
      </c>
      <c r="L334" s="3" t="n">
        <f aca="false">IF(ISNUMBER(H334),MAX(H334,IFERROR(INDEX(MW_Floor,MATCH(G334,MW_Key,0)),0))*I334,"")</f>
        <v>1099</v>
      </c>
      <c r="M334" s="2" t="str">
        <f aca="false">IFERROR(INDEX(LR_Flag,MATCH(G334,LR_Key,0)),"")</f>
        <v>none</v>
      </c>
      <c r="N334" s="2" t="str">
        <f aca="false">IFERROR(INDEX(MW_Check,MATCH(G334,MW_Key,0)),"")</f>
        <v>OK</v>
      </c>
      <c r="O334" s="0" t="str">
        <f aca="false">IF(NOT(ISNUMBER(H334)),"LABOR QUOTE NEEDED – total incomplete",IF(N334="BELOW FLOOR","CHECK: typical labor below wage floor – payout and customer labor raised to floor",IF(M334&lt;&gt;"none","Labor rate flagged: "&amp;M334,"OK")))</f>
        <v>OK</v>
      </c>
      <c r="P334" s="0" t="s">
        <v>1433</v>
      </c>
      <c r="Q334" s="0" t="s">
        <v>1434</v>
      </c>
      <c r="R334" s="2" t="str">
        <f aca="false">IF(OR(M334="regulated",COUNTIFS(Tasks_TaskID,A334,Tasks_Tier,D334,Tasks_Review,"base")&gt;0),"PENDING REVIEW – priced, not bookable until human approval",IF(COUNTIFS(Tasks_TaskID,A334,Tasks_Tier,D334,Tasks_Review,"as-needed")&gt;0,"Bookable (re-evaluate if regulated as-needed line selected)","Bookable"))</f>
        <v>Bookable</v>
      </c>
    </row>
    <row r="335" customFormat="false" ht="17.15" hidden="false" customHeight="false" outlineLevel="0" collapsed="false">
      <c r="A335" s="2" t="s">
        <v>1430</v>
      </c>
      <c r="B335" s="2" t="s">
        <v>677</v>
      </c>
      <c r="C335" s="2" t="s">
        <v>1431</v>
      </c>
      <c r="D335" s="2" t="s">
        <v>1051</v>
      </c>
      <c r="E335" s="2" t="s">
        <v>1896</v>
      </c>
      <c r="F335" s="3" t="n">
        <f aca="false">INDEX(Sum_Base,MATCH(A335,Sum_BaseTasks,0),MATCH(D335,Sum_BaseTiers,0))</f>
        <v>1187</v>
      </c>
      <c r="G335" s="2" t="str">
        <f aca="false">IF(ISNUMBER(MATCH(A335&amp;"|"&amp;D335,LR_Key,0)),A335&amp;"|"&amp;D335,A335&amp;"|All")</f>
        <v>FIXX-HND-001|Premium</v>
      </c>
      <c r="H335" s="3" t="n">
        <f aca="false">IFERROR(INDEX(LR_TypLabor,MATCH(G335,LR_Key,0)),"")</f>
        <v>1099</v>
      </c>
      <c r="I335" s="12" t="n">
        <f aca="false">INDEX(Urg_Mult,MATCH(E335,Urg_Levels,0))</f>
        <v>1.15</v>
      </c>
      <c r="J335" s="3" t="n">
        <f aca="false">IF(ISNUMBER(H335),MAX(H335,IFERROR(INDEX(MW_Floor,MATCH(G335,MW_Key,0)),0))*I335,"")</f>
        <v>1263.85</v>
      </c>
      <c r="K335" s="3" t="n">
        <f aca="false">IF(ISNUMBER(J335),F335+J335,"")</f>
        <v>2450.85</v>
      </c>
      <c r="L335" s="3" t="n">
        <f aca="false">IF(ISNUMBER(H335),MAX(H335,IFERROR(INDEX(MW_Floor,MATCH(G335,MW_Key,0)),0))*I335,"")</f>
        <v>1263.85</v>
      </c>
      <c r="M335" s="2" t="str">
        <f aca="false">IFERROR(INDEX(LR_Flag,MATCH(G335,LR_Key,0)),"")</f>
        <v>none</v>
      </c>
      <c r="N335" s="2" t="str">
        <f aca="false">IFERROR(INDEX(MW_Check,MATCH(G335,MW_Key,0)),"")</f>
        <v>OK</v>
      </c>
      <c r="O335" s="0" t="str">
        <f aca="false">IF(NOT(ISNUMBER(H335)),"LABOR QUOTE NEEDED – total incomplete",IF(N335="BELOW FLOOR","CHECK: typical labor below wage floor – payout and customer labor raised to floor",IF(M335&lt;&gt;"none","Labor rate flagged: "&amp;M335,"OK")))</f>
        <v>OK</v>
      </c>
      <c r="P335" s="0" t="s">
        <v>1433</v>
      </c>
      <c r="Q335" s="0" t="s">
        <v>1434</v>
      </c>
      <c r="R335" s="2" t="str">
        <f aca="false">IF(OR(M335="regulated",COUNTIFS(Tasks_TaskID,A335,Tasks_Tier,D335,Tasks_Review,"base")&gt;0),"PENDING REVIEW – priced, not bookable until human approval",IF(COUNTIFS(Tasks_TaskID,A335,Tasks_Tier,D335,Tasks_Review,"as-needed")&gt;0,"Bookable (re-evaluate if regulated as-needed line selected)","Bookable"))</f>
        <v>Bookable</v>
      </c>
    </row>
    <row r="336" customFormat="false" ht="17.15" hidden="false" customHeight="false" outlineLevel="0" collapsed="false">
      <c r="A336" s="2" t="s">
        <v>1430</v>
      </c>
      <c r="B336" s="2" t="s">
        <v>677</v>
      </c>
      <c r="C336" s="2" t="s">
        <v>1431</v>
      </c>
      <c r="D336" s="2" t="s">
        <v>1051</v>
      </c>
      <c r="E336" s="2" t="s">
        <v>1897</v>
      </c>
      <c r="F336" s="3" t="n">
        <f aca="false">INDEX(Sum_Base,MATCH(A336,Sum_BaseTasks,0),MATCH(D336,Sum_BaseTiers,0))</f>
        <v>1187</v>
      </c>
      <c r="G336" s="2" t="str">
        <f aca="false">IF(ISNUMBER(MATCH(A336&amp;"|"&amp;D336,LR_Key,0)),A336&amp;"|"&amp;D336,A336&amp;"|All")</f>
        <v>FIXX-HND-001|Premium</v>
      </c>
      <c r="H336" s="3" t="n">
        <f aca="false">IFERROR(INDEX(LR_TypLabor,MATCH(G336,LR_Key,0)),"")</f>
        <v>1099</v>
      </c>
      <c r="I336" s="12" t="n">
        <f aca="false">INDEX(Urg_Mult,MATCH(E336,Urg_Levels,0))</f>
        <v>1.3</v>
      </c>
      <c r="J336" s="3" t="n">
        <f aca="false">IF(ISNUMBER(H336),MAX(H336,IFERROR(INDEX(MW_Floor,MATCH(G336,MW_Key,0)),0))*I336,"")</f>
        <v>1428.7</v>
      </c>
      <c r="K336" s="3" t="n">
        <f aca="false">IF(ISNUMBER(J336),F336+J336,"")</f>
        <v>2615.7</v>
      </c>
      <c r="L336" s="3" t="n">
        <f aca="false">IF(ISNUMBER(H336),MAX(H336,IFERROR(INDEX(MW_Floor,MATCH(G336,MW_Key,0)),0))*I336,"")</f>
        <v>1428.7</v>
      </c>
      <c r="M336" s="2" t="str">
        <f aca="false">IFERROR(INDEX(LR_Flag,MATCH(G336,LR_Key,0)),"")</f>
        <v>none</v>
      </c>
      <c r="N336" s="2" t="str">
        <f aca="false">IFERROR(INDEX(MW_Check,MATCH(G336,MW_Key,0)),"")</f>
        <v>OK</v>
      </c>
      <c r="O336" s="0" t="str">
        <f aca="false">IF(NOT(ISNUMBER(H336)),"LABOR QUOTE NEEDED – total incomplete",IF(N336="BELOW FLOOR","CHECK: typical labor below wage floor – payout and customer labor raised to floor",IF(M336&lt;&gt;"none","Labor rate flagged: "&amp;M336,"OK")))</f>
        <v>OK</v>
      </c>
      <c r="P336" s="0" t="s">
        <v>1433</v>
      </c>
      <c r="Q336" s="0" t="s">
        <v>1434</v>
      </c>
      <c r="R336" s="2" t="str">
        <f aca="false">IF(OR(M336="regulated",COUNTIFS(Tasks_TaskID,A336,Tasks_Tier,D336,Tasks_Review,"base")&gt;0),"PENDING REVIEW – priced, not bookable until human approval",IF(COUNTIFS(Tasks_TaskID,A336,Tasks_Tier,D336,Tasks_Review,"as-needed")&gt;0,"Bookable (re-evaluate if regulated as-needed line selected)","Bookable"))</f>
        <v>Bookable</v>
      </c>
    </row>
    <row r="337" customFormat="false" ht="17.15" hidden="false" customHeight="false" outlineLevel="0" collapsed="false">
      <c r="A337" s="2" t="s">
        <v>1430</v>
      </c>
      <c r="B337" s="2" t="s">
        <v>677</v>
      </c>
      <c r="C337" s="2" t="s">
        <v>1431</v>
      </c>
      <c r="D337" s="2" t="s">
        <v>1051</v>
      </c>
      <c r="E337" s="2" t="s">
        <v>1898</v>
      </c>
      <c r="F337" s="3" t="n">
        <f aca="false">INDEX(Sum_Base,MATCH(A337,Sum_BaseTasks,0),MATCH(D337,Sum_BaseTiers,0))</f>
        <v>1187</v>
      </c>
      <c r="G337" s="2" t="str">
        <f aca="false">IF(ISNUMBER(MATCH(A337&amp;"|"&amp;D337,LR_Key,0)),A337&amp;"|"&amp;D337,A337&amp;"|All")</f>
        <v>FIXX-HND-001|Premium</v>
      </c>
      <c r="H337" s="3" t="n">
        <f aca="false">IFERROR(INDEX(LR_TypLabor,MATCH(G337,LR_Key,0)),"")</f>
        <v>1099</v>
      </c>
      <c r="I337" s="12" t="n">
        <f aca="false">INDEX(Urg_Mult,MATCH(E337,Urg_Levels,0))</f>
        <v>1.5</v>
      </c>
      <c r="J337" s="3" t="n">
        <f aca="false">IF(ISNUMBER(H337),MAX(H337,IFERROR(INDEX(MW_Floor,MATCH(G337,MW_Key,0)),0))*I337,"")</f>
        <v>1648.5</v>
      </c>
      <c r="K337" s="3" t="n">
        <f aca="false">IF(ISNUMBER(J337),F337+J337,"")</f>
        <v>2835.5</v>
      </c>
      <c r="L337" s="3" t="n">
        <f aca="false">IF(ISNUMBER(H337),MAX(H337,IFERROR(INDEX(MW_Floor,MATCH(G337,MW_Key,0)),0))*I337,"")</f>
        <v>1648.5</v>
      </c>
      <c r="M337" s="2" t="str">
        <f aca="false">IFERROR(INDEX(LR_Flag,MATCH(G337,LR_Key,0)),"")</f>
        <v>none</v>
      </c>
      <c r="N337" s="2" t="str">
        <f aca="false">IFERROR(INDEX(MW_Check,MATCH(G337,MW_Key,0)),"")</f>
        <v>OK</v>
      </c>
      <c r="O337" s="0" t="str">
        <f aca="false">IF(NOT(ISNUMBER(H337)),"LABOR QUOTE NEEDED – total incomplete",IF(N337="BELOW FLOOR","CHECK: typical labor below wage floor – payout and customer labor raised to floor",IF(M337&lt;&gt;"none","Labor rate flagged: "&amp;M337,"OK")))</f>
        <v>OK</v>
      </c>
      <c r="P337" s="0" t="s">
        <v>1433</v>
      </c>
      <c r="Q337" s="0" t="s">
        <v>1434</v>
      </c>
      <c r="R337" s="2" t="str">
        <f aca="false">IF(OR(M337="regulated",COUNTIFS(Tasks_TaskID,A337,Tasks_Tier,D337,Tasks_Review,"base")&gt;0),"PENDING REVIEW – priced, not bookable until human approval",IF(COUNTIFS(Tasks_TaskID,A337,Tasks_Tier,D337,Tasks_Review,"as-needed")&gt;0,"Bookable (re-evaluate if regulated as-needed line selected)","Bookable"))</f>
        <v>Bookable</v>
      </c>
    </row>
    <row r="338" customFormat="false" ht="17.15" hidden="false" customHeight="false" outlineLevel="0" collapsed="false">
      <c r="A338" s="2" t="s">
        <v>1439</v>
      </c>
      <c r="B338" s="2" t="s">
        <v>677</v>
      </c>
      <c r="C338" s="2" t="s">
        <v>1440</v>
      </c>
      <c r="D338" s="2" t="s">
        <v>1042</v>
      </c>
      <c r="E338" s="2" t="s">
        <v>1895</v>
      </c>
      <c r="F338" s="3" t="n">
        <f aca="false">INDEX(Sum_Base,MATCH(A338,Sum_BaseTasks,0),MATCH(D338,Sum_BaseTiers,0))</f>
        <v>37</v>
      </c>
      <c r="G338" s="2" t="str">
        <f aca="false">IF(ISNUMBER(MATCH(A338&amp;"|"&amp;D338,LR_Key,0)),A338&amp;"|"&amp;D338,A338&amp;"|All")</f>
        <v>FIXX-HND-002|All</v>
      </c>
      <c r="H338" s="3" t="n">
        <f aca="false">IFERROR(INDEX(LR_TypLabor,MATCH(G338,LR_Key,0)),"")</f>
        <v>550</v>
      </c>
      <c r="I338" s="12" t="n">
        <f aca="false">INDEX(Urg_Mult,MATCH(E338,Urg_Levels,0))</f>
        <v>1</v>
      </c>
      <c r="J338" s="3" t="n">
        <f aca="false">IF(ISNUMBER(H338),MAX(H338,IFERROR(INDEX(MW_Floor,MATCH(G338,MW_Key,0)),0))*I338,"")</f>
        <v>550</v>
      </c>
      <c r="K338" s="3" t="n">
        <f aca="false">IF(ISNUMBER(J338),F338+J338,"")</f>
        <v>587</v>
      </c>
      <c r="L338" s="3" t="n">
        <f aca="false">IF(ISNUMBER(H338),MAX(H338,IFERROR(INDEX(MW_Floor,MATCH(G338,MW_Key,0)),0))*I338,"")</f>
        <v>550</v>
      </c>
      <c r="M338" s="2" t="str">
        <f aca="false">IFERROR(INDEX(LR_Flag,MATCH(G338,LR_Key,0)),"")</f>
        <v>none</v>
      </c>
      <c r="N338" s="2" t="str">
        <f aca="false">IFERROR(INDEX(MW_Check,MATCH(G338,MW_Key,0)),"")</f>
        <v>OK</v>
      </c>
      <c r="O338" s="0" t="str">
        <f aca="false">IF(NOT(ISNUMBER(H338)),"LABOR QUOTE NEEDED – total incomplete",IF(N338="BELOW FLOOR","CHECK: typical labor below wage floor – payout and customer labor raised to floor",IF(M338&lt;&gt;"none","Labor rate flagged: "&amp;M338,"OK")))</f>
        <v>OK</v>
      </c>
      <c r="P338" s="0" t="s">
        <v>1442</v>
      </c>
      <c r="Q338" s="8" t="s">
        <v>1443</v>
      </c>
      <c r="R338" s="2" t="str">
        <f aca="false">IF(OR(M338="regulated",COUNTIFS(Tasks_TaskID,A338,Tasks_Tier,D338,Tasks_Review,"base")&gt;0),"PENDING REVIEW – priced, not bookable until human approval",IF(COUNTIFS(Tasks_TaskID,A338,Tasks_Tier,D338,Tasks_Review,"as-needed")&gt;0,"Bookable (re-evaluate if regulated as-needed line selected)","Bookable"))</f>
        <v>Bookable</v>
      </c>
    </row>
    <row r="339" customFormat="false" ht="17.15" hidden="false" customHeight="false" outlineLevel="0" collapsed="false">
      <c r="A339" s="2" t="s">
        <v>1439</v>
      </c>
      <c r="B339" s="2" t="s">
        <v>677</v>
      </c>
      <c r="C339" s="2" t="s">
        <v>1440</v>
      </c>
      <c r="D339" s="2" t="s">
        <v>1042</v>
      </c>
      <c r="E339" s="2" t="s">
        <v>1896</v>
      </c>
      <c r="F339" s="3" t="n">
        <f aca="false">INDEX(Sum_Base,MATCH(A339,Sum_BaseTasks,0),MATCH(D339,Sum_BaseTiers,0))</f>
        <v>37</v>
      </c>
      <c r="G339" s="2" t="str">
        <f aca="false">IF(ISNUMBER(MATCH(A339&amp;"|"&amp;D339,LR_Key,0)),A339&amp;"|"&amp;D339,A339&amp;"|All")</f>
        <v>FIXX-HND-002|All</v>
      </c>
      <c r="H339" s="3" t="n">
        <f aca="false">IFERROR(INDEX(LR_TypLabor,MATCH(G339,LR_Key,0)),"")</f>
        <v>550</v>
      </c>
      <c r="I339" s="12" t="n">
        <f aca="false">INDEX(Urg_Mult,MATCH(E339,Urg_Levels,0))</f>
        <v>1.15</v>
      </c>
      <c r="J339" s="3" t="n">
        <f aca="false">IF(ISNUMBER(H339),MAX(H339,IFERROR(INDEX(MW_Floor,MATCH(G339,MW_Key,0)),0))*I339,"")</f>
        <v>632.5</v>
      </c>
      <c r="K339" s="3" t="n">
        <f aca="false">IF(ISNUMBER(J339),F339+J339,"")</f>
        <v>669.5</v>
      </c>
      <c r="L339" s="3" t="n">
        <f aca="false">IF(ISNUMBER(H339),MAX(H339,IFERROR(INDEX(MW_Floor,MATCH(G339,MW_Key,0)),0))*I339,"")</f>
        <v>632.5</v>
      </c>
      <c r="M339" s="2" t="str">
        <f aca="false">IFERROR(INDEX(LR_Flag,MATCH(G339,LR_Key,0)),"")</f>
        <v>none</v>
      </c>
      <c r="N339" s="2" t="str">
        <f aca="false">IFERROR(INDEX(MW_Check,MATCH(G339,MW_Key,0)),"")</f>
        <v>OK</v>
      </c>
      <c r="O339" s="0" t="str">
        <f aca="false">IF(NOT(ISNUMBER(H339)),"LABOR QUOTE NEEDED – total incomplete",IF(N339="BELOW FLOOR","CHECK: typical labor below wage floor – payout and customer labor raised to floor",IF(M339&lt;&gt;"none","Labor rate flagged: "&amp;M339,"OK")))</f>
        <v>OK</v>
      </c>
      <c r="P339" s="0" t="s">
        <v>1442</v>
      </c>
      <c r="Q339" s="8" t="s">
        <v>1443</v>
      </c>
      <c r="R339" s="2" t="str">
        <f aca="false">IF(OR(M339="regulated",COUNTIFS(Tasks_TaskID,A339,Tasks_Tier,D339,Tasks_Review,"base")&gt;0),"PENDING REVIEW – priced, not bookable until human approval",IF(COUNTIFS(Tasks_TaskID,A339,Tasks_Tier,D339,Tasks_Review,"as-needed")&gt;0,"Bookable (re-evaluate if regulated as-needed line selected)","Bookable"))</f>
        <v>Bookable</v>
      </c>
    </row>
    <row r="340" customFormat="false" ht="17.15" hidden="false" customHeight="false" outlineLevel="0" collapsed="false">
      <c r="A340" s="2" t="s">
        <v>1439</v>
      </c>
      <c r="B340" s="2" t="s">
        <v>677</v>
      </c>
      <c r="C340" s="2" t="s">
        <v>1440</v>
      </c>
      <c r="D340" s="2" t="s">
        <v>1042</v>
      </c>
      <c r="E340" s="2" t="s">
        <v>1897</v>
      </c>
      <c r="F340" s="3" t="n">
        <f aca="false">INDEX(Sum_Base,MATCH(A340,Sum_BaseTasks,0),MATCH(D340,Sum_BaseTiers,0))</f>
        <v>37</v>
      </c>
      <c r="G340" s="2" t="str">
        <f aca="false">IF(ISNUMBER(MATCH(A340&amp;"|"&amp;D340,LR_Key,0)),A340&amp;"|"&amp;D340,A340&amp;"|All")</f>
        <v>FIXX-HND-002|All</v>
      </c>
      <c r="H340" s="3" t="n">
        <f aca="false">IFERROR(INDEX(LR_TypLabor,MATCH(G340,LR_Key,0)),"")</f>
        <v>550</v>
      </c>
      <c r="I340" s="12" t="n">
        <f aca="false">INDEX(Urg_Mult,MATCH(E340,Urg_Levels,0))</f>
        <v>1.3</v>
      </c>
      <c r="J340" s="3" t="n">
        <f aca="false">IF(ISNUMBER(H340),MAX(H340,IFERROR(INDEX(MW_Floor,MATCH(G340,MW_Key,0)),0))*I340,"")</f>
        <v>715</v>
      </c>
      <c r="K340" s="3" t="n">
        <f aca="false">IF(ISNUMBER(J340),F340+J340,"")</f>
        <v>752</v>
      </c>
      <c r="L340" s="3" t="n">
        <f aca="false">IF(ISNUMBER(H340),MAX(H340,IFERROR(INDEX(MW_Floor,MATCH(G340,MW_Key,0)),0))*I340,"")</f>
        <v>715</v>
      </c>
      <c r="M340" s="2" t="str">
        <f aca="false">IFERROR(INDEX(LR_Flag,MATCH(G340,LR_Key,0)),"")</f>
        <v>none</v>
      </c>
      <c r="N340" s="2" t="str">
        <f aca="false">IFERROR(INDEX(MW_Check,MATCH(G340,MW_Key,0)),"")</f>
        <v>OK</v>
      </c>
      <c r="O340" s="0" t="str">
        <f aca="false">IF(NOT(ISNUMBER(H340)),"LABOR QUOTE NEEDED – total incomplete",IF(N340="BELOW FLOOR","CHECK: typical labor below wage floor – payout and customer labor raised to floor",IF(M340&lt;&gt;"none","Labor rate flagged: "&amp;M340,"OK")))</f>
        <v>OK</v>
      </c>
      <c r="P340" s="0" t="s">
        <v>1442</v>
      </c>
      <c r="Q340" s="8" t="s">
        <v>1443</v>
      </c>
      <c r="R340" s="2" t="str">
        <f aca="false">IF(OR(M340="regulated",COUNTIFS(Tasks_TaskID,A340,Tasks_Tier,D340,Tasks_Review,"base")&gt;0),"PENDING REVIEW – priced, not bookable until human approval",IF(COUNTIFS(Tasks_TaskID,A340,Tasks_Tier,D340,Tasks_Review,"as-needed")&gt;0,"Bookable (re-evaluate if regulated as-needed line selected)","Bookable"))</f>
        <v>Bookable</v>
      </c>
    </row>
    <row r="341" customFormat="false" ht="17.15" hidden="false" customHeight="false" outlineLevel="0" collapsed="false">
      <c r="A341" s="2" t="s">
        <v>1439</v>
      </c>
      <c r="B341" s="2" t="s">
        <v>677</v>
      </c>
      <c r="C341" s="2" t="s">
        <v>1440</v>
      </c>
      <c r="D341" s="2" t="s">
        <v>1042</v>
      </c>
      <c r="E341" s="2" t="s">
        <v>1898</v>
      </c>
      <c r="F341" s="3" t="n">
        <f aca="false">INDEX(Sum_Base,MATCH(A341,Sum_BaseTasks,0),MATCH(D341,Sum_BaseTiers,0))</f>
        <v>37</v>
      </c>
      <c r="G341" s="2" t="str">
        <f aca="false">IF(ISNUMBER(MATCH(A341&amp;"|"&amp;D341,LR_Key,0)),A341&amp;"|"&amp;D341,A341&amp;"|All")</f>
        <v>FIXX-HND-002|All</v>
      </c>
      <c r="H341" s="3" t="n">
        <f aca="false">IFERROR(INDEX(LR_TypLabor,MATCH(G341,LR_Key,0)),"")</f>
        <v>550</v>
      </c>
      <c r="I341" s="12" t="n">
        <f aca="false">INDEX(Urg_Mult,MATCH(E341,Urg_Levels,0))</f>
        <v>1.5</v>
      </c>
      <c r="J341" s="3" t="n">
        <f aca="false">IF(ISNUMBER(H341),MAX(H341,IFERROR(INDEX(MW_Floor,MATCH(G341,MW_Key,0)),0))*I341,"")</f>
        <v>825</v>
      </c>
      <c r="K341" s="3" t="n">
        <f aca="false">IF(ISNUMBER(J341),F341+J341,"")</f>
        <v>862</v>
      </c>
      <c r="L341" s="3" t="n">
        <f aca="false">IF(ISNUMBER(H341),MAX(H341,IFERROR(INDEX(MW_Floor,MATCH(G341,MW_Key,0)),0))*I341,"")</f>
        <v>825</v>
      </c>
      <c r="M341" s="2" t="str">
        <f aca="false">IFERROR(INDEX(LR_Flag,MATCH(G341,LR_Key,0)),"")</f>
        <v>none</v>
      </c>
      <c r="N341" s="2" t="str">
        <f aca="false">IFERROR(INDEX(MW_Check,MATCH(G341,MW_Key,0)),"")</f>
        <v>OK</v>
      </c>
      <c r="O341" s="0" t="str">
        <f aca="false">IF(NOT(ISNUMBER(H341)),"LABOR QUOTE NEEDED – total incomplete",IF(N341="BELOW FLOOR","CHECK: typical labor below wage floor – payout and customer labor raised to floor",IF(M341&lt;&gt;"none","Labor rate flagged: "&amp;M341,"OK")))</f>
        <v>OK</v>
      </c>
      <c r="P341" s="0" t="s">
        <v>1442</v>
      </c>
      <c r="Q341" s="8" t="s">
        <v>1443</v>
      </c>
      <c r="R341" s="2" t="str">
        <f aca="false">IF(OR(M341="regulated",COUNTIFS(Tasks_TaskID,A341,Tasks_Tier,D341,Tasks_Review,"base")&gt;0),"PENDING REVIEW – priced, not bookable until human approval",IF(COUNTIFS(Tasks_TaskID,A341,Tasks_Tier,D341,Tasks_Review,"as-needed")&gt;0,"Bookable (re-evaluate if regulated as-needed line selected)","Bookable"))</f>
        <v>Bookable</v>
      </c>
    </row>
    <row r="342" customFormat="false" ht="17.15" hidden="false" customHeight="false" outlineLevel="0" collapsed="false">
      <c r="A342" s="2" t="s">
        <v>1439</v>
      </c>
      <c r="B342" s="2" t="s">
        <v>677</v>
      </c>
      <c r="C342" s="2" t="s">
        <v>1440</v>
      </c>
      <c r="D342" s="2" t="s">
        <v>1049</v>
      </c>
      <c r="E342" s="2" t="s">
        <v>1895</v>
      </c>
      <c r="F342" s="3" t="n">
        <f aca="false">INDEX(Sum_Base,MATCH(A342,Sum_BaseTasks,0),MATCH(D342,Sum_BaseTiers,0))</f>
        <v>37</v>
      </c>
      <c r="G342" s="2" t="str">
        <f aca="false">IF(ISNUMBER(MATCH(A342&amp;"|"&amp;D342,LR_Key,0)),A342&amp;"|"&amp;D342,A342&amp;"|All")</f>
        <v>FIXX-HND-002|All</v>
      </c>
      <c r="H342" s="3" t="n">
        <f aca="false">IFERROR(INDEX(LR_TypLabor,MATCH(G342,LR_Key,0)),"")</f>
        <v>550</v>
      </c>
      <c r="I342" s="12" t="n">
        <f aca="false">INDEX(Urg_Mult,MATCH(E342,Urg_Levels,0))</f>
        <v>1</v>
      </c>
      <c r="J342" s="3" t="n">
        <f aca="false">IF(ISNUMBER(H342),MAX(H342,IFERROR(INDEX(MW_Floor,MATCH(G342,MW_Key,0)),0))*I342,"")</f>
        <v>550</v>
      </c>
      <c r="K342" s="3" t="n">
        <f aca="false">IF(ISNUMBER(J342),F342+J342,"")</f>
        <v>587</v>
      </c>
      <c r="L342" s="3" t="n">
        <f aca="false">IF(ISNUMBER(H342),MAX(H342,IFERROR(INDEX(MW_Floor,MATCH(G342,MW_Key,0)),0))*I342,"")</f>
        <v>550</v>
      </c>
      <c r="M342" s="2" t="str">
        <f aca="false">IFERROR(INDEX(LR_Flag,MATCH(G342,LR_Key,0)),"")</f>
        <v>none</v>
      </c>
      <c r="N342" s="2" t="str">
        <f aca="false">IFERROR(INDEX(MW_Check,MATCH(G342,MW_Key,0)),"")</f>
        <v>OK</v>
      </c>
      <c r="O342" s="0" t="str">
        <f aca="false">IF(NOT(ISNUMBER(H342)),"LABOR QUOTE NEEDED – total incomplete",IF(N342="BELOW FLOOR","CHECK: typical labor below wage floor – payout and customer labor raised to floor",IF(M342&lt;&gt;"none","Labor rate flagged: "&amp;M342,"OK")))</f>
        <v>OK</v>
      </c>
      <c r="P342" s="0" t="s">
        <v>1442</v>
      </c>
      <c r="Q342" s="8" t="s">
        <v>1443</v>
      </c>
      <c r="R342" s="2" t="str">
        <f aca="false">IF(OR(M342="regulated",COUNTIFS(Tasks_TaskID,A342,Tasks_Tier,D342,Tasks_Review,"base")&gt;0),"PENDING REVIEW – priced, not bookable until human approval",IF(COUNTIFS(Tasks_TaskID,A342,Tasks_Tier,D342,Tasks_Review,"as-needed")&gt;0,"Bookable (re-evaluate if regulated as-needed line selected)","Bookable"))</f>
        <v>Bookable</v>
      </c>
    </row>
    <row r="343" customFormat="false" ht="17.15" hidden="false" customHeight="false" outlineLevel="0" collapsed="false">
      <c r="A343" s="2" t="s">
        <v>1439</v>
      </c>
      <c r="B343" s="2" t="s">
        <v>677</v>
      </c>
      <c r="C343" s="2" t="s">
        <v>1440</v>
      </c>
      <c r="D343" s="2" t="s">
        <v>1049</v>
      </c>
      <c r="E343" s="2" t="s">
        <v>1896</v>
      </c>
      <c r="F343" s="3" t="n">
        <f aca="false">INDEX(Sum_Base,MATCH(A343,Sum_BaseTasks,0),MATCH(D343,Sum_BaseTiers,0))</f>
        <v>37</v>
      </c>
      <c r="G343" s="2" t="str">
        <f aca="false">IF(ISNUMBER(MATCH(A343&amp;"|"&amp;D343,LR_Key,0)),A343&amp;"|"&amp;D343,A343&amp;"|All")</f>
        <v>FIXX-HND-002|All</v>
      </c>
      <c r="H343" s="3" t="n">
        <f aca="false">IFERROR(INDEX(LR_TypLabor,MATCH(G343,LR_Key,0)),"")</f>
        <v>550</v>
      </c>
      <c r="I343" s="12" t="n">
        <f aca="false">INDEX(Urg_Mult,MATCH(E343,Urg_Levels,0))</f>
        <v>1.15</v>
      </c>
      <c r="J343" s="3" t="n">
        <f aca="false">IF(ISNUMBER(H343),MAX(H343,IFERROR(INDEX(MW_Floor,MATCH(G343,MW_Key,0)),0))*I343,"")</f>
        <v>632.5</v>
      </c>
      <c r="K343" s="3" t="n">
        <f aca="false">IF(ISNUMBER(J343),F343+J343,"")</f>
        <v>669.5</v>
      </c>
      <c r="L343" s="3" t="n">
        <f aca="false">IF(ISNUMBER(H343),MAX(H343,IFERROR(INDEX(MW_Floor,MATCH(G343,MW_Key,0)),0))*I343,"")</f>
        <v>632.5</v>
      </c>
      <c r="M343" s="2" t="str">
        <f aca="false">IFERROR(INDEX(LR_Flag,MATCH(G343,LR_Key,0)),"")</f>
        <v>none</v>
      </c>
      <c r="N343" s="2" t="str">
        <f aca="false">IFERROR(INDEX(MW_Check,MATCH(G343,MW_Key,0)),"")</f>
        <v>OK</v>
      </c>
      <c r="O343" s="0" t="str">
        <f aca="false">IF(NOT(ISNUMBER(H343)),"LABOR QUOTE NEEDED – total incomplete",IF(N343="BELOW FLOOR","CHECK: typical labor below wage floor – payout and customer labor raised to floor",IF(M343&lt;&gt;"none","Labor rate flagged: "&amp;M343,"OK")))</f>
        <v>OK</v>
      </c>
      <c r="P343" s="0" t="s">
        <v>1442</v>
      </c>
      <c r="Q343" s="8" t="s">
        <v>1443</v>
      </c>
      <c r="R343" s="2" t="str">
        <f aca="false">IF(OR(M343="regulated",COUNTIFS(Tasks_TaskID,A343,Tasks_Tier,D343,Tasks_Review,"base")&gt;0),"PENDING REVIEW – priced, not bookable until human approval",IF(COUNTIFS(Tasks_TaskID,A343,Tasks_Tier,D343,Tasks_Review,"as-needed")&gt;0,"Bookable (re-evaluate if regulated as-needed line selected)","Bookable"))</f>
        <v>Bookable</v>
      </c>
    </row>
    <row r="344" customFormat="false" ht="17.15" hidden="false" customHeight="false" outlineLevel="0" collapsed="false">
      <c r="A344" s="2" t="s">
        <v>1439</v>
      </c>
      <c r="B344" s="2" t="s">
        <v>677</v>
      </c>
      <c r="C344" s="2" t="s">
        <v>1440</v>
      </c>
      <c r="D344" s="2" t="s">
        <v>1049</v>
      </c>
      <c r="E344" s="2" t="s">
        <v>1897</v>
      </c>
      <c r="F344" s="3" t="n">
        <f aca="false">INDEX(Sum_Base,MATCH(A344,Sum_BaseTasks,0),MATCH(D344,Sum_BaseTiers,0))</f>
        <v>37</v>
      </c>
      <c r="G344" s="2" t="str">
        <f aca="false">IF(ISNUMBER(MATCH(A344&amp;"|"&amp;D344,LR_Key,0)),A344&amp;"|"&amp;D344,A344&amp;"|All")</f>
        <v>FIXX-HND-002|All</v>
      </c>
      <c r="H344" s="3" t="n">
        <f aca="false">IFERROR(INDEX(LR_TypLabor,MATCH(G344,LR_Key,0)),"")</f>
        <v>550</v>
      </c>
      <c r="I344" s="12" t="n">
        <f aca="false">INDEX(Urg_Mult,MATCH(E344,Urg_Levels,0))</f>
        <v>1.3</v>
      </c>
      <c r="J344" s="3" t="n">
        <f aca="false">IF(ISNUMBER(H344),MAX(H344,IFERROR(INDEX(MW_Floor,MATCH(G344,MW_Key,0)),0))*I344,"")</f>
        <v>715</v>
      </c>
      <c r="K344" s="3" t="n">
        <f aca="false">IF(ISNUMBER(J344),F344+J344,"")</f>
        <v>752</v>
      </c>
      <c r="L344" s="3" t="n">
        <f aca="false">IF(ISNUMBER(H344),MAX(H344,IFERROR(INDEX(MW_Floor,MATCH(G344,MW_Key,0)),0))*I344,"")</f>
        <v>715</v>
      </c>
      <c r="M344" s="2" t="str">
        <f aca="false">IFERROR(INDEX(LR_Flag,MATCH(G344,LR_Key,0)),"")</f>
        <v>none</v>
      </c>
      <c r="N344" s="2" t="str">
        <f aca="false">IFERROR(INDEX(MW_Check,MATCH(G344,MW_Key,0)),"")</f>
        <v>OK</v>
      </c>
      <c r="O344" s="0" t="str">
        <f aca="false">IF(NOT(ISNUMBER(H344)),"LABOR QUOTE NEEDED – total incomplete",IF(N344="BELOW FLOOR","CHECK: typical labor below wage floor – payout and customer labor raised to floor",IF(M344&lt;&gt;"none","Labor rate flagged: "&amp;M344,"OK")))</f>
        <v>OK</v>
      </c>
      <c r="P344" s="0" t="s">
        <v>1442</v>
      </c>
      <c r="Q344" s="8" t="s">
        <v>1443</v>
      </c>
      <c r="R344" s="2" t="str">
        <f aca="false">IF(OR(M344="regulated",COUNTIFS(Tasks_TaskID,A344,Tasks_Tier,D344,Tasks_Review,"base")&gt;0),"PENDING REVIEW – priced, not bookable until human approval",IF(COUNTIFS(Tasks_TaskID,A344,Tasks_Tier,D344,Tasks_Review,"as-needed")&gt;0,"Bookable (re-evaluate if regulated as-needed line selected)","Bookable"))</f>
        <v>Bookable</v>
      </c>
    </row>
    <row r="345" customFormat="false" ht="17.15" hidden="false" customHeight="false" outlineLevel="0" collapsed="false">
      <c r="A345" s="2" t="s">
        <v>1439</v>
      </c>
      <c r="B345" s="2" t="s">
        <v>677</v>
      </c>
      <c r="C345" s="2" t="s">
        <v>1440</v>
      </c>
      <c r="D345" s="2" t="s">
        <v>1049</v>
      </c>
      <c r="E345" s="2" t="s">
        <v>1898</v>
      </c>
      <c r="F345" s="3" t="n">
        <f aca="false">INDEX(Sum_Base,MATCH(A345,Sum_BaseTasks,0),MATCH(D345,Sum_BaseTiers,0))</f>
        <v>37</v>
      </c>
      <c r="G345" s="2" t="str">
        <f aca="false">IF(ISNUMBER(MATCH(A345&amp;"|"&amp;D345,LR_Key,0)),A345&amp;"|"&amp;D345,A345&amp;"|All")</f>
        <v>FIXX-HND-002|All</v>
      </c>
      <c r="H345" s="3" t="n">
        <f aca="false">IFERROR(INDEX(LR_TypLabor,MATCH(G345,LR_Key,0)),"")</f>
        <v>550</v>
      </c>
      <c r="I345" s="12" t="n">
        <f aca="false">INDEX(Urg_Mult,MATCH(E345,Urg_Levels,0))</f>
        <v>1.5</v>
      </c>
      <c r="J345" s="3" t="n">
        <f aca="false">IF(ISNUMBER(H345),MAX(H345,IFERROR(INDEX(MW_Floor,MATCH(G345,MW_Key,0)),0))*I345,"")</f>
        <v>825</v>
      </c>
      <c r="K345" s="3" t="n">
        <f aca="false">IF(ISNUMBER(J345),F345+J345,"")</f>
        <v>862</v>
      </c>
      <c r="L345" s="3" t="n">
        <f aca="false">IF(ISNUMBER(H345),MAX(H345,IFERROR(INDEX(MW_Floor,MATCH(G345,MW_Key,0)),0))*I345,"")</f>
        <v>825</v>
      </c>
      <c r="M345" s="2" t="str">
        <f aca="false">IFERROR(INDEX(LR_Flag,MATCH(G345,LR_Key,0)),"")</f>
        <v>none</v>
      </c>
      <c r="N345" s="2" t="str">
        <f aca="false">IFERROR(INDEX(MW_Check,MATCH(G345,MW_Key,0)),"")</f>
        <v>OK</v>
      </c>
      <c r="O345" s="0" t="str">
        <f aca="false">IF(NOT(ISNUMBER(H345)),"LABOR QUOTE NEEDED – total incomplete",IF(N345="BELOW FLOOR","CHECK: typical labor below wage floor – payout and customer labor raised to floor",IF(M345&lt;&gt;"none","Labor rate flagged: "&amp;M345,"OK")))</f>
        <v>OK</v>
      </c>
      <c r="P345" s="0" t="s">
        <v>1442</v>
      </c>
      <c r="Q345" s="8" t="s">
        <v>1443</v>
      </c>
      <c r="R345" s="2" t="str">
        <f aca="false">IF(OR(M345="regulated",COUNTIFS(Tasks_TaskID,A345,Tasks_Tier,D345,Tasks_Review,"base")&gt;0),"PENDING REVIEW – priced, not bookable until human approval",IF(COUNTIFS(Tasks_TaskID,A345,Tasks_Tier,D345,Tasks_Review,"as-needed")&gt;0,"Bookable (re-evaluate if regulated as-needed line selected)","Bookable"))</f>
        <v>Bookable</v>
      </c>
    </row>
    <row r="346" customFormat="false" ht="17.15" hidden="false" customHeight="false" outlineLevel="0" collapsed="false">
      <c r="A346" s="2" t="s">
        <v>1439</v>
      </c>
      <c r="B346" s="2" t="s">
        <v>677</v>
      </c>
      <c r="C346" s="2" t="s">
        <v>1440</v>
      </c>
      <c r="D346" s="2" t="s">
        <v>1051</v>
      </c>
      <c r="E346" s="2" t="s">
        <v>1895</v>
      </c>
      <c r="F346" s="3" t="n">
        <f aca="false">INDEX(Sum_Base,MATCH(A346,Sum_BaseTasks,0),MATCH(D346,Sum_BaseTiers,0))</f>
        <v>37</v>
      </c>
      <c r="G346" s="2" t="str">
        <f aca="false">IF(ISNUMBER(MATCH(A346&amp;"|"&amp;D346,LR_Key,0)),A346&amp;"|"&amp;D346,A346&amp;"|All")</f>
        <v>FIXX-HND-002|All</v>
      </c>
      <c r="H346" s="3" t="n">
        <f aca="false">IFERROR(INDEX(LR_TypLabor,MATCH(G346,LR_Key,0)),"")</f>
        <v>550</v>
      </c>
      <c r="I346" s="12" t="n">
        <f aca="false">INDEX(Urg_Mult,MATCH(E346,Urg_Levels,0))</f>
        <v>1</v>
      </c>
      <c r="J346" s="3" t="n">
        <f aca="false">IF(ISNUMBER(H346),MAX(H346,IFERROR(INDEX(MW_Floor,MATCH(G346,MW_Key,0)),0))*I346,"")</f>
        <v>550</v>
      </c>
      <c r="K346" s="3" t="n">
        <f aca="false">IF(ISNUMBER(J346),F346+J346,"")</f>
        <v>587</v>
      </c>
      <c r="L346" s="3" t="n">
        <f aca="false">IF(ISNUMBER(H346),MAX(H346,IFERROR(INDEX(MW_Floor,MATCH(G346,MW_Key,0)),0))*I346,"")</f>
        <v>550</v>
      </c>
      <c r="M346" s="2" t="str">
        <f aca="false">IFERROR(INDEX(LR_Flag,MATCH(G346,LR_Key,0)),"")</f>
        <v>none</v>
      </c>
      <c r="N346" s="2" t="str">
        <f aca="false">IFERROR(INDEX(MW_Check,MATCH(G346,MW_Key,0)),"")</f>
        <v>OK</v>
      </c>
      <c r="O346" s="0" t="str">
        <f aca="false">IF(NOT(ISNUMBER(H346)),"LABOR QUOTE NEEDED – total incomplete",IF(N346="BELOW FLOOR","CHECK: typical labor below wage floor – payout and customer labor raised to floor",IF(M346&lt;&gt;"none","Labor rate flagged: "&amp;M346,"OK")))</f>
        <v>OK</v>
      </c>
      <c r="P346" s="0" t="s">
        <v>1442</v>
      </c>
      <c r="Q346" s="8" t="s">
        <v>1443</v>
      </c>
      <c r="R346" s="2" t="str">
        <f aca="false">IF(OR(M346="regulated",COUNTIFS(Tasks_TaskID,A346,Tasks_Tier,D346,Tasks_Review,"base")&gt;0),"PENDING REVIEW – priced, not bookable until human approval",IF(COUNTIFS(Tasks_TaskID,A346,Tasks_Tier,D346,Tasks_Review,"as-needed")&gt;0,"Bookable (re-evaluate if regulated as-needed line selected)","Bookable"))</f>
        <v>Bookable</v>
      </c>
    </row>
    <row r="347" customFormat="false" ht="17.15" hidden="false" customHeight="false" outlineLevel="0" collapsed="false">
      <c r="A347" s="2" t="s">
        <v>1439</v>
      </c>
      <c r="B347" s="2" t="s">
        <v>677</v>
      </c>
      <c r="C347" s="2" t="s">
        <v>1440</v>
      </c>
      <c r="D347" s="2" t="s">
        <v>1051</v>
      </c>
      <c r="E347" s="2" t="s">
        <v>1896</v>
      </c>
      <c r="F347" s="3" t="n">
        <f aca="false">INDEX(Sum_Base,MATCH(A347,Sum_BaseTasks,0),MATCH(D347,Sum_BaseTiers,0))</f>
        <v>37</v>
      </c>
      <c r="G347" s="2" t="str">
        <f aca="false">IF(ISNUMBER(MATCH(A347&amp;"|"&amp;D347,LR_Key,0)),A347&amp;"|"&amp;D347,A347&amp;"|All")</f>
        <v>FIXX-HND-002|All</v>
      </c>
      <c r="H347" s="3" t="n">
        <f aca="false">IFERROR(INDEX(LR_TypLabor,MATCH(G347,LR_Key,0)),"")</f>
        <v>550</v>
      </c>
      <c r="I347" s="12" t="n">
        <f aca="false">INDEX(Urg_Mult,MATCH(E347,Urg_Levels,0))</f>
        <v>1.15</v>
      </c>
      <c r="J347" s="3" t="n">
        <f aca="false">IF(ISNUMBER(H347),MAX(H347,IFERROR(INDEX(MW_Floor,MATCH(G347,MW_Key,0)),0))*I347,"")</f>
        <v>632.5</v>
      </c>
      <c r="K347" s="3" t="n">
        <f aca="false">IF(ISNUMBER(J347),F347+J347,"")</f>
        <v>669.5</v>
      </c>
      <c r="L347" s="3" t="n">
        <f aca="false">IF(ISNUMBER(H347),MAX(H347,IFERROR(INDEX(MW_Floor,MATCH(G347,MW_Key,0)),0))*I347,"")</f>
        <v>632.5</v>
      </c>
      <c r="M347" s="2" t="str">
        <f aca="false">IFERROR(INDEX(LR_Flag,MATCH(G347,LR_Key,0)),"")</f>
        <v>none</v>
      </c>
      <c r="N347" s="2" t="str">
        <f aca="false">IFERROR(INDEX(MW_Check,MATCH(G347,MW_Key,0)),"")</f>
        <v>OK</v>
      </c>
      <c r="O347" s="0" t="str">
        <f aca="false">IF(NOT(ISNUMBER(H347)),"LABOR QUOTE NEEDED – total incomplete",IF(N347="BELOW FLOOR","CHECK: typical labor below wage floor – payout and customer labor raised to floor",IF(M347&lt;&gt;"none","Labor rate flagged: "&amp;M347,"OK")))</f>
        <v>OK</v>
      </c>
      <c r="P347" s="0" t="s">
        <v>1442</v>
      </c>
      <c r="Q347" s="8" t="s">
        <v>1443</v>
      </c>
      <c r="R347" s="2" t="str">
        <f aca="false">IF(OR(M347="regulated",COUNTIFS(Tasks_TaskID,A347,Tasks_Tier,D347,Tasks_Review,"base")&gt;0),"PENDING REVIEW – priced, not bookable until human approval",IF(COUNTIFS(Tasks_TaskID,A347,Tasks_Tier,D347,Tasks_Review,"as-needed")&gt;0,"Bookable (re-evaluate if regulated as-needed line selected)","Bookable"))</f>
        <v>Bookable</v>
      </c>
    </row>
    <row r="348" customFormat="false" ht="17.15" hidden="false" customHeight="false" outlineLevel="0" collapsed="false">
      <c r="A348" s="2" t="s">
        <v>1439</v>
      </c>
      <c r="B348" s="2" t="s">
        <v>677</v>
      </c>
      <c r="C348" s="2" t="s">
        <v>1440</v>
      </c>
      <c r="D348" s="2" t="s">
        <v>1051</v>
      </c>
      <c r="E348" s="2" t="s">
        <v>1897</v>
      </c>
      <c r="F348" s="3" t="n">
        <f aca="false">INDEX(Sum_Base,MATCH(A348,Sum_BaseTasks,0),MATCH(D348,Sum_BaseTiers,0))</f>
        <v>37</v>
      </c>
      <c r="G348" s="2" t="str">
        <f aca="false">IF(ISNUMBER(MATCH(A348&amp;"|"&amp;D348,LR_Key,0)),A348&amp;"|"&amp;D348,A348&amp;"|All")</f>
        <v>FIXX-HND-002|All</v>
      </c>
      <c r="H348" s="3" t="n">
        <f aca="false">IFERROR(INDEX(LR_TypLabor,MATCH(G348,LR_Key,0)),"")</f>
        <v>550</v>
      </c>
      <c r="I348" s="12" t="n">
        <f aca="false">INDEX(Urg_Mult,MATCH(E348,Urg_Levels,0))</f>
        <v>1.3</v>
      </c>
      <c r="J348" s="3" t="n">
        <f aca="false">IF(ISNUMBER(H348),MAX(H348,IFERROR(INDEX(MW_Floor,MATCH(G348,MW_Key,0)),0))*I348,"")</f>
        <v>715</v>
      </c>
      <c r="K348" s="3" t="n">
        <f aca="false">IF(ISNUMBER(J348),F348+J348,"")</f>
        <v>752</v>
      </c>
      <c r="L348" s="3" t="n">
        <f aca="false">IF(ISNUMBER(H348),MAX(H348,IFERROR(INDEX(MW_Floor,MATCH(G348,MW_Key,0)),0))*I348,"")</f>
        <v>715</v>
      </c>
      <c r="M348" s="2" t="str">
        <f aca="false">IFERROR(INDEX(LR_Flag,MATCH(G348,LR_Key,0)),"")</f>
        <v>none</v>
      </c>
      <c r="N348" s="2" t="str">
        <f aca="false">IFERROR(INDEX(MW_Check,MATCH(G348,MW_Key,0)),"")</f>
        <v>OK</v>
      </c>
      <c r="O348" s="0" t="str">
        <f aca="false">IF(NOT(ISNUMBER(H348)),"LABOR QUOTE NEEDED – total incomplete",IF(N348="BELOW FLOOR","CHECK: typical labor below wage floor – payout and customer labor raised to floor",IF(M348&lt;&gt;"none","Labor rate flagged: "&amp;M348,"OK")))</f>
        <v>OK</v>
      </c>
      <c r="P348" s="0" t="s">
        <v>1442</v>
      </c>
      <c r="Q348" s="8" t="s">
        <v>1443</v>
      </c>
      <c r="R348" s="2" t="str">
        <f aca="false">IF(OR(M348="regulated",COUNTIFS(Tasks_TaskID,A348,Tasks_Tier,D348,Tasks_Review,"base")&gt;0),"PENDING REVIEW – priced, not bookable until human approval",IF(COUNTIFS(Tasks_TaskID,A348,Tasks_Tier,D348,Tasks_Review,"as-needed")&gt;0,"Bookable (re-evaluate if regulated as-needed line selected)","Bookable"))</f>
        <v>Bookable</v>
      </c>
    </row>
    <row r="349" customFormat="false" ht="17.15" hidden="false" customHeight="false" outlineLevel="0" collapsed="false">
      <c r="A349" s="2" t="s">
        <v>1439</v>
      </c>
      <c r="B349" s="2" t="s">
        <v>677</v>
      </c>
      <c r="C349" s="2" t="s">
        <v>1440</v>
      </c>
      <c r="D349" s="2" t="s">
        <v>1051</v>
      </c>
      <c r="E349" s="2" t="s">
        <v>1898</v>
      </c>
      <c r="F349" s="3" t="n">
        <f aca="false">INDEX(Sum_Base,MATCH(A349,Sum_BaseTasks,0),MATCH(D349,Sum_BaseTiers,0))</f>
        <v>37</v>
      </c>
      <c r="G349" s="2" t="str">
        <f aca="false">IF(ISNUMBER(MATCH(A349&amp;"|"&amp;D349,LR_Key,0)),A349&amp;"|"&amp;D349,A349&amp;"|All")</f>
        <v>FIXX-HND-002|All</v>
      </c>
      <c r="H349" s="3" t="n">
        <f aca="false">IFERROR(INDEX(LR_TypLabor,MATCH(G349,LR_Key,0)),"")</f>
        <v>550</v>
      </c>
      <c r="I349" s="12" t="n">
        <f aca="false">INDEX(Urg_Mult,MATCH(E349,Urg_Levels,0))</f>
        <v>1.5</v>
      </c>
      <c r="J349" s="3" t="n">
        <f aca="false">IF(ISNUMBER(H349),MAX(H349,IFERROR(INDEX(MW_Floor,MATCH(G349,MW_Key,0)),0))*I349,"")</f>
        <v>825</v>
      </c>
      <c r="K349" s="3" t="n">
        <f aca="false">IF(ISNUMBER(J349),F349+J349,"")</f>
        <v>862</v>
      </c>
      <c r="L349" s="3" t="n">
        <f aca="false">IF(ISNUMBER(H349),MAX(H349,IFERROR(INDEX(MW_Floor,MATCH(G349,MW_Key,0)),0))*I349,"")</f>
        <v>825</v>
      </c>
      <c r="M349" s="2" t="str">
        <f aca="false">IFERROR(INDEX(LR_Flag,MATCH(G349,LR_Key,0)),"")</f>
        <v>none</v>
      </c>
      <c r="N349" s="2" t="str">
        <f aca="false">IFERROR(INDEX(MW_Check,MATCH(G349,MW_Key,0)),"")</f>
        <v>OK</v>
      </c>
      <c r="O349" s="0" t="str">
        <f aca="false">IF(NOT(ISNUMBER(H349)),"LABOR QUOTE NEEDED – total incomplete",IF(N349="BELOW FLOOR","CHECK: typical labor below wage floor – payout and customer labor raised to floor",IF(M349&lt;&gt;"none","Labor rate flagged: "&amp;M349,"OK")))</f>
        <v>OK</v>
      </c>
      <c r="P349" s="0" t="s">
        <v>1442</v>
      </c>
      <c r="Q349" s="8" t="s">
        <v>1443</v>
      </c>
      <c r="R349" s="2" t="str">
        <f aca="false">IF(OR(M349="regulated",COUNTIFS(Tasks_TaskID,A349,Tasks_Tier,D349,Tasks_Review,"base")&gt;0),"PENDING REVIEW – priced, not bookable until human approval",IF(COUNTIFS(Tasks_TaskID,A349,Tasks_Tier,D349,Tasks_Review,"as-needed")&gt;0,"Bookable (re-evaluate if regulated as-needed line selected)","Bookable"))</f>
        <v>Bookable</v>
      </c>
    </row>
    <row r="350" customFormat="false" ht="17.15" hidden="false" customHeight="false" outlineLevel="0" collapsed="false">
      <c r="A350" s="2" t="s">
        <v>1454</v>
      </c>
      <c r="B350" s="2" t="s">
        <v>699</v>
      </c>
      <c r="C350" s="2" t="s">
        <v>1455</v>
      </c>
      <c r="D350" s="2" t="s">
        <v>1042</v>
      </c>
      <c r="E350" s="2" t="s">
        <v>1895</v>
      </c>
      <c r="F350" s="3" t="n">
        <f aca="false">INDEX(Sum_Base,MATCH(A350,Sum_BaseTasks,0),MATCH(D350,Sum_BaseTiers,0))</f>
        <v>179</v>
      </c>
      <c r="G350" s="2" t="str">
        <f aca="false">IF(ISNUMBER(MATCH(A350&amp;"|"&amp;D350,LR_Key,0)),A350&amp;"|"&amp;D350,A350&amp;"|All")</f>
        <v>FIXX-LCK-001|All</v>
      </c>
      <c r="H350" s="3" t="n">
        <f aca="false">IFERROR(INDEX(LR_TypLabor,MATCH(G350,LR_Key,0)),"")</f>
        <v>550</v>
      </c>
      <c r="I350" s="12" t="n">
        <f aca="false">INDEX(Urg_Mult,MATCH(E350,Urg_Levels,0))</f>
        <v>1</v>
      </c>
      <c r="J350" s="3" t="n">
        <f aca="false">IF(ISNUMBER(H350),MAX(H350,IFERROR(INDEX(MW_Floor,MATCH(G350,MW_Key,0)),0))*I350,"")</f>
        <v>550</v>
      </c>
      <c r="K350" s="3" t="n">
        <f aca="false">IF(ISNUMBER(J350),F350+J350,"")</f>
        <v>729</v>
      </c>
      <c r="L350" s="3" t="n">
        <f aca="false">IF(ISNUMBER(H350),MAX(H350,IFERROR(INDEX(MW_Floor,MATCH(G350,MW_Key,0)),0))*I350,"")</f>
        <v>550</v>
      </c>
      <c r="M350" s="2" t="str">
        <f aca="false">IFERROR(INDEX(LR_Flag,MATCH(G350,LR_Key,0)),"")</f>
        <v>none</v>
      </c>
      <c r="N350" s="2" t="str">
        <f aca="false">IFERROR(INDEX(MW_Check,MATCH(G350,MW_Key,0)),"")</f>
        <v>OK</v>
      </c>
      <c r="O350" s="0" t="str">
        <f aca="false">IF(NOT(ISNUMBER(H350)),"LABOR QUOTE NEEDED – total incomplete",IF(N350="BELOW FLOOR","CHECK: typical labor below wage floor – payout and customer labor raised to floor",IF(M350&lt;&gt;"none","Labor rate flagged: "&amp;M350,"OK")))</f>
        <v>OK</v>
      </c>
      <c r="P350" s="0" t="s">
        <v>1457</v>
      </c>
      <c r="Q350" s="8" t="s">
        <v>1458</v>
      </c>
      <c r="R350" s="2" t="str">
        <f aca="false">IF(OR(M350="regulated",COUNTIFS(Tasks_TaskID,A350,Tasks_Tier,D350,Tasks_Review,"base")&gt;0),"PENDING REVIEW – priced, not bookable until human approval",IF(COUNTIFS(Tasks_TaskID,A350,Tasks_Tier,D350,Tasks_Review,"as-needed")&gt;0,"Bookable (re-evaluate if regulated as-needed line selected)","Bookable"))</f>
        <v>Bookable</v>
      </c>
    </row>
    <row r="351" customFormat="false" ht="17.15" hidden="false" customHeight="false" outlineLevel="0" collapsed="false">
      <c r="A351" s="2" t="s">
        <v>1454</v>
      </c>
      <c r="B351" s="2" t="s">
        <v>699</v>
      </c>
      <c r="C351" s="2" t="s">
        <v>1455</v>
      </c>
      <c r="D351" s="2" t="s">
        <v>1042</v>
      </c>
      <c r="E351" s="2" t="s">
        <v>1896</v>
      </c>
      <c r="F351" s="3" t="n">
        <f aca="false">INDEX(Sum_Base,MATCH(A351,Sum_BaseTasks,0),MATCH(D351,Sum_BaseTiers,0))</f>
        <v>179</v>
      </c>
      <c r="G351" s="2" t="str">
        <f aca="false">IF(ISNUMBER(MATCH(A351&amp;"|"&amp;D351,LR_Key,0)),A351&amp;"|"&amp;D351,A351&amp;"|All")</f>
        <v>FIXX-LCK-001|All</v>
      </c>
      <c r="H351" s="3" t="n">
        <f aca="false">IFERROR(INDEX(LR_TypLabor,MATCH(G351,LR_Key,0)),"")</f>
        <v>550</v>
      </c>
      <c r="I351" s="12" t="n">
        <f aca="false">INDEX(Urg_Mult,MATCH(E351,Urg_Levels,0))</f>
        <v>1.15</v>
      </c>
      <c r="J351" s="3" t="n">
        <f aca="false">IF(ISNUMBER(H351),MAX(H351,IFERROR(INDEX(MW_Floor,MATCH(G351,MW_Key,0)),0))*I351,"")</f>
        <v>632.5</v>
      </c>
      <c r="K351" s="3" t="n">
        <f aca="false">IF(ISNUMBER(J351),F351+J351,"")</f>
        <v>811.5</v>
      </c>
      <c r="L351" s="3" t="n">
        <f aca="false">IF(ISNUMBER(H351),MAX(H351,IFERROR(INDEX(MW_Floor,MATCH(G351,MW_Key,0)),0))*I351,"")</f>
        <v>632.5</v>
      </c>
      <c r="M351" s="2" t="str">
        <f aca="false">IFERROR(INDEX(LR_Flag,MATCH(G351,LR_Key,0)),"")</f>
        <v>none</v>
      </c>
      <c r="N351" s="2" t="str">
        <f aca="false">IFERROR(INDEX(MW_Check,MATCH(G351,MW_Key,0)),"")</f>
        <v>OK</v>
      </c>
      <c r="O351" s="0" t="str">
        <f aca="false">IF(NOT(ISNUMBER(H351)),"LABOR QUOTE NEEDED – total incomplete",IF(N351="BELOW FLOOR","CHECK: typical labor below wage floor – payout and customer labor raised to floor",IF(M351&lt;&gt;"none","Labor rate flagged: "&amp;M351,"OK")))</f>
        <v>OK</v>
      </c>
      <c r="P351" s="0" t="s">
        <v>1457</v>
      </c>
      <c r="Q351" s="8" t="s">
        <v>1458</v>
      </c>
      <c r="R351" s="2" t="str">
        <f aca="false">IF(OR(M351="regulated",COUNTIFS(Tasks_TaskID,A351,Tasks_Tier,D351,Tasks_Review,"base")&gt;0),"PENDING REVIEW – priced, not bookable until human approval",IF(COUNTIFS(Tasks_TaskID,A351,Tasks_Tier,D351,Tasks_Review,"as-needed")&gt;0,"Bookable (re-evaluate if regulated as-needed line selected)","Bookable"))</f>
        <v>Bookable</v>
      </c>
    </row>
    <row r="352" customFormat="false" ht="17.15" hidden="false" customHeight="false" outlineLevel="0" collapsed="false">
      <c r="A352" s="2" t="s">
        <v>1454</v>
      </c>
      <c r="B352" s="2" t="s">
        <v>699</v>
      </c>
      <c r="C352" s="2" t="s">
        <v>1455</v>
      </c>
      <c r="D352" s="2" t="s">
        <v>1042</v>
      </c>
      <c r="E352" s="2" t="s">
        <v>1897</v>
      </c>
      <c r="F352" s="3" t="n">
        <f aca="false">INDEX(Sum_Base,MATCH(A352,Sum_BaseTasks,0),MATCH(D352,Sum_BaseTiers,0))</f>
        <v>179</v>
      </c>
      <c r="G352" s="2" t="str">
        <f aca="false">IF(ISNUMBER(MATCH(A352&amp;"|"&amp;D352,LR_Key,0)),A352&amp;"|"&amp;D352,A352&amp;"|All")</f>
        <v>FIXX-LCK-001|All</v>
      </c>
      <c r="H352" s="3" t="n">
        <f aca="false">IFERROR(INDEX(LR_TypLabor,MATCH(G352,LR_Key,0)),"")</f>
        <v>550</v>
      </c>
      <c r="I352" s="12" t="n">
        <f aca="false">INDEX(Urg_Mult,MATCH(E352,Urg_Levels,0))</f>
        <v>1.3</v>
      </c>
      <c r="J352" s="3" t="n">
        <f aca="false">IF(ISNUMBER(H352),MAX(H352,IFERROR(INDEX(MW_Floor,MATCH(G352,MW_Key,0)),0))*I352,"")</f>
        <v>715</v>
      </c>
      <c r="K352" s="3" t="n">
        <f aca="false">IF(ISNUMBER(J352),F352+J352,"")</f>
        <v>894</v>
      </c>
      <c r="L352" s="3" t="n">
        <f aca="false">IF(ISNUMBER(H352),MAX(H352,IFERROR(INDEX(MW_Floor,MATCH(G352,MW_Key,0)),0))*I352,"")</f>
        <v>715</v>
      </c>
      <c r="M352" s="2" t="str">
        <f aca="false">IFERROR(INDEX(LR_Flag,MATCH(G352,LR_Key,0)),"")</f>
        <v>none</v>
      </c>
      <c r="N352" s="2" t="str">
        <f aca="false">IFERROR(INDEX(MW_Check,MATCH(G352,MW_Key,0)),"")</f>
        <v>OK</v>
      </c>
      <c r="O352" s="0" t="str">
        <f aca="false">IF(NOT(ISNUMBER(H352)),"LABOR QUOTE NEEDED – total incomplete",IF(N352="BELOW FLOOR","CHECK: typical labor below wage floor – payout and customer labor raised to floor",IF(M352&lt;&gt;"none","Labor rate flagged: "&amp;M352,"OK")))</f>
        <v>OK</v>
      </c>
      <c r="P352" s="0" t="s">
        <v>1457</v>
      </c>
      <c r="Q352" s="8" t="s">
        <v>1458</v>
      </c>
      <c r="R352" s="2" t="str">
        <f aca="false">IF(OR(M352="regulated",COUNTIFS(Tasks_TaskID,A352,Tasks_Tier,D352,Tasks_Review,"base")&gt;0),"PENDING REVIEW – priced, not bookable until human approval",IF(COUNTIFS(Tasks_TaskID,A352,Tasks_Tier,D352,Tasks_Review,"as-needed")&gt;0,"Bookable (re-evaluate if regulated as-needed line selected)","Bookable"))</f>
        <v>Bookable</v>
      </c>
    </row>
    <row r="353" customFormat="false" ht="17.15" hidden="false" customHeight="false" outlineLevel="0" collapsed="false">
      <c r="A353" s="2" t="s">
        <v>1454</v>
      </c>
      <c r="B353" s="2" t="s">
        <v>699</v>
      </c>
      <c r="C353" s="2" t="s">
        <v>1455</v>
      </c>
      <c r="D353" s="2" t="s">
        <v>1042</v>
      </c>
      <c r="E353" s="2" t="s">
        <v>1898</v>
      </c>
      <c r="F353" s="3" t="n">
        <f aca="false">INDEX(Sum_Base,MATCH(A353,Sum_BaseTasks,0),MATCH(D353,Sum_BaseTiers,0))</f>
        <v>179</v>
      </c>
      <c r="G353" s="2" t="str">
        <f aca="false">IF(ISNUMBER(MATCH(A353&amp;"|"&amp;D353,LR_Key,0)),A353&amp;"|"&amp;D353,A353&amp;"|All")</f>
        <v>FIXX-LCK-001|All</v>
      </c>
      <c r="H353" s="3" t="n">
        <f aca="false">IFERROR(INDEX(LR_TypLabor,MATCH(G353,LR_Key,0)),"")</f>
        <v>550</v>
      </c>
      <c r="I353" s="12" t="n">
        <f aca="false">INDEX(Urg_Mult,MATCH(E353,Urg_Levels,0))</f>
        <v>1.5</v>
      </c>
      <c r="J353" s="3" t="n">
        <f aca="false">IF(ISNUMBER(H353),MAX(H353,IFERROR(INDEX(MW_Floor,MATCH(G353,MW_Key,0)),0))*I353,"")</f>
        <v>825</v>
      </c>
      <c r="K353" s="3" t="n">
        <f aca="false">IF(ISNUMBER(J353),F353+J353,"")</f>
        <v>1004</v>
      </c>
      <c r="L353" s="3" t="n">
        <f aca="false">IF(ISNUMBER(H353),MAX(H353,IFERROR(INDEX(MW_Floor,MATCH(G353,MW_Key,0)),0))*I353,"")</f>
        <v>825</v>
      </c>
      <c r="M353" s="2" t="str">
        <f aca="false">IFERROR(INDEX(LR_Flag,MATCH(G353,LR_Key,0)),"")</f>
        <v>none</v>
      </c>
      <c r="N353" s="2" t="str">
        <f aca="false">IFERROR(INDEX(MW_Check,MATCH(G353,MW_Key,0)),"")</f>
        <v>OK</v>
      </c>
      <c r="O353" s="0" t="str">
        <f aca="false">IF(NOT(ISNUMBER(H353)),"LABOR QUOTE NEEDED – total incomplete",IF(N353="BELOW FLOOR","CHECK: typical labor below wage floor – payout and customer labor raised to floor",IF(M353&lt;&gt;"none","Labor rate flagged: "&amp;M353,"OK")))</f>
        <v>OK</v>
      </c>
      <c r="P353" s="0" t="s">
        <v>1457</v>
      </c>
      <c r="Q353" s="8" t="s">
        <v>1458</v>
      </c>
      <c r="R353" s="2" t="str">
        <f aca="false">IF(OR(M353="regulated",COUNTIFS(Tasks_TaskID,A353,Tasks_Tier,D353,Tasks_Review,"base")&gt;0),"PENDING REVIEW – priced, not bookable until human approval",IF(COUNTIFS(Tasks_TaskID,A353,Tasks_Tier,D353,Tasks_Review,"as-needed")&gt;0,"Bookable (re-evaluate if regulated as-needed line selected)","Bookable"))</f>
        <v>Bookable</v>
      </c>
    </row>
    <row r="354" customFormat="false" ht="17.15" hidden="false" customHeight="false" outlineLevel="0" collapsed="false">
      <c r="A354" s="2" t="s">
        <v>1454</v>
      </c>
      <c r="B354" s="2" t="s">
        <v>699</v>
      </c>
      <c r="C354" s="2" t="s">
        <v>1455</v>
      </c>
      <c r="D354" s="2" t="s">
        <v>1049</v>
      </c>
      <c r="E354" s="2" t="s">
        <v>1895</v>
      </c>
      <c r="F354" s="3" t="n">
        <f aca="false">INDEX(Sum_Base,MATCH(A354,Sum_BaseTasks,0),MATCH(D354,Sum_BaseTiers,0))</f>
        <v>197</v>
      </c>
      <c r="G354" s="2" t="str">
        <f aca="false">IF(ISNUMBER(MATCH(A354&amp;"|"&amp;D354,LR_Key,0)),A354&amp;"|"&amp;D354,A354&amp;"|All")</f>
        <v>FIXX-LCK-001|All</v>
      </c>
      <c r="H354" s="3" t="n">
        <f aca="false">IFERROR(INDEX(LR_TypLabor,MATCH(G354,LR_Key,0)),"")</f>
        <v>550</v>
      </c>
      <c r="I354" s="12" t="n">
        <f aca="false">INDEX(Urg_Mult,MATCH(E354,Urg_Levels,0))</f>
        <v>1</v>
      </c>
      <c r="J354" s="3" t="n">
        <f aca="false">IF(ISNUMBER(H354),MAX(H354,IFERROR(INDEX(MW_Floor,MATCH(G354,MW_Key,0)),0))*I354,"")</f>
        <v>550</v>
      </c>
      <c r="K354" s="3" t="n">
        <f aca="false">IF(ISNUMBER(J354),F354+J354,"")</f>
        <v>747</v>
      </c>
      <c r="L354" s="3" t="n">
        <f aca="false">IF(ISNUMBER(H354),MAX(H354,IFERROR(INDEX(MW_Floor,MATCH(G354,MW_Key,0)),0))*I354,"")</f>
        <v>550</v>
      </c>
      <c r="M354" s="2" t="str">
        <f aca="false">IFERROR(INDEX(LR_Flag,MATCH(G354,LR_Key,0)),"")</f>
        <v>none</v>
      </c>
      <c r="N354" s="2" t="str">
        <f aca="false">IFERROR(INDEX(MW_Check,MATCH(G354,MW_Key,0)),"")</f>
        <v>OK</v>
      </c>
      <c r="O354" s="0" t="str">
        <f aca="false">IF(NOT(ISNUMBER(H354)),"LABOR QUOTE NEEDED – total incomplete",IF(N354="BELOW FLOOR","CHECK: typical labor below wage floor – payout and customer labor raised to floor",IF(M354&lt;&gt;"none","Labor rate flagged: "&amp;M354,"OK")))</f>
        <v>OK</v>
      </c>
      <c r="P354" s="0" t="s">
        <v>1457</v>
      </c>
      <c r="Q354" s="8" t="s">
        <v>1458</v>
      </c>
      <c r="R354" s="2" t="str">
        <f aca="false">IF(OR(M354="regulated",COUNTIFS(Tasks_TaskID,A354,Tasks_Tier,D354,Tasks_Review,"base")&gt;0),"PENDING REVIEW – priced, not bookable until human approval",IF(COUNTIFS(Tasks_TaskID,A354,Tasks_Tier,D354,Tasks_Review,"as-needed")&gt;0,"Bookable (re-evaluate if regulated as-needed line selected)","Bookable"))</f>
        <v>Bookable</v>
      </c>
    </row>
    <row r="355" customFormat="false" ht="17.15" hidden="false" customHeight="false" outlineLevel="0" collapsed="false">
      <c r="A355" s="2" t="s">
        <v>1454</v>
      </c>
      <c r="B355" s="2" t="s">
        <v>699</v>
      </c>
      <c r="C355" s="2" t="s">
        <v>1455</v>
      </c>
      <c r="D355" s="2" t="s">
        <v>1049</v>
      </c>
      <c r="E355" s="2" t="s">
        <v>1896</v>
      </c>
      <c r="F355" s="3" t="n">
        <f aca="false">INDEX(Sum_Base,MATCH(A355,Sum_BaseTasks,0),MATCH(D355,Sum_BaseTiers,0))</f>
        <v>197</v>
      </c>
      <c r="G355" s="2" t="str">
        <f aca="false">IF(ISNUMBER(MATCH(A355&amp;"|"&amp;D355,LR_Key,0)),A355&amp;"|"&amp;D355,A355&amp;"|All")</f>
        <v>FIXX-LCK-001|All</v>
      </c>
      <c r="H355" s="3" t="n">
        <f aca="false">IFERROR(INDEX(LR_TypLabor,MATCH(G355,LR_Key,0)),"")</f>
        <v>550</v>
      </c>
      <c r="I355" s="12" t="n">
        <f aca="false">INDEX(Urg_Mult,MATCH(E355,Urg_Levels,0))</f>
        <v>1.15</v>
      </c>
      <c r="J355" s="3" t="n">
        <f aca="false">IF(ISNUMBER(H355),MAX(H355,IFERROR(INDEX(MW_Floor,MATCH(G355,MW_Key,0)),0))*I355,"")</f>
        <v>632.5</v>
      </c>
      <c r="K355" s="3" t="n">
        <f aca="false">IF(ISNUMBER(J355),F355+J355,"")</f>
        <v>829.5</v>
      </c>
      <c r="L355" s="3" t="n">
        <f aca="false">IF(ISNUMBER(H355),MAX(H355,IFERROR(INDEX(MW_Floor,MATCH(G355,MW_Key,0)),0))*I355,"")</f>
        <v>632.5</v>
      </c>
      <c r="M355" s="2" t="str">
        <f aca="false">IFERROR(INDEX(LR_Flag,MATCH(G355,LR_Key,0)),"")</f>
        <v>none</v>
      </c>
      <c r="N355" s="2" t="str">
        <f aca="false">IFERROR(INDEX(MW_Check,MATCH(G355,MW_Key,0)),"")</f>
        <v>OK</v>
      </c>
      <c r="O355" s="0" t="str">
        <f aca="false">IF(NOT(ISNUMBER(H355)),"LABOR QUOTE NEEDED – total incomplete",IF(N355="BELOW FLOOR","CHECK: typical labor below wage floor – payout and customer labor raised to floor",IF(M355&lt;&gt;"none","Labor rate flagged: "&amp;M355,"OK")))</f>
        <v>OK</v>
      </c>
      <c r="P355" s="0" t="s">
        <v>1457</v>
      </c>
      <c r="Q355" s="8" t="s">
        <v>1458</v>
      </c>
      <c r="R355" s="2" t="str">
        <f aca="false">IF(OR(M355="regulated",COUNTIFS(Tasks_TaskID,A355,Tasks_Tier,D355,Tasks_Review,"base")&gt;0),"PENDING REVIEW – priced, not bookable until human approval",IF(COUNTIFS(Tasks_TaskID,A355,Tasks_Tier,D355,Tasks_Review,"as-needed")&gt;0,"Bookable (re-evaluate if regulated as-needed line selected)","Bookable"))</f>
        <v>Bookable</v>
      </c>
    </row>
    <row r="356" customFormat="false" ht="17.15" hidden="false" customHeight="false" outlineLevel="0" collapsed="false">
      <c r="A356" s="2" t="s">
        <v>1454</v>
      </c>
      <c r="B356" s="2" t="s">
        <v>699</v>
      </c>
      <c r="C356" s="2" t="s">
        <v>1455</v>
      </c>
      <c r="D356" s="2" t="s">
        <v>1049</v>
      </c>
      <c r="E356" s="2" t="s">
        <v>1897</v>
      </c>
      <c r="F356" s="3" t="n">
        <f aca="false">INDEX(Sum_Base,MATCH(A356,Sum_BaseTasks,0),MATCH(D356,Sum_BaseTiers,0))</f>
        <v>197</v>
      </c>
      <c r="G356" s="2" t="str">
        <f aca="false">IF(ISNUMBER(MATCH(A356&amp;"|"&amp;D356,LR_Key,0)),A356&amp;"|"&amp;D356,A356&amp;"|All")</f>
        <v>FIXX-LCK-001|All</v>
      </c>
      <c r="H356" s="3" t="n">
        <f aca="false">IFERROR(INDEX(LR_TypLabor,MATCH(G356,LR_Key,0)),"")</f>
        <v>550</v>
      </c>
      <c r="I356" s="12" t="n">
        <f aca="false">INDEX(Urg_Mult,MATCH(E356,Urg_Levels,0))</f>
        <v>1.3</v>
      </c>
      <c r="J356" s="3" t="n">
        <f aca="false">IF(ISNUMBER(H356),MAX(H356,IFERROR(INDEX(MW_Floor,MATCH(G356,MW_Key,0)),0))*I356,"")</f>
        <v>715</v>
      </c>
      <c r="K356" s="3" t="n">
        <f aca="false">IF(ISNUMBER(J356),F356+J356,"")</f>
        <v>912</v>
      </c>
      <c r="L356" s="3" t="n">
        <f aca="false">IF(ISNUMBER(H356),MAX(H356,IFERROR(INDEX(MW_Floor,MATCH(G356,MW_Key,0)),0))*I356,"")</f>
        <v>715</v>
      </c>
      <c r="M356" s="2" t="str">
        <f aca="false">IFERROR(INDEX(LR_Flag,MATCH(G356,LR_Key,0)),"")</f>
        <v>none</v>
      </c>
      <c r="N356" s="2" t="str">
        <f aca="false">IFERROR(INDEX(MW_Check,MATCH(G356,MW_Key,0)),"")</f>
        <v>OK</v>
      </c>
      <c r="O356" s="0" t="str">
        <f aca="false">IF(NOT(ISNUMBER(H356)),"LABOR QUOTE NEEDED – total incomplete",IF(N356="BELOW FLOOR","CHECK: typical labor below wage floor – payout and customer labor raised to floor",IF(M356&lt;&gt;"none","Labor rate flagged: "&amp;M356,"OK")))</f>
        <v>OK</v>
      </c>
      <c r="P356" s="0" t="s">
        <v>1457</v>
      </c>
      <c r="Q356" s="8" t="s">
        <v>1458</v>
      </c>
      <c r="R356" s="2" t="str">
        <f aca="false">IF(OR(M356="regulated",COUNTIFS(Tasks_TaskID,A356,Tasks_Tier,D356,Tasks_Review,"base")&gt;0),"PENDING REVIEW – priced, not bookable until human approval",IF(COUNTIFS(Tasks_TaskID,A356,Tasks_Tier,D356,Tasks_Review,"as-needed")&gt;0,"Bookable (re-evaluate if regulated as-needed line selected)","Bookable"))</f>
        <v>Bookable</v>
      </c>
    </row>
    <row r="357" customFormat="false" ht="17.15" hidden="false" customHeight="false" outlineLevel="0" collapsed="false">
      <c r="A357" s="2" t="s">
        <v>1454</v>
      </c>
      <c r="B357" s="2" t="s">
        <v>699</v>
      </c>
      <c r="C357" s="2" t="s">
        <v>1455</v>
      </c>
      <c r="D357" s="2" t="s">
        <v>1049</v>
      </c>
      <c r="E357" s="2" t="s">
        <v>1898</v>
      </c>
      <c r="F357" s="3" t="n">
        <f aca="false">INDEX(Sum_Base,MATCH(A357,Sum_BaseTasks,0),MATCH(D357,Sum_BaseTiers,0))</f>
        <v>197</v>
      </c>
      <c r="G357" s="2" t="str">
        <f aca="false">IF(ISNUMBER(MATCH(A357&amp;"|"&amp;D357,LR_Key,0)),A357&amp;"|"&amp;D357,A357&amp;"|All")</f>
        <v>FIXX-LCK-001|All</v>
      </c>
      <c r="H357" s="3" t="n">
        <f aca="false">IFERROR(INDEX(LR_TypLabor,MATCH(G357,LR_Key,0)),"")</f>
        <v>550</v>
      </c>
      <c r="I357" s="12" t="n">
        <f aca="false">INDEX(Urg_Mult,MATCH(E357,Urg_Levels,0))</f>
        <v>1.5</v>
      </c>
      <c r="J357" s="3" t="n">
        <f aca="false">IF(ISNUMBER(H357),MAX(H357,IFERROR(INDEX(MW_Floor,MATCH(G357,MW_Key,0)),0))*I357,"")</f>
        <v>825</v>
      </c>
      <c r="K357" s="3" t="n">
        <f aca="false">IF(ISNUMBER(J357),F357+J357,"")</f>
        <v>1022</v>
      </c>
      <c r="L357" s="3" t="n">
        <f aca="false">IF(ISNUMBER(H357),MAX(H357,IFERROR(INDEX(MW_Floor,MATCH(G357,MW_Key,0)),0))*I357,"")</f>
        <v>825</v>
      </c>
      <c r="M357" s="2" t="str">
        <f aca="false">IFERROR(INDEX(LR_Flag,MATCH(G357,LR_Key,0)),"")</f>
        <v>none</v>
      </c>
      <c r="N357" s="2" t="str">
        <f aca="false">IFERROR(INDEX(MW_Check,MATCH(G357,MW_Key,0)),"")</f>
        <v>OK</v>
      </c>
      <c r="O357" s="0" t="str">
        <f aca="false">IF(NOT(ISNUMBER(H357)),"LABOR QUOTE NEEDED – total incomplete",IF(N357="BELOW FLOOR","CHECK: typical labor below wage floor – payout and customer labor raised to floor",IF(M357&lt;&gt;"none","Labor rate flagged: "&amp;M357,"OK")))</f>
        <v>OK</v>
      </c>
      <c r="P357" s="0" t="s">
        <v>1457</v>
      </c>
      <c r="Q357" s="8" t="s">
        <v>1458</v>
      </c>
      <c r="R357" s="2" t="str">
        <f aca="false">IF(OR(M357="regulated",COUNTIFS(Tasks_TaskID,A357,Tasks_Tier,D357,Tasks_Review,"base")&gt;0),"PENDING REVIEW – priced, not bookable until human approval",IF(COUNTIFS(Tasks_TaskID,A357,Tasks_Tier,D357,Tasks_Review,"as-needed")&gt;0,"Bookable (re-evaluate if regulated as-needed line selected)","Bookable"))</f>
        <v>Bookable</v>
      </c>
    </row>
    <row r="358" customFormat="false" ht="17.15" hidden="false" customHeight="false" outlineLevel="0" collapsed="false">
      <c r="A358" s="2" t="s">
        <v>1454</v>
      </c>
      <c r="B358" s="2" t="s">
        <v>699</v>
      </c>
      <c r="C358" s="2" t="s">
        <v>1455</v>
      </c>
      <c r="D358" s="2" t="s">
        <v>1051</v>
      </c>
      <c r="E358" s="2" t="s">
        <v>1895</v>
      </c>
      <c r="F358" s="3" t="n">
        <f aca="false">INDEX(Sum_Base,MATCH(A358,Sum_BaseTasks,0),MATCH(D358,Sum_BaseTiers,0))</f>
        <v>305</v>
      </c>
      <c r="G358" s="2" t="str">
        <f aca="false">IF(ISNUMBER(MATCH(A358&amp;"|"&amp;D358,LR_Key,0)),A358&amp;"|"&amp;D358,A358&amp;"|All")</f>
        <v>FIXX-LCK-001|All</v>
      </c>
      <c r="H358" s="3" t="n">
        <f aca="false">IFERROR(INDEX(LR_TypLabor,MATCH(G358,LR_Key,0)),"")</f>
        <v>550</v>
      </c>
      <c r="I358" s="12" t="n">
        <f aca="false">INDEX(Urg_Mult,MATCH(E358,Urg_Levels,0))</f>
        <v>1</v>
      </c>
      <c r="J358" s="3" t="n">
        <f aca="false">IF(ISNUMBER(H358),MAX(H358,IFERROR(INDEX(MW_Floor,MATCH(G358,MW_Key,0)),0))*I358,"")</f>
        <v>550</v>
      </c>
      <c r="K358" s="3" t="n">
        <f aca="false">IF(ISNUMBER(J358),F358+J358,"")</f>
        <v>855</v>
      </c>
      <c r="L358" s="3" t="n">
        <f aca="false">IF(ISNUMBER(H358),MAX(H358,IFERROR(INDEX(MW_Floor,MATCH(G358,MW_Key,0)),0))*I358,"")</f>
        <v>550</v>
      </c>
      <c r="M358" s="2" t="str">
        <f aca="false">IFERROR(INDEX(LR_Flag,MATCH(G358,LR_Key,0)),"")</f>
        <v>none</v>
      </c>
      <c r="N358" s="2" t="str">
        <f aca="false">IFERROR(INDEX(MW_Check,MATCH(G358,MW_Key,0)),"")</f>
        <v>OK</v>
      </c>
      <c r="O358" s="0" t="str">
        <f aca="false">IF(NOT(ISNUMBER(H358)),"LABOR QUOTE NEEDED – total incomplete",IF(N358="BELOW FLOOR","CHECK: typical labor below wage floor – payout and customer labor raised to floor",IF(M358&lt;&gt;"none","Labor rate flagged: "&amp;M358,"OK")))</f>
        <v>OK</v>
      </c>
      <c r="P358" s="0" t="s">
        <v>1457</v>
      </c>
      <c r="Q358" s="8" t="s">
        <v>1458</v>
      </c>
      <c r="R358" s="2" t="str">
        <f aca="false">IF(OR(M358="regulated",COUNTIFS(Tasks_TaskID,A358,Tasks_Tier,D358,Tasks_Review,"base")&gt;0),"PENDING REVIEW – priced, not bookable until human approval",IF(COUNTIFS(Tasks_TaskID,A358,Tasks_Tier,D358,Tasks_Review,"as-needed")&gt;0,"Bookable (re-evaluate if regulated as-needed line selected)","Bookable"))</f>
        <v>Bookable</v>
      </c>
    </row>
    <row r="359" customFormat="false" ht="17.15" hidden="false" customHeight="false" outlineLevel="0" collapsed="false">
      <c r="A359" s="2" t="s">
        <v>1454</v>
      </c>
      <c r="B359" s="2" t="s">
        <v>699</v>
      </c>
      <c r="C359" s="2" t="s">
        <v>1455</v>
      </c>
      <c r="D359" s="2" t="s">
        <v>1051</v>
      </c>
      <c r="E359" s="2" t="s">
        <v>1896</v>
      </c>
      <c r="F359" s="3" t="n">
        <f aca="false">INDEX(Sum_Base,MATCH(A359,Sum_BaseTasks,0),MATCH(D359,Sum_BaseTiers,0))</f>
        <v>305</v>
      </c>
      <c r="G359" s="2" t="str">
        <f aca="false">IF(ISNUMBER(MATCH(A359&amp;"|"&amp;D359,LR_Key,0)),A359&amp;"|"&amp;D359,A359&amp;"|All")</f>
        <v>FIXX-LCK-001|All</v>
      </c>
      <c r="H359" s="3" t="n">
        <f aca="false">IFERROR(INDEX(LR_TypLabor,MATCH(G359,LR_Key,0)),"")</f>
        <v>550</v>
      </c>
      <c r="I359" s="12" t="n">
        <f aca="false">INDEX(Urg_Mult,MATCH(E359,Urg_Levels,0))</f>
        <v>1.15</v>
      </c>
      <c r="J359" s="3" t="n">
        <f aca="false">IF(ISNUMBER(H359),MAX(H359,IFERROR(INDEX(MW_Floor,MATCH(G359,MW_Key,0)),0))*I359,"")</f>
        <v>632.5</v>
      </c>
      <c r="K359" s="3" t="n">
        <f aca="false">IF(ISNUMBER(J359),F359+J359,"")</f>
        <v>937.5</v>
      </c>
      <c r="L359" s="3" t="n">
        <f aca="false">IF(ISNUMBER(H359),MAX(H359,IFERROR(INDEX(MW_Floor,MATCH(G359,MW_Key,0)),0))*I359,"")</f>
        <v>632.5</v>
      </c>
      <c r="M359" s="2" t="str">
        <f aca="false">IFERROR(INDEX(LR_Flag,MATCH(G359,LR_Key,0)),"")</f>
        <v>none</v>
      </c>
      <c r="N359" s="2" t="str">
        <f aca="false">IFERROR(INDEX(MW_Check,MATCH(G359,MW_Key,0)),"")</f>
        <v>OK</v>
      </c>
      <c r="O359" s="0" t="str">
        <f aca="false">IF(NOT(ISNUMBER(H359)),"LABOR QUOTE NEEDED – total incomplete",IF(N359="BELOW FLOOR","CHECK: typical labor below wage floor – payout and customer labor raised to floor",IF(M359&lt;&gt;"none","Labor rate flagged: "&amp;M359,"OK")))</f>
        <v>OK</v>
      </c>
      <c r="P359" s="0" t="s">
        <v>1457</v>
      </c>
      <c r="Q359" s="8" t="s">
        <v>1458</v>
      </c>
      <c r="R359" s="2" t="str">
        <f aca="false">IF(OR(M359="regulated",COUNTIFS(Tasks_TaskID,A359,Tasks_Tier,D359,Tasks_Review,"base")&gt;0),"PENDING REVIEW – priced, not bookable until human approval",IF(COUNTIFS(Tasks_TaskID,A359,Tasks_Tier,D359,Tasks_Review,"as-needed")&gt;0,"Bookable (re-evaluate if regulated as-needed line selected)","Bookable"))</f>
        <v>Bookable</v>
      </c>
    </row>
    <row r="360" customFormat="false" ht="17.15" hidden="false" customHeight="false" outlineLevel="0" collapsed="false">
      <c r="A360" s="2" t="s">
        <v>1454</v>
      </c>
      <c r="B360" s="2" t="s">
        <v>699</v>
      </c>
      <c r="C360" s="2" t="s">
        <v>1455</v>
      </c>
      <c r="D360" s="2" t="s">
        <v>1051</v>
      </c>
      <c r="E360" s="2" t="s">
        <v>1897</v>
      </c>
      <c r="F360" s="3" t="n">
        <f aca="false">INDEX(Sum_Base,MATCH(A360,Sum_BaseTasks,0),MATCH(D360,Sum_BaseTiers,0))</f>
        <v>305</v>
      </c>
      <c r="G360" s="2" t="str">
        <f aca="false">IF(ISNUMBER(MATCH(A360&amp;"|"&amp;D360,LR_Key,0)),A360&amp;"|"&amp;D360,A360&amp;"|All")</f>
        <v>FIXX-LCK-001|All</v>
      </c>
      <c r="H360" s="3" t="n">
        <f aca="false">IFERROR(INDEX(LR_TypLabor,MATCH(G360,LR_Key,0)),"")</f>
        <v>550</v>
      </c>
      <c r="I360" s="12" t="n">
        <f aca="false">INDEX(Urg_Mult,MATCH(E360,Urg_Levels,0))</f>
        <v>1.3</v>
      </c>
      <c r="J360" s="3" t="n">
        <f aca="false">IF(ISNUMBER(H360),MAX(H360,IFERROR(INDEX(MW_Floor,MATCH(G360,MW_Key,0)),0))*I360,"")</f>
        <v>715</v>
      </c>
      <c r="K360" s="3" t="n">
        <f aca="false">IF(ISNUMBER(J360),F360+J360,"")</f>
        <v>1020</v>
      </c>
      <c r="L360" s="3" t="n">
        <f aca="false">IF(ISNUMBER(H360),MAX(H360,IFERROR(INDEX(MW_Floor,MATCH(G360,MW_Key,0)),0))*I360,"")</f>
        <v>715</v>
      </c>
      <c r="M360" s="2" t="str">
        <f aca="false">IFERROR(INDEX(LR_Flag,MATCH(G360,LR_Key,0)),"")</f>
        <v>none</v>
      </c>
      <c r="N360" s="2" t="str">
        <f aca="false">IFERROR(INDEX(MW_Check,MATCH(G360,MW_Key,0)),"")</f>
        <v>OK</v>
      </c>
      <c r="O360" s="0" t="str">
        <f aca="false">IF(NOT(ISNUMBER(H360)),"LABOR QUOTE NEEDED – total incomplete",IF(N360="BELOW FLOOR","CHECK: typical labor below wage floor – payout and customer labor raised to floor",IF(M360&lt;&gt;"none","Labor rate flagged: "&amp;M360,"OK")))</f>
        <v>OK</v>
      </c>
      <c r="P360" s="0" t="s">
        <v>1457</v>
      </c>
      <c r="Q360" s="8" t="s">
        <v>1458</v>
      </c>
      <c r="R360" s="2" t="str">
        <f aca="false">IF(OR(M360="regulated",COUNTIFS(Tasks_TaskID,A360,Tasks_Tier,D360,Tasks_Review,"base")&gt;0),"PENDING REVIEW – priced, not bookable until human approval",IF(COUNTIFS(Tasks_TaskID,A360,Tasks_Tier,D360,Tasks_Review,"as-needed")&gt;0,"Bookable (re-evaluate if regulated as-needed line selected)","Bookable"))</f>
        <v>Bookable</v>
      </c>
    </row>
    <row r="361" customFormat="false" ht="17.15" hidden="false" customHeight="false" outlineLevel="0" collapsed="false">
      <c r="A361" s="2" t="s">
        <v>1454</v>
      </c>
      <c r="B361" s="2" t="s">
        <v>699</v>
      </c>
      <c r="C361" s="2" t="s">
        <v>1455</v>
      </c>
      <c r="D361" s="2" t="s">
        <v>1051</v>
      </c>
      <c r="E361" s="2" t="s">
        <v>1898</v>
      </c>
      <c r="F361" s="3" t="n">
        <f aca="false">INDEX(Sum_Base,MATCH(A361,Sum_BaseTasks,0),MATCH(D361,Sum_BaseTiers,0))</f>
        <v>305</v>
      </c>
      <c r="G361" s="2" t="str">
        <f aca="false">IF(ISNUMBER(MATCH(A361&amp;"|"&amp;D361,LR_Key,0)),A361&amp;"|"&amp;D361,A361&amp;"|All")</f>
        <v>FIXX-LCK-001|All</v>
      </c>
      <c r="H361" s="3" t="n">
        <f aca="false">IFERROR(INDEX(LR_TypLabor,MATCH(G361,LR_Key,0)),"")</f>
        <v>550</v>
      </c>
      <c r="I361" s="12" t="n">
        <f aca="false">INDEX(Urg_Mult,MATCH(E361,Urg_Levels,0))</f>
        <v>1.5</v>
      </c>
      <c r="J361" s="3" t="n">
        <f aca="false">IF(ISNUMBER(H361),MAX(H361,IFERROR(INDEX(MW_Floor,MATCH(G361,MW_Key,0)),0))*I361,"")</f>
        <v>825</v>
      </c>
      <c r="K361" s="3" t="n">
        <f aca="false">IF(ISNUMBER(J361),F361+J361,"")</f>
        <v>1130</v>
      </c>
      <c r="L361" s="3" t="n">
        <f aca="false">IF(ISNUMBER(H361),MAX(H361,IFERROR(INDEX(MW_Floor,MATCH(G361,MW_Key,0)),0))*I361,"")</f>
        <v>825</v>
      </c>
      <c r="M361" s="2" t="str">
        <f aca="false">IFERROR(INDEX(LR_Flag,MATCH(G361,LR_Key,0)),"")</f>
        <v>none</v>
      </c>
      <c r="N361" s="2" t="str">
        <f aca="false">IFERROR(INDEX(MW_Check,MATCH(G361,MW_Key,0)),"")</f>
        <v>OK</v>
      </c>
      <c r="O361" s="0" t="str">
        <f aca="false">IF(NOT(ISNUMBER(H361)),"LABOR QUOTE NEEDED – total incomplete",IF(N361="BELOW FLOOR","CHECK: typical labor below wage floor – payout and customer labor raised to floor",IF(M361&lt;&gt;"none","Labor rate flagged: "&amp;M361,"OK")))</f>
        <v>OK</v>
      </c>
      <c r="P361" s="0" t="s">
        <v>1457</v>
      </c>
      <c r="Q361" s="8" t="s">
        <v>1458</v>
      </c>
      <c r="R361" s="2" t="str">
        <f aca="false">IF(OR(M361="regulated",COUNTIFS(Tasks_TaskID,A361,Tasks_Tier,D361,Tasks_Review,"base")&gt;0),"PENDING REVIEW – priced, not bookable until human approval",IF(COUNTIFS(Tasks_TaskID,A361,Tasks_Tier,D361,Tasks_Review,"as-needed")&gt;0,"Bookable (re-evaluate if regulated as-needed line selected)","Bookable"))</f>
        <v>Bookable</v>
      </c>
    </row>
    <row r="362" customFormat="false" ht="17.15" hidden="false" customHeight="false" outlineLevel="0" collapsed="false">
      <c r="A362" s="2" t="s">
        <v>1460</v>
      </c>
      <c r="B362" s="2" t="s">
        <v>699</v>
      </c>
      <c r="C362" s="2" t="s">
        <v>1461</v>
      </c>
      <c r="D362" s="2" t="s">
        <v>1042</v>
      </c>
      <c r="E362" s="2" t="s">
        <v>1895</v>
      </c>
      <c r="F362" s="3" t="n">
        <f aca="false">INDEX(Sum_Base,MATCH(A362,Sum_BaseTasks,0),MATCH(D362,Sum_BaseTiers,0))</f>
        <v>0</v>
      </c>
      <c r="G362" s="2" t="str">
        <f aca="false">IF(ISNUMBER(MATCH(A362&amp;"|"&amp;D362,LR_Key,0)),A362&amp;"|"&amp;D362,A362&amp;"|All")</f>
        <v>FIXX-LCK-002|All</v>
      </c>
      <c r="H362" s="3" t="n">
        <f aca="false">IFERROR(INDEX(LR_TypLabor,MATCH(G362,LR_Key,0)),"")</f>
        <v>450</v>
      </c>
      <c r="I362" s="12" t="n">
        <f aca="false">INDEX(Urg_Mult,MATCH(E362,Urg_Levels,0))</f>
        <v>1</v>
      </c>
      <c r="J362" s="3" t="n">
        <f aca="false">IF(ISNUMBER(H362),MAX(H362,IFERROR(INDEX(MW_Floor,MATCH(G362,MW_Key,0)),0))*I362,"")</f>
        <v>450</v>
      </c>
      <c r="K362" s="3" t="n">
        <f aca="false">IF(ISNUMBER(J362),F362+J362,"")</f>
        <v>450</v>
      </c>
      <c r="L362" s="3" t="n">
        <f aca="false">IF(ISNUMBER(H362),MAX(H362,IFERROR(INDEX(MW_Floor,MATCH(G362,MW_Key,0)),0))*I362,"")</f>
        <v>450</v>
      </c>
      <c r="M362" s="2" t="str">
        <f aca="false">IFERROR(INDEX(LR_Flag,MATCH(G362,LR_Key,0)),"")</f>
        <v>none</v>
      </c>
      <c r="N362" s="2" t="str">
        <f aca="false">IFERROR(INDEX(MW_Check,MATCH(G362,MW_Key,0)),"")</f>
        <v>OK</v>
      </c>
      <c r="O362" s="0" t="str">
        <f aca="false">IF(NOT(ISNUMBER(H362)),"LABOR QUOTE NEEDED – total incomplete",IF(N362="BELOW FLOOR","CHECK: typical labor below wage floor – payout and customer labor raised to floor",IF(M362&lt;&gt;"none","Labor rate flagged: "&amp;M362,"OK")))</f>
        <v>OK</v>
      </c>
      <c r="P362" s="0" t="s">
        <v>1463</v>
      </c>
      <c r="Q362" s="8" t="s">
        <v>1464</v>
      </c>
      <c r="R362" s="2" t="str">
        <f aca="false">IF(OR(M362="regulated",COUNTIFS(Tasks_TaskID,A362,Tasks_Tier,D362,Tasks_Review,"base")&gt;0),"PENDING REVIEW – priced, not bookable until human approval",IF(COUNTIFS(Tasks_TaskID,A362,Tasks_Tier,D362,Tasks_Review,"as-needed")&gt;0,"Bookable (re-evaluate if regulated as-needed line selected)","Bookable"))</f>
        <v>Bookable</v>
      </c>
    </row>
    <row r="363" customFormat="false" ht="17.15" hidden="false" customHeight="false" outlineLevel="0" collapsed="false">
      <c r="A363" s="2" t="s">
        <v>1460</v>
      </c>
      <c r="B363" s="2" t="s">
        <v>699</v>
      </c>
      <c r="C363" s="2" t="s">
        <v>1461</v>
      </c>
      <c r="D363" s="2" t="s">
        <v>1042</v>
      </c>
      <c r="E363" s="2" t="s">
        <v>1896</v>
      </c>
      <c r="F363" s="3" t="n">
        <f aca="false">INDEX(Sum_Base,MATCH(A363,Sum_BaseTasks,0),MATCH(D363,Sum_BaseTiers,0))</f>
        <v>0</v>
      </c>
      <c r="G363" s="2" t="str">
        <f aca="false">IF(ISNUMBER(MATCH(A363&amp;"|"&amp;D363,LR_Key,0)),A363&amp;"|"&amp;D363,A363&amp;"|All")</f>
        <v>FIXX-LCK-002|All</v>
      </c>
      <c r="H363" s="3" t="n">
        <f aca="false">IFERROR(INDEX(LR_TypLabor,MATCH(G363,LR_Key,0)),"")</f>
        <v>450</v>
      </c>
      <c r="I363" s="12" t="n">
        <f aca="false">INDEX(Urg_Mult,MATCH(E363,Urg_Levels,0))</f>
        <v>1.15</v>
      </c>
      <c r="J363" s="3" t="n">
        <f aca="false">IF(ISNUMBER(H363),MAX(H363,IFERROR(INDEX(MW_Floor,MATCH(G363,MW_Key,0)),0))*I363,"")</f>
        <v>517.5</v>
      </c>
      <c r="K363" s="3" t="n">
        <f aca="false">IF(ISNUMBER(J363),F363+J363,"")</f>
        <v>517.5</v>
      </c>
      <c r="L363" s="3" t="n">
        <f aca="false">IF(ISNUMBER(H363),MAX(H363,IFERROR(INDEX(MW_Floor,MATCH(G363,MW_Key,0)),0))*I363,"")</f>
        <v>517.5</v>
      </c>
      <c r="M363" s="2" t="str">
        <f aca="false">IFERROR(INDEX(LR_Flag,MATCH(G363,LR_Key,0)),"")</f>
        <v>none</v>
      </c>
      <c r="N363" s="2" t="str">
        <f aca="false">IFERROR(INDEX(MW_Check,MATCH(G363,MW_Key,0)),"")</f>
        <v>OK</v>
      </c>
      <c r="O363" s="0" t="str">
        <f aca="false">IF(NOT(ISNUMBER(H363)),"LABOR QUOTE NEEDED – total incomplete",IF(N363="BELOW FLOOR","CHECK: typical labor below wage floor – payout and customer labor raised to floor",IF(M363&lt;&gt;"none","Labor rate flagged: "&amp;M363,"OK")))</f>
        <v>OK</v>
      </c>
      <c r="P363" s="0" t="s">
        <v>1463</v>
      </c>
      <c r="Q363" s="8" t="s">
        <v>1464</v>
      </c>
      <c r="R363" s="2" t="str">
        <f aca="false">IF(OR(M363="regulated",COUNTIFS(Tasks_TaskID,A363,Tasks_Tier,D363,Tasks_Review,"base")&gt;0),"PENDING REVIEW – priced, not bookable until human approval",IF(COUNTIFS(Tasks_TaskID,A363,Tasks_Tier,D363,Tasks_Review,"as-needed")&gt;0,"Bookable (re-evaluate if regulated as-needed line selected)","Bookable"))</f>
        <v>Bookable</v>
      </c>
    </row>
    <row r="364" customFormat="false" ht="17.15" hidden="false" customHeight="false" outlineLevel="0" collapsed="false">
      <c r="A364" s="2" t="s">
        <v>1460</v>
      </c>
      <c r="B364" s="2" t="s">
        <v>699</v>
      </c>
      <c r="C364" s="2" t="s">
        <v>1461</v>
      </c>
      <c r="D364" s="2" t="s">
        <v>1042</v>
      </c>
      <c r="E364" s="2" t="s">
        <v>1897</v>
      </c>
      <c r="F364" s="3" t="n">
        <f aca="false">INDEX(Sum_Base,MATCH(A364,Sum_BaseTasks,0),MATCH(D364,Sum_BaseTiers,0))</f>
        <v>0</v>
      </c>
      <c r="G364" s="2" t="str">
        <f aca="false">IF(ISNUMBER(MATCH(A364&amp;"|"&amp;D364,LR_Key,0)),A364&amp;"|"&amp;D364,A364&amp;"|All")</f>
        <v>FIXX-LCK-002|All</v>
      </c>
      <c r="H364" s="3" t="n">
        <f aca="false">IFERROR(INDEX(LR_TypLabor,MATCH(G364,LR_Key,0)),"")</f>
        <v>450</v>
      </c>
      <c r="I364" s="12" t="n">
        <f aca="false">INDEX(Urg_Mult,MATCH(E364,Urg_Levels,0))</f>
        <v>1.3</v>
      </c>
      <c r="J364" s="3" t="n">
        <f aca="false">IF(ISNUMBER(H364),MAX(H364,IFERROR(INDEX(MW_Floor,MATCH(G364,MW_Key,0)),0))*I364,"")</f>
        <v>585</v>
      </c>
      <c r="K364" s="3" t="n">
        <f aca="false">IF(ISNUMBER(J364),F364+J364,"")</f>
        <v>585</v>
      </c>
      <c r="L364" s="3" t="n">
        <f aca="false">IF(ISNUMBER(H364),MAX(H364,IFERROR(INDEX(MW_Floor,MATCH(G364,MW_Key,0)),0))*I364,"")</f>
        <v>585</v>
      </c>
      <c r="M364" s="2" t="str">
        <f aca="false">IFERROR(INDEX(LR_Flag,MATCH(G364,LR_Key,0)),"")</f>
        <v>none</v>
      </c>
      <c r="N364" s="2" t="str">
        <f aca="false">IFERROR(INDEX(MW_Check,MATCH(G364,MW_Key,0)),"")</f>
        <v>OK</v>
      </c>
      <c r="O364" s="0" t="str">
        <f aca="false">IF(NOT(ISNUMBER(H364)),"LABOR QUOTE NEEDED – total incomplete",IF(N364="BELOW FLOOR","CHECK: typical labor below wage floor – payout and customer labor raised to floor",IF(M364&lt;&gt;"none","Labor rate flagged: "&amp;M364,"OK")))</f>
        <v>OK</v>
      </c>
      <c r="P364" s="0" t="s">
        <v>1463</v>
      </c>
      <c r="Q364" s="8" t="s">
        <v>1464</v>
      </c>
      <c r="R364" s="2" t="str">
        <f aca="false">IF(OR(M364="regulated",COUNTIFS(Tasks_TaskID,A364,Tasks_Tier,D364,Tasks_Review,"base")&gt;0),"PENDING REVIEW – priced, not bookable until human approval",IF(COUNTIFS(Tasks_TaskID,A364,Tasks_Tier,D364,Tasks_Review,"as-needed")&gt;0,"Bookable (re-evaluate if regulated as-needed line selected)","Bookable"))</f>
        <v>Bookable</v>
      </c>
    </row>
    <row r="365" customFormat="false" ht="17.15" hidden="false" customHeight="false" outlineLevel="0" collapsed="false">
      <c r="A365" s="2" t="s">
        <v>1460</v>
      </c>
      <c r="B365" s="2" t="s">
        <v>699</v>
      </c>
      <c r="C365" s="2" t="s">
        <v>1461</v>
      </c>
      <c r="D365" s="2" t="s">
        <v>1042</v>
      </c>
      <c r="E365" s="2" t="s">
        <v>1898</v>
      </c>
      <c r="F365" s="3" t="n">
        <f aca="false">INDEX(Sum_Base,MATCH(A365,Sum_BaseTasks,0),MATCH(D365,Sum_BaseTiers,0))</f>
        <v>0</v>
      </c>
      <c r="G365" s="2" t="str">
        <f aca="false">IF(ISNUMBER(MATCH(A365&amp;"|"&amp;D365,LR_Key,0)),A365&amp;"|"&amp;D365,A365&amp;"|All")</f>
        <v>FIXX-LCK-002|All</v>
      </c>
      <c r="H365" s="3" t="n">
        <f aca="false">IFERROR(INDEX(LR_TypLabor,MATCH(G365,LR_Key,0)),"")</f>
        <v>450</v>
      </c>
      <c r="I365" s="12" t="n">
        <f aca="false">INDEX(Urg_Mult,MATCH(E365,Urg_Levels,0))</f>
        <v>1.5</v>
      </c>
      <c r="J365" s="3" t="n">
        <f aca="false">IF(ISNUMBER(H365),MAX(H365,IFERROR(INDEX(MW_Floor,MATCH(G365,MW_Key,0)),0))*I365,"")</f>
        <v>675</v>
      </c>
      <c r="K365" s="3" t="n">
        <f aca="false">IF(ISNUMBER(J365),F365+J365,"")</f>
        <v>675</v>
      </c>
      <c r="L365" s="3" t="n">
        <f aca="false">IF(ISNUMBER(H365),MAX(H365,IFERROR(INDEX(MW_Floor,MATCH(G365,MW_Key,0)),0))*I365,"")</f>
        <v>675</v>
      </c>
      <c r="M365" s="2" t="str">
        <f aca="false">IFERROR(INDEX(LR_Flag,MATCH(G365,LR_Key,0)),"")</f>
        <v>none</v>
      </c>
      <c r="N365" s="2" t="str">
        <f aca="false">IFERROR(INDEX(MW_Check,MATCH(G365,MW_Key,0)),"")</f>
        <v>OK</v>
      </c>
      <c r="O365" s="0" t="str">
        <f aca="false">IF(NOT(ISNUMBER(H365)),"LABOR QUOTE NEEDED – total incomplete",IF(N365="BELOW FLOOR","CHECK: typical labor below wage floor – payout and customer labor raised to floor",IF(M365&lt;&gt;"none","Labor rate flagged: "&amp;M365,"OK")))</f>
        <v>OK</v>
      </c>
      <c r="P365" s="0" t="s">
        <v>1463</v>
      </c>
      <c r="Q365" s="8" t="s">
        <v>1464</v>
      </c>
      <c r="R365" s="2" t="str">
        <f aca="false">IF(OR(M365="regulated",COUNTIFS(Tasks_TaskID,A365,Tasks_Tier,D365,Tasks_Review,"base")&gt;0),"PENDING REVIEW – priced, not bookable until human approval",IF(COUNTIFS(Tasks_TaskID,A365,Tasks_Tier,D365,Tasks_Review,"as-needed")&gt;0,"Bookable (re-evaluate if regulated as-needed line selected)","Bookable"))</f>
        <v>Bookable</v>
      </c>
    </row>
    <row r="366" customFormat="false" ht="17.15" hidden="false" customHeight="false" outlineLevel="0" collapsed="false">
      <c r="A366" s="2" t="s">
        <v>1460</v>
      </c>
      <c r="B366" s="2" t="s">
        <v>699</v>
      </c>
      <c r="C366" s="2" t="s">
        <v>1461</v>
      </c>
      <c r="D366" s="2" t="s">
        <v>1049</v>
      </c>
      <c r="E366" s="2" t="s">
        <v>1895</v>
      </c>
      <c r="F366" s="3" t="n">
        <f aca="false">INDEX(Sum_Base,MATCH(A366,Sum_BaseTasks,0),MATCH(D366,Sum_BaseTiers,0))</f>
        <v>0</v>
      </c>
      <c r="G366" s="2" t="str">
        <f aca="false">IF(ISNUMBER(MATCH(A366&amp;"|"&amp;D366,LR_Key,0)),A366&amp;"|"&amp;D366,A366&amp;"|All")</f>
        <v>FIXX-LCK-002|All</v>
      </c>
      <c r="H366" s="3" t="n">
        <f aca="false">IFERROR(INDEX(LR_TypLabor,MATCH(G366,LR_Key,0)),"")</f>
        <v>450</v>
      </c>
      <c r="I366" s="12" t="n">
        <f aca="false">INDEX(Urg_Mult,MATCH(E366,Urg_Levels,0))</f>
        <v>1</v>
      </c>
      <c r="J366" s="3" t="n">
        <f aca="false">IF(ISNUMBER(H366),MAX(H366,IFERROR(INDEX(MW_Floor,MATCH(G366,MW_Key,0)),0))*I366,"")</f>
        <v>450</v>
      </c>
      <c r="K366" s="3" t="n">
        <f aca="false">IF(ISNUMBER(J366),F366+J366,"")</f>
        <v>450</v>
      </c>
      <c r="L366" s="3" t="n">
        <f aca="false">IF(ISNUMBER(H366),MAX(H366,IFERROR(INDEX(MW_Floor,MATCH(G366,MW_Key,0)),0))*I366,"")</f>
        <v>450</v>
      </c>
      <c r="M366" s="2" t="str">
        <f aca="false">IFERROR(INDEX(LR_Flag,MATCH(G366,LR_Key,0)),"")</f>
        <v>none</v>
      </c>
      <c r="N366" s="2" t="str">
        <f aca="false">IFERROR(INDEX(MW_Check,MATCH(G366,MW_Key,0)),"")</f>
        <v>OK</v>
      </c>
      <c r="O366" s="0" t="str">
        <f aca="false">IF(NOT(ISNUMBER(H366)),"LABOR QUOTE NEEDED – total incomplete",IF(N366="BELOW FLOOR","CHECK: typical labor below wage floor – payout and customer labor raised to floor",IF(M366&lt;&gt;"none","Labor rate flagged: "&amp;M366,"OK")))</f>
        <v>OK</v>
      </c>
      <c r="P366" s="0" t="s">
        <v>1463</v>
      </c>
      <c r="Q366" s="8" t="s">
        <v>1464</v>
      </c>
      <c r="R366" s="2" t="str">
        <f aca="false">IF(OR(M366="regulated",COUNTIFS(Tasks_TaskID,A366,Tasks_Tier,D366,Tasks_Review,"base")&gt;0),"PENDING REVIEW – priced, not bookable until human approval",IF(COUNTIFS(Tasks_TaskID,A366,Tasks_Tier,D366,Tasks_Review,"as-needed")&gt;0,"Bookable (re-evaluate if regulated as-needed line selected)","Bookable"))</f>
        <v>Bookable</v>
      </c>
    </row>
    <row r="367" customFormat="false" ht="17.15" hidden="false" customHeight="false" outlineLevel="0" collapsed="false">
      <c r="A367" s="2" t="s">
        <v>1460</v>
      </c>
      <c r="B367" s="2" t="s">
        <v>699</v>
      </c>
      <c r="C367" s="2" t="s">
        <v>1461</v>
      </c>
      <c r="D367" s="2" t="s">
        <v>1049</v>
      </c>
      <c r="E367" s="2" t="s">
        <v>1896</v>
      </c>
      <c r="F367" s="3" t="n">
        <f aca="false">INDEX(Sum_Base,MATCH(A367,Sum_BaseTasks,0),MATCH(D367,Sum_BaseTiers,0))</f>
        <v>0</v>
      </c>
      <c r="G367" s="2" t="str">
        <f aca="false">IF(ISNUMBER(MATCH(A367&amp;"|"&amp;D367,LR_Key,0)),A367&amp;"|"&amp;D367,A367&amp;"|All")</f>
        <v>FIXX-LCK-002|All</v>
      </c>
      <c r="H367" s="3" t="n">
        <f aca="false">IFERROR(INDEX(LR_TypLabor,MATCH(G367,LR_Key,0)),"")</f>
        <v>450</v>
      </c>
      <c r="I367" s="12" t="n">
        <f aca="false">INDEX(Urg_Mult,MATCH(E367,Urg_Levels,0))</f>
        <v>1.15</v>
      </c>
      <c r="J367" s="3" t="n">
        <f aca="false">IF(ISNUMBER(H367),MAX(H367,IFERROR(INDEX(MW_Floor,MATCH(G367,MW_Key,0)),0))*I367,"")</f>
        <v>517.5</v>
      </c>
      <c r="K367" s="3" t="n">
        <f aca="false">IF(ISNUMBER(J367),F367+J367,"")</f>
        <v>517.5</v>
      </c>
      <c r="L367" s="3" t="n">
        <f aca="false">IF(ISNUMBER(H367),MAX(H367,IFERROR(INDEX(MW_Floor,MATCH(G367,MW_Key,0)),0))*I367,"")</f>
        <v>517.5</v>
      </c>
      <c r="M367" s="2" t="str">
        <f aca="false">IFERROR(INDEX(LR_Flag,MATCH(G367,LR_Key,0)),"")</f>
        <v>none</v>
      </c>
      <c r="N367" s="2" t="str">
        <f aca="false">IFERROR(INDEX(MW_Check,MATCH(G367,MW_Key,0)),"")</f>
        <v>OK</v>
      </c>
      <c r="O367" s="0" t="str">
        <f aca="false">IF(NOT(ISNUMBER(H367)),"LABOR QUOTE NEEDED – total incomplete",IF(N367="BELOW FLOOR","CHECK: typical labor below wage floor – payout and customer labor raised to floor",IF(M367&lt;&gt;"none","Labor rate flagged: "&amp;M367,"OK")))</f>
        <v>OK</v>
      </c>
      <c r="P367" s="0" t="s">
        <v>1463</v>
      </c>
      <c r="Q367" s="8" t="s">
        <v>1464</v>
      </c>
      <c r="R367" s="2" t="str">
        <f aca="false">IF(OR(M367="regulated",COUNTIFS(Tasks_TaskID,A367,Tasks_Tier,D367,Tasks_Review,"base")&gt;0),"PENDING REVIEW – priced, not bookable until human approval",IF(COUNTIFS(Tasks_TaskID,A367,Tasks_Tier,D367,Tasks_Review,"as-needed")&gt;0,"Bookable (re-evaluate if regulated as-needed line selected)","Bookable"))</f>
        <v>Bookable</v>
      </c>
    </row>
    <row r="368" customFormat="false" ht="17.15" hidden="false" customHeight="false" outlineLevel="0" collapsed="false">
      <c r="A368" s="2" t="s">
        <v>1460</v>
      </c>
      <c r="B368" s="2" t="s">
        <v>699</v>
      </c>
      <c r="C368" s="2" t="s">
        <v>1461</v>
      </c>
      <c r="D368" s="2" t="s">
        <v>1049</v>
      </c>
      <c r="E368" s="2" t="s">
        <v>1897</v>
      </c>
      <c r="F368" s="3" t="n">
        <f aca="false">INDEX(Sum_Base,MATCH(A368,Sum_BaseTasks,0),MATCH(D368,Sum_BaseTiers,0))</f>
        <v>0</v>
      </c>
      <c r="G368" s="2" t="str">
        <f aca="false">IF(ISNUMBER(MATCH(A368&amp;"|"&amp;D368,LR_Key,0)),A368&amp;"|"&amp;D368,A368&amp;"|All")</f>
        <v>FIXX-LCK-002|All</v>
      </c>
      <c r="H368" s="3" t="n">
        <f aca="false">IFERROR(INDEX(LR_TypLabor,MATCH(G368,LR_Key,0)),"")</f>
        <v>450</v>
      </c>
      <c r="I368" s="12" t="n">
        <f aca="false">INDEX(Urg_Mult,MATCH(E368,Urg_Levels,0))</f>
        <v>1.3</v>
      </c>
      <c r="J368" s="3" t="n">
        <f aca="false">IF(ISNUMBER(H368),MAX(H368,IFERROR(INDEX(MW_Floor,MATCH(G368,MW_Key,0)),0))*I368,"")</f>
        <v>585</v>
      </c>
      <c r="K368" s="3" t="n">
        <f aca="false">IF(ISNUMBER(J368),F368+J368,"")</f>
        <v>585</v>
      </c>
      <c r="L368" s="3" t="n">
        <f aca="false">IF(ISNUMBER(H368),MAX(H368,IFERROR(INDEX(MW_Floor,MATCH(G368,MW_Key,0)),0))*I368,"")</f>
        <v>585</v>
      </c>
      <c r="M368" s="2" t="str">
        <f aca="false">IFERROR(INDEX(LR_Flag,MATCH(G368,LR_Key,0)),"")</f>
        <v>none</v>
      </c>
      <c r="N368" s="2" t="str">
        <f aca="false">IFERROR(INDEX(MW_Check,MATCH(G368,MW_Key,0)),"")</f>
        <v>OK</v>
      </c>
      <c r="O368" s="0" t="str">
        <f aca="false">IF(NOT(ISNUMBER(H368)),"LABOR QUOTE NEEDED – total incomplete",IF(N368="BELOW FLOOR","CHECK: typical labor below wage floor – payout and customer labor raised to floor",IF(M368&lt;&gt;"none","Labor rate flagged: "&amp;M368,"OK")))</f>
        <v>OK</v>
      </c>
      <c r="P368" s="0" t="s">
        <v>1463</v>
      </c>
      <c r="Q368" s="8" t="s">
        <v>1464</v>
      </c>
      <c r="R368" s="2" t="str">
        <f aca="false">IF(OR(M368="regulated",COUNTIFS(Tasks_TaskID,A368,Tasks_Tier,D368,Tasks_Review,"base")&gt;0),"PENDING REVIEW – priced, not bookable until human approval",IF(COUNTIFS(Tasks_TaskID,A368,Tasks_Tier,D368,Tasks_Review,"as-needed")&gt;0,"Bookable (re-evaluate if regulated as-needed line selected)","Bookable"))</f>
        <v>Bookable</v>
      </c>
    </row>
    <row r="369" customFormat="false" ht="17.15" hidden="false" customHeight="false" outlineLevel="0" collapsed="false">
      <c r="A369" s="2" t="s">
        <v>1460</v>
      </c>
      <c r="B369" s="2" t="s">
        <v>699</v>
      </c>
      <c r="C369" s="2" t="s">
        <v>1461</v>
      </c>
      <c r="D369" s="2" t="s">
        <v>1049</v>
      </c>
      <c r="E369" s="2" t="s">
        <v>1898</v>
      </c>
      <c r="F369" s="3" t="n">
        <f aca="false">INDEX(Sum_Base,MATCH(A369,Sum_BaseTasks,0),MATCH(D369,Sum_BaseTiers,0))</f>
        <v>0</v>
      </c>
      <c r="G369" s="2" t="str">
        <f aca="false">IF(ISNUMBER(MATCH(A369&amp;"|"&amp;D369,LR_Key,0)),A369&amp;"|"&amp;D369,A369&amp;"|All")</f>
        <v>FIXX-LCK-002|All</v>
      </c>
      <c r="H369" s="3" t="n">
        <f aca="false">IFERROR(INDEX(LR_TypLabor,MATCH(G369,LR_Key,0)),"")</f>
        <v>450</v>
      </c>
      <c r="I369" s="12" t="n">
        <f aca="false">INDEX(Urg_Mult,MATCH(E369,Urg_Levels,0))</f>
        <v>1.5</v>
      </c>
      <c r="J369" s="3" t="n">
        <f aca="false">IF(ISNUMBER(H369),MAX(H369,IFERROR(INDEX(MW_Floor,MATCH(G369,MW_Key,0)),0))*I369,"")</f>
        <v>675</v>
      </c>
      <c r="K369" s="3" t="n">
        <f aca="false">IF(ISNUMBER(J369),F369+J369,"")</f>
        <v>675</v>
      </c>
      <c r="L369" s="3" t="n">
        <f aca="false">IF(ISNUMBER(H369),MAX(H369,IFERROR(INDEX(MW_Floor,MATCH(G369,MW_Key,0)),0))*I369,"")</f>
        <v>675</v>
      </c>
      <c r="M369" s="2" t="str">
        <f aca="false">IFERROR(INDEX(LR_Flag,MATCH(G369,LR_Key,0)),"")</f>
        <v>none</v>
      </c>
      <c r="N369" s="2" t="str">
        <f aca="false">IFERROR(INDEX(MW_Check,MATCH(G369,MW_Key,0)),"")</f>
        <v>OK</v>
      </c>
      <c r="O369" s="0" t="str">
        <f aca="false">IF(NOT(ISNUMBER(H369)),"LABOR QUOTE NEEDED – total incomplete",IF(N369="BELOW FLOOR","CHECK: typical labor below wage floor – payout and customer labor raised to floor",IF(M369&lt;&gt;"none","Labor rate flagged: "&amp;M369,"OK")))</f>
        <v>OK</v>
      </c>
      <c r="P369" s="0" t="s">
        <v>1463</v>
      </c>
      <c r="Q369" s="8" t="s">
        <v>1464</v>
      </c>
      <c r="R369" s="2" t="str">
        <f aca="false">IF(OR(M369="regulated",COUNTIFS(Tasks_TaskID,A369,Tasks_Tier,D369,Tasks_Review,"base")&gt;0),"PENDING REVIEW – priced, not bookable until human approval",IF(COUNTIFS(Tasks_TaskID,A369,Tasks_Tier,D369,Tasks_Review,"as-needed")&gt;0,"Bookable (re-evaluate if regulated as-needed line selected)","Bookable"))</f>
        <v>Bookable</v>
      </c>
    </row>
    <row r="370" customFormat="false" ht="17.15" hidden="false" customHeight="false" outlineLevel="0" collapsed="false">
      <c r="A370" s="2" t="s">
        <v>1460</v>
      </c>
      <c r="B370" s="2" t="s">
        <v>699</v>
      </c>
      <c r="C370" s="2" t="s">
        <v>1461</v>
      </c>
      <c r="D370" s="2" t="s">
        <v>1051</v>
      </c>
      <c r="E370" s="2" t="s">
        <v>1895</v>
      </c>
      <c r="F370" s="3" t="n">
        <f aca="false">INDEX(Sum_Base,MATCH(A370,Sum_BaseTasks,0),MATCH(D370,Sum_BaseTiers,0))</f>
        <v>0</v>
      </c>
      <c r="G370" s="2" t="str">
        <f aca="false">IF(ISNUMBER(MATCH(A370&amp;"|"&amp;D370,LR_Key,0)),A370&amp;"|"&amp;D370,A370&amp;"|All")</f>
        <v>FIXX-LCK-002|All</v>
      </c>
      <c r="H370" s="3" t="n">
        <f aca="false">IFERROR(INDEX(LR_TypLabor,MATCH(G370,LR_Key,0)),"")</f>
        <v>450</v>
      </c>
      <c r="I370" s="12" t="n">
        <f aca="false">INDEX(Urg_Mult,MATCH(E370,Urg_Levels,0))</f>
        <v>1</v>
      </c>
      <c r="J370" s="3" t="n">
        <f aca="false">IF(ISNUMBER(H370),MAX(H370,IFERROR(INDEX(MW_Floor,MATCH(G370,MW_Key,0)),0))*I370,"")</f>
        <v>450</v>
      </c>
      <c r="K370" s="3" t="n">
        <f aca="false">IF(ISNUMBER(J370),F370+J370,"")</f>
        <v>450</v>
      </c>
      <c r="L370" s="3" t="n">
        <f aca="false">IF(ISNUMBER(H370),MAX(H370,IFERROR(INDEX(MW_Floor,MATCH(G370,MW_Key,0)),0))*I370,"")</f>
        <v>450</v>
      </c>
      <c r="M370" s="2" t="str">
        <f aca="false">IFERROR(INDEX(LR_Flag,MATCH(G370,LR_Key,0)),"")</f>
        <v>none</v>
      </c>
      <c r="N370" s="2" t="str">
        <f aca="false">IFERROR(INDEX(MW_Check,MATCH(G370,MW_Key,0)),"")</f>
        <v>OK</v>
      </c>
      <c r="O370" s="0" t="str">
        <f aca="false">IF(NOT(ISNUMBER(H370)),"LABOR QUOTE NEEDED – total incomplete",IF(N370="BELOW FLOOR","CHECK: typical labor below wage floor – payout and customer labor raised to floor",IF(M370&lt;&gt;"none","Labor rate flagged: "&amp;M370,"OK")))</f>
        <v>OK</v>
      </c>
      <c r="P370" s="0" t="s">
        <v>1463</v>
      </c>
      <c r="Q370" s="8" t="s">
        <v>1464</v>
      </c>
      <c r="R370" s="2" t="str">
        <f aca="false">IF(OR(M370="regulated",COUNTIFS(Tasks_TaskID,A370,Tasks_Tier,D370,Tasks_Review,"base")&gt;0),"PENDING REVIEW – priced, not bookable until human approval",IF(COUNTIFS(Tasks_TaskID,A370,Tasks_Tier,D370,Tasks_Review,"as-needed")&gt;0,"Bookable (re-evaluate if regulated as-needed line selected)","Bookable"))</f>
        <v>Bookable</v>
      </c>
    </row>
    <row r="371" customFormat="false" ht="17.15" hidden="false" customHeight="false" outlineLevel="0" collapsed="false">
      <c r="A371" s="2" t="s">
        <v>1460</v>
      </c>
      <c r="B371" s="2" t="s">
        <v>699</v>
      </c>
      <c r="C371" s="2" t="s">
        <v>1461</v>
      </c>
      <c r="D371" s="2" t="s">
        <v>1051</v>
      </c>
      <c r="E371" s="2" t="s">
        <v>1896</v>
      </c>
      <c r="F371" s="3" t="n">
        <f aca="false">INDEX(Sum_Base,MATCH(A371,Sum_BaseTasks,0),MATCH(D371,Sum_BaseTiers,0))</f>
        <v>0</v>
      </c>
      <c r="G371" s="2" t="str">
        <f aca="false">IF(ISNUMBER(MATCH(A371&amp;"|"&amp;D371,LR_Key,0)),A371&amp;"|"&amp;D371,A371&amp;"|All")</f>
        <v>FIXX-LCK-002|All</v>
      </c>
      <c r="H371" s="3" t="n">
        <f aca="false">IFERROR(INDEX(LR_TypLabor,MATCH(G371,LR_Key,0)),"")</f>
        <v>450</v>
      </c>
      <c r="I371" s="12" t="n">
        <f aca="false">INDEX(Urg_Mult,MATCH(E371,Urg_Levels,0))</f>
        <v>1.15</v>
      </c>
      <c r="J371" s="3" t="n">
        <f aca="false">IF(ISNUMBER(H371),MAX(H371,IFERROR(INDEX(MW_Floor,MATCH(G371,MW_Key,0)),0))*I371,"")</f>
        <v>517.5</v>
      </c>
      <c r="K371" s="3" t="n">
        <f aca="false">IF(ISNUMBER(J371),F371+J371,"")</f>
        <v>517.5</v>
      </c>
      <c r="L371" s="3" t="n">
        <f aca="false">IF(ISNUMBER(H371),MAX(H371,IFERROR(INDEX(MW_Floor,MATCH(G371,MW_Key,0)),0))*I371,"")</f>
        <v>517.5</v>
      </c>
      <c r="M371" s="2" t="str">
        <f aca="false">IFERROR(INDEX(LR_Flag,MATCH(G371,LR_Key,0)),"")</f>
        <v>none</v>
      </c>
      <c r="N371" s="2" t="str">
        <f aca="false">IFERROR(INDEX(MW_Check,MATCH(G371,MW_Key,0)),"")</f>
        <v>OK</v>
      </c>
      <c r="O371" s="0" t="str">
        <f aca="false">IF(NOT(ISNUMBER(H371)),"LABOR QUOTE NEEDED – total incomplete",IF(N371="BELOW FLOOR","CHECK: typical labor below wage floor – payout and customer labor raised to floor",IF(M371&lt;&gt;"none","Labor rate flagged: "&amp;M371,"OK")))</f>
        <v>OK</v>
      </c>
      <c r="P371" s="0" t="s">
        <v>1463</v>
      </c>
      <c r="Q371" s="8" t="s">
        <v>1464</v>
      </c>
      <c r="R371" s="2" t="str">
        <f aca="false">IF(OR(M371="regulated",COUNTIFS(Tasks_TaskID,A371,Tasks_Tier,D371,Tasks_Review,"base")&gt;0),"PENDING REVIEW – priced, not bookable until human approval",IF(COUNTIFS(Tasks_TaskID,A371,Tasks_Tier,D371,Tasks_Review,"as-needed")&gt;0,"Bookable (re-evaluate if regulated as-needed line selected)","Bookable"))</f>
        <v>Bookable</v>
      </c>
    </row>
    <row r="372" customFormat="false" ht="17.15" hidden="false" customHeight="false" outlineLevel="0" collapsed="false">
      <c r="A372" s="2" t="s">
        <v>1460</v>
      </c>
      <c r="B372" s="2" t="s">
        <v>699</v>
      </c>
      <c r="C372" s="2" t="s">
        <v>1461</v>
      </c>
      <c r="D372" s="2" t="s">
        <v>1051</v>
      </c>
      <c r="E372" s="2" t="s">
        <v>1897</v>
      </c>
      <c r="F372" s="3" t="n">
        <f aca="false">INDEX(Sum_Base,MATCH(A372,Sum_BaseTasks,0),MATCH(D372,Sum_BaseTiers,0))</f>
        <v>0</v>
      </c>
      <c r="G372" s="2" t="str">
        <f aca="false">IF(ISNUMBER(MATCH(A372&amp;"|"&amp;D372,LR_Key,0)),A372&amp;"|"&amp;D372,A372&amp;"|All")</f>
        <v>FIXX-LCK-002|All</v>
      </c>
      <c r="H372" s="3" t="n">
        <f aca="false">IFERROR(INDEX(LR_TypLabor,MATCH(G372,LR_Key,0)),"")</f>
        <v>450</v>
      </c>
      <c r="I372" s="12" t="n">
        <f aca="false">INDEX(Urg_Mult,MATCH(E372,Urg_Levels,0))</f>
        <v>1.3</v>
      </c>
      <c r="J372" s="3" t="n">
        <f aca="false">IF(ISNUMBER(H372),MAX(H372,IFERROR(INDEX(MW_Floor,MATCH(G372,MW_Key,0)),0))*I372,"")</f>
        <v>585</v>
      </c>
      <c r="K372" s="3" t="n">
        <f aca="false">IF(ISNUMBER(J372),F372+J372,"")</f>
        <v>585</v>
      </c>
      <c r="L372" s="3" t="n">
        <f aca="false">IF(ISNUMBER(H372),MAX(H372,IFERROR(INDEX(MW_Floor,MATCH(G372,MW_Key,0)),0))*I372,"")</f>
        <v>585</v>
      </c>
      <c r="M372" s="2" t="str">
        <f aca="false">IFERROR(INDEX(LR_Flag,MATCH(G372,LR_Key,0)),"")</f>
        <v>none</v>
      </c>
      <c r="N372" s="2" t="str">
        <f aca="false">IFERROR(INDEX(MW_Check,MATCH(G372,MW_Key,0)),"")</f>
        <v>OK</v>
      </c>
      <c r="O372" s="0" t="str">
        <f aca="false">IF(NOT(ISNUMBER(H372)),"LABOR QUOTE NEEDED – total incomplete",IF(N372="BELOW FLOOR","CHECK: typical labor below wage floor – payout and customer labor raised to floor",IF(M372&lt;&gt;"none","Labor rate flagged: "&amp;M372,"OK")))</f>
        <v>OK</v>
      </c>
      <c r="P372" s="0" t="s">
        <v>1463</v>
      </c>
      <c r="Q372" s="8" t="s">
        <v>1464</v>
      </c>
      <c r="R372" s="2" t="str">
        <f aca="false">IF(OR(M372="regulated",COUNTIFS(Tasks_TaskID,A372,Tasks_Tier,D372,Tasks_Review,"base")&gt;0),"PENDING REVIEW – priced, not bookable until human approval",IF(COUNTIFS(Tasks_TaskID,A372,Tasks_Tier,D372,Tasks_Review,"as-needed")&gt;0,"Bookable (re-evaluate if regulated as-needed line selected)","Bookable"))</f>
        <v>Bookable</v>
      </c>
    </row>
    <row r="373" customFormat="false" ht="17.15" hidden="false" customHeight="false" outlineLevel="0" collapsed="false">
      <c r="A373" s="2" t="s">
        <v>1460</v>
      </c>
      <c r="B373" s="2" t="s">
        <v>699</v>
      </c>
      <c r="C373" s="2" t="s">
        <v>1461</v>
      </c>
      <c r="D373" s="2" t="s">
        <v>1051</v>
      </c>
      <c r="E373" s="2" t="s">
        <v>1898</v>
      </c>
      <c r="F373" s="3" t="n">
        <f aca="false">INDEX(Sum_Base,MATCH(A373,Sum_BaseTasks,0),MATCH(D373,Sum_BaseTiers,0))</f>
        <v>0</v>
      </c>
      <c r="G373" s="2" t="str">
        <f aca="false">IF(ISNUMBER(MATCH(A373&amp;"|"&amp;D373,LR_Key,0)),A373&amp;"|"&amp;D373,A373&amp;"|All")</f>
        <v>FIXX-LCK-002|All</v>
      </c>
      <c r="H373" s="3" t="n">
        <f aca="false">IFERROR(INDEX(LR_TypLabor,MATCH(G373,LR_Key,0)),"")</f>
        <v>450</v>
      </c>
      <c r="I373" s="12" t="n">
        <f aca="false">INDEX(Urg_Mult,MATCH(E373,Urg_Levels,0))</f>
        <v>1.5</v>
      </c>
      <c r="J373" s="3" t="n">
        <f aca="false">IF(ISNUMBER(H373),MAX(H373,IFERROR(INDEX(MW_Floor,MATCH(G373,MW_Key,0)),0))*I373,"")</f>
        <v>675</v>
      </c>
      <c r="K373" s="3" t="n">
        <f aca="false">IF(ISNUMBER(J373),F373+J373,"")</f>
        <v>675</v>
      </c>
      <c r="L373" s="3" t="n">
        <f aca="false">IF(ISNUMBER(H373),MAX(H373,IFERROR(INDEX(MW_Floor,MATCH(G373,MW_Key,0)),0))*I373,"")</f>
        <v>675</v>
      </c>
      <c r="M373" s="2" t="str">
        <f aca="false">IFERROR(INDEX(LR_Flag,MATCH(G373,LR_Key,0)),"")</f>
        <v>none</v>
      </c>
      <c r="N373" s="2" t="str">
        <f aca="false">IFERROR(INDEX(MW_Check,MATCH(G373,MW_Key,0)),"")</f>
        <v>OK</v>
      </c>
      <c r="O373" s="0" t="str">
        <f aca="false">IF(NOT(ISNUMBER(H373)),"LABOR QUOTE NEEDED – total incomplete",IF(N373="BELOW FLOOR","CHECK: typical labor below wage floor – payout and customer labor raised to floor",IF(M373&lt;&gt;"none","Labor rate flagged: "&amp;M373,"OK")))</f>
        <v>OK</v>
      </c>
      <c r="P373" s="0" t="s">
        <v>1463</v>
      </c>
      <c r="Q373" s="8" t="s">
        <v>1464</v>
      </c>
      <c r="R373" s="2" t="str">
        <f aca="false">IF(OR(M373="regulated",COUNTIFS(Tasks_TaskID,A373,Tasks_Tier,D373,Tasks_Review,"base")&gt;0),"PENDING REVIEW – priced, not bookable until human approval",IF(COUNTIFS(Tasks_TaskID,A373,Tasks_Tier,D373,Tasks_Review,"as-needed")&gt;0,"Bookable (re-evaluate if regulated as-needed line selected)","Bookable"))</f>
        <v>Bookable</v>
      </c>
    </row>
    <row r="374" customFormat="false" ht="17.15" hidden="false" customHeight="false" outlineLevel="0" collapsed="false">
      <c r="A374" s="2" t="s">
        <v>1555</v>
      </c>
      <c r="B374" s="2" t="s">
        <v>107</v>
      </c>
      <c r="C374" s="2" t="s">
        <v>1556</v>
      </c>
      <c r="D374" s="2" t="s">
        <v>1042</v>
      </c>
      <c r="E374" s="2" t="s">
        <v>1895</v>
      </c>
      <c r="F374" s="3" t="n">
        <f aca="false">INDEX(Sum_Base,MATCH(A374,Sum_BaseTasks,0),MATCH(D374,Sum_BaseTiers,0))</f>
        <v>156.1</v>
      </c>
      <c r="G374" s="2" t="str">
        <f aca="false">IF(ISNUMBER(MATCH(A374&amp;"|"&amp;D374,LR_Key,0)),A374&amp;"|"&amp;D374,A374&amp;"|All")</f>
        <v>FIXX-PLM-002|All</v>
      </c>
      <c r="H374" s="3" t="n">
        <f aca="false">IFERROR(INDEX(LR_TypLabor,MATCH(G374,LR_Key,0)),"")</f>
        <v>650</v>
      </c>
      <c r="I374" s="12" t="n">
        <f aca="false">INDEX(Urg_Mult,MATCH(E374,Urg_Levels,0))</f>
        <v>1</v>
      </c>
      <c r="J374" s="3" t="n">
        <f aca="false">IF(ISNUMBER(H374),MAX(H374,IFERROR(INDEX(MW_Floor,MATCH(G374,MW_Key,0)),0))*I374,"")</f>
        <v>650</v>
      </c>
      <c r="K374" s="3" t="n">
        <f aca="false">IF(ISNUMBER(J374),F374+J374,"")</f>
        <v>806.1</v>
      </c>
      <c r="L374" s="3" t="n">
        <f aca="false">IF(ISNUMBER(H374),MAX(H374,IFERROR(INDEX(MW_Floor,MATCH(G374,MW_Key,0)),0))*I374,"")</f>
        <v>650</v>
      </c>
      <c r="M374" s="2" t="str">
        <f aca="false">IFERROR(INDEX(LR_Flag,MATCH(G374,LR_Key,0)),"")</f>
        <v>none</v>
      </c>
      <c r="N374" s="2" t="str">
        <f aca="false">IFERROR(INDEX(MW_Check,MATCH(G374,MW_Key,0)),"")</f>
        <v>OK</v>
      </c>
      <c r="O374" s="0" t="str">
        <f aca="false">IF(NOT(ISNUMBER(H374)),"LABOR QUOTE NEEDED – total incomplete",IF(N374="BELOW FLOOR","CHECK: typical labor below wage floor – payout and customer labor raised to floor",IF(M374&lt;&gt;"none","Labor rate flagged: "&amp;M374,"OK")))</f>
        <v>OK</v>
      </c>
      <c r="P374" s="0" t="s">
        <v>1558</v>
      </c>
      <c r="Q374" s="8" t="s">
        <v>1559</v>
      </c>
      <c r="R374" s="2" t="str">
        <f aca="false">IF(OR(M374="regulated",COUNTIFS(Tasks_TaskID,A374,Tasks_Tier,D374,Tasks_Review,"base")&gt;0),"PENDING REVIEW – priced, not bookable until human approval",IF(COUNTIFS(Tasks_TaskID,A374,Tasks_Tier,D374,Tasks_Review,"as-needed")&gt;0,"Bookable (re-evaluate if regulated as-needed line selected)","Bookable"))</f>
        <v>Bookable</v>
      </c>
    </row>
    <row r="375" customFormat="false" ht="17.15" hidden="false" customHeight="false" outlineLevel="0" collapsed="false">
      <c r="A375" s="2" t="s">
        <v>1555</v>
      </c>
      <c r="B375" s="2" t="s">
        <v>107</v>
      </c>
      <c r="C375" s="2" t="s">
        <v>1556</v>
      </c>
      <c r="D375" s="2" t="s">
        <v>1042</v>
      </c>
      <c r="E375" s="2" t="s">
        <v>1896</v>
      </c>
      <c r="F375" s="3" t="n">
        <f aca="false">INDEX(Sum_Base,MATCH(A375,Sum_BaseTasks,0),MATCH(D375,Sum_BaseTiers,0))</f>
        <v>156.1</v>
      </c>
      <c r="G375" s="2" t="str">
        <f aca="false">IF(ISNUMBER(MATCH(A375&amp;"|"&amp;D375,LR_Key,0)),A375&amp;"|"&amp;D375,A375&amp;"|All")</f>
        <v>FIXX-PLM-002|All</v>
      </c>
      <c r="H375" s="3" t="n">
        <f aca="false">IFERROR(INDEX(LR_TypLabor,MATCH(G375,LR_Key,0)),"")</f>
        <v>650</v>
      </c>
      <c r="I375" s="12" t="n">
        <f aca="false">INDEX(Urg_Mult,MATCH(E375,Urg_Levels,0))</f>
        <v>1.15</v>
      </c>
      <c r="J375" s="3" t="n">
        <f aca="false">IF(ISNUMBER(H375),MAX(H375,IFERROR(INDEX(MW_Floor,MATCH(G375,MW_Key,0)),0))*I375,"")</f>
        <v>747.5</v>
      </c>
      <c r="K375" s="3" t="n">
        <f aca="false">IF(ISNUMBER(J375),F375+J375,"")</f>
        <v>903.6</v>
      </c>
      <c r="L375" s="3" t="n">
        <f aca="false">IF(ISNUMBER(H375),MAX(H375,IFERROR(INDEX(MW_Floor,MATCH(G375,MW_Key,0)),0))*I375,"")</f>
        <v>747.5</v>
      </c>
      <c r="M375" s="2" t="str">
        <f aca="false">IFERROR(INDEX(LR_Flag,MATCH(G375,LR_Key,0)),"")</f>
        <v>none</v>
      </c>
      <c r="N375" s="2" t="str">
        <f aca="false">IFERROR(INDEX(MW_Check,MATCH(G375,MW_Key,0)),"")</f>
        <v>OK</v>
      </c>
      <c r="O375" s="0" t="str">
        <f aca="false">IF(NOT(ISNUMBER(H375)),"LABOR QUOTE NEEDED – total incomplete",IF(N375="BELOW FLOOR","CHECK: typical labor below wage floor – payout and customer labor raised to floor",IF(M375&lt;&gt;"none","Labor rate flagged: "&amp;M375,"OK")))</f>
        <v>OK</v>
      </c>
      <c r="P375" s="0" t="s">
        <v>1558</v>
      </c>
      <c r="Q375" s="8" t="s">
        <v>1559</v>
      </c>
      <c r="R375" s="2" t="str">
        <f aca="false">IF(OR(M375="regulated",COUNTIFS(Tasks_TaskID,A375,Tasks_Tier,D375,Tasks_Review,"base")&gt;0),"PENDING REVIEW – priced, not bookable until human approval",IF(COUNTIFS(Tasks_TaskID,A375,Tasks_Tier,D375,Tasks_Review,"as-needed")&gt;0,"Bookable (re-evaluate if regulated as-needed line selected)","Bookable"))</f>
        <v>Bookable</v>
      </c>
    </row>
    <row r="376" customFormat="false" ht="17.15" hidden="false" customHeight="false" outlineLevel="0" collapsed="false">
      <c r="A376" s="2" t="s">
        <v>1555</v>
      </c>
      <c r="B376" s="2" t="s">
        <v>107</v>
      </c>
      <c r="C376" s="2" t="s">
        <v>1556</v>
      </c>
      <c r="D376" s="2" t="s">
        <v>1042</v>
      </c>
      <c r="E376" s="2" t="s">
        <v>1897</v>
      </c>
      <c r="F376" s="3" t="n">
        <f aca="false">INDEX(Sum_Base,MATCH(A376,Sum_BaseTasks,0),MATCH(D376,Sum_BaseTiers,0))</f>
        <v>156.1</v>
      </c>
      <c r="G376" s="2" t="str">
        <f aca="false">IF(ISNUMBER(MATCH(A376&amp;"|"&amp;D376,LR_Key,0)),A376&amp;"|"&amp;D376,A376&amp;"|All")</f>
        <v>FIXX-PLM-002|All</v>
      </c>
      <c r="H376" s="3" t="n">
        <f aca="false">IFERROR(INDEX(LR_TypLabor,MATCH(G376,LR_Key,0)),"")</f>
        <v>650</v>
      </c>
      <c r="I376" s="12" t="n">
        <f aca="false">INDEX(Urg_Mult,MATCH(E376,Urg_Levels,0))</f>
        <v>1.3</v>
      </c>
      <c r="J376" s="3" t="n">
        <f aca="false">IF(ISNUMBER(H376),MAX(H376,IFERROR(INDEX(MW_Floor,MATCH(G376,MW_Key,0)),0))*I376,"")</f>
        <v>845</v>
      </c>
      <c r="K376" s="3" t="n">
        <f aca="false">IF(ISNUMBER(J376),F376+J376,"")</f>
        <v>1001.1</v>
      </c>
      <c r="L376" s="3" t="n">
        <f aca="false">IF(ISNUMBER(H376),MAX(H376,IFERROR(INDEX(MW_Floor,MATCH(G376,MW_Key,0)),0))*I376,"")</f>
        <v>845</v>
      </c>
      <c r="M376" s="2" t="str">
        <f aca="false">IFERROR(INDEX(LR_Flag,MATCH(G376,LR_Key,0)),"")</f>
        <v>none</v>
      </c>
      <c r="N376" s="2" t="str">
        <f aca="false">IFERROR(INDEX(MW_Check,MATCH(G376,MW_Key,0)),"")</f>
        <v>OK</v>
      </c>
      <c r="O376" s="0" t="str">
        <f aca="false">IF(NOT(ISNUMBER(H376)),"LABOR QUOTE NEEDED – total incomplete",IF(N376="BELOW FLOOR","CHECK: typical labor below wage floor – payout and customer labor raised to floor",IF(M376&lt;&gt;"none","Labor rate flagged: "&amp;M376,"OK")))</f>
        <v>OK</v>
      </c>
      <c r="P376" s="0" t="s">
        <v>1558</v>
      </c>
      <c r="Q376" s="8" t="s">
        <v>1559</v>
      </c>
      <c r="R376" s="2" t="str">
        <f aca="false">IF(OR(M376="regulated",COUNTIFS(Tasks_TaskID,A376,Tasks_Tier,D376,Tasks_Review,"base")&gt;0),"PENDING REVIEW – priced, not bookable until human approval",IF(COUNTIFS(Tasks_TaskID,A376,Tasks_Tier,D376,Tasks_Review,"as-needed")&gt;0,"Bookable (re-evaluate if regulated as-needed line selected)","Bookable"))</f>
        <v>Bookable</v>
      </c>
    </row>
    <row r="377" customFormat="false" ht="17.15" hidden="false" customHeight="false" outlineLevel="0" collapsed="false">
      <c r="A377" s="2" t="s">
        <v>1555</v>
      </c>
      <c r="B377" s="2" t="s">
        <v>107</v>
      </c>
      <c r="C377" s="2" t="s">
        <v>1556</v>
      </c>
      <c r="D377" s="2" t="s">
        <v>1042</v>
      </c>
      <c r="E377" s="2" t="s">
        <v>1898</v>
      </c>
      <c r="F377" s="3" t="n">
        <f aca="false">INDEX(Sum_Base,MATCH(A377,Sum_BaseTasks,0),MATCH(D377,Sum_BaseTiers,0))</f>
        <v>156.1</v>
      </c>
      <c r="G377" s="2" t="str">
        <f aca="false">IF(ISNUMBER(MATCH(A377&amp;"|"&amp;D377,LR_Key,0)),A377&amp;"|"&amp;D377,A377&amp;"|All")</f>
        <v>FIXX-PLM-002|All</v>
      </c>
      <c r="H377" s="3" t="n">
        <f aca="false">IFERROR(INDEX(LR_TypLabor,MATCH(G377,LR_Key,0)),"")</f>
        <v>650</v>
      </c>
      <c r="I377" s="12" t="n">
        <f aca="false">INDEX(Urg_Mult,MATCH(E377,Urg_Levels,0))</f>
        <v>1.5</v>
      </c>
      <c r="J377" s="3" t="n">
        <f aca="false">IF(ISNUMBER(H377),MAX(H377,IFERROR(INDEX(MW_Floor,MATCH(G377,MW_Key,0)),0))*I377,"")</f>
        <v>975</v>
      </c>
      <c r="K377" s="3" t="n">
        <f aca="false">IF(ISNUMBER(J377),F377+J377,"")</f>
        <v>1131.1</v>
      </c>
      <c r="L377" s="3" t="n">
        <f aca="false">IF(ISNUMBER(H377),MAX(H377,IFERROR(INDEX(MW_Floor,MATCH(G377,MW_Key,0)),0))*I377,"")</f>
        <v>975</v>
      </c>
      <c r="M377" s="2" t="str">
        <f aca="false">IFERROR(INDEX(LR_Flag,MATCH(G377,LR_Key,0)),"")</f>
        <v>none</v>
      </c>
      <c r="N377" s="2" t="str">
        <f aca="false">IFERROR(INDEX(MW_Check,MATCH(G377,MW_Key,0)),"")</f>
        <v>OK</v>
      </c>
      <c r="O377" s="0" t="str">
        <f aca="false">IF(NOT(ISNUMBER(H377)),"LABOR QUOTE NEEDED – total incomplete",IF(N377="BELOW FLOOR","CHECK: typical labor below wage floor – payout and customer labor raised to floor",IF(M377&lt;&gt;"none","Labor rate flagged: "&amp;M377,"OK")))</f>
        <v>OK</v>
      </c>
      <c r="P377" s="0" t="s">
        <v>1558</v>
      </c>
      <c r="Q377" s="8" t="s">
        <v>1559</v>
      </c>
      <c r="R377" s="2" t="str">
        <f aca="false">IF(OR(M377="regulated",COUNTIFS(Tasks_TaskID,A377,Tasks_Tier,D377,Tasks_Review,"base")&gt;0),"PENDING REVIEW – priced, not bookable until human approval",IF(COUNTIFS(Tasks_TaskID,A377,Tasks_Tier,D377,Tasks_Review,"as-needed")&gt;0,"Bookable (re-evaluate if regulated as-needed line selected)","Bookable"))</f>
        <v>Bookable</v>
      </c>
    </row>
    <row r="378" customFormat="false" ht="17.15" hidden="false" customHeight="false" outlineLevel="0" collapsed="false">
      <c r="A378" s="2" t="s">
        <v>1555</v>
      </c>
      <c r="B378" s="2" t="s">
        <v>107</v>
      </c>
      <c r="C378" s="2" t="s">
        <v>1556</v>
      </c>
      <c r="D378" s="2" t="s">
        <v>1049</v>
      </c>
      <c r="E378" s="2" t="s">
        <v>1895</v>
      </c>
      <c r="F378" s="3" t="n">
        <f aca="false">INDEX(Sum_Base,MATCH(A378,Sum_BaseTasks,0),MATCH(D378,Sum_BaseTiers,0))</f>
        <v>340.1</v>
      </c>
      <c r="G378" s="2" t="str">
        <f aca="false">IF(ISNUMBER(MATCH(A378&amp;"|"&amp;D378,LR_Key,0)),A378&amp;"|"&amp;D378,A378&amp;"|All")</f>
        <v>FIXX-PLM-002|All</v>
      </c>
      <c r="H378" s="3" t="n">
        <f aca="false">IFERROR(INDEX(LR_TypLabor,MATCH(G378,LR_Key,0)),"")</f>
        <v>650</v>
      </c>
      <c r="I378" s="12" t="n">
        <f aca="false">INDEX(Urg_Mult,MATCH(E378,Urg_Levels,0))</f>
        <v>1</v>
      </c>
      <c r="J378" s="3" t="n">
        <f aca="false">IF(ISNUMBER(H378),MAX(H378,IFERROR(INDEX(MW_Floor,MATCH(G378,MW_Key,0)),0))*I378,"")</f>
        <v>650</v>
      </c>
      <c r="K378" s="3" t="n">
        <f aca="false">IF(ISNUMBER(J378),F378+J378,"")</f>
        <v>990.1</v>
      </c>
      <c r="L378" s="3" t="n">
        <f aca="false">IF(ISNUMBER(H378),MAX(H378,IFERROR(INDEX(MW_Floor,MATCH(G378,MW_Key,0)),0))*I378,"")</f>
        <v>650</v>
      </c>
      <c r="M378" s="2" t="str">
        <f aca="false">IFERROR(INDEX(LR_Flag,MATCH(G378,LR_Key,0)),"")</f>
        <v>none</v>
      </c>
      <c r="N378" s="2" t="str">
        <f aca="false">IFERROR(INDEX(MW_Check,MATCH(G378,MW_Key,0)),"")</f>
        <v>OK</v>
      </c>
      <c r="O378" s="0" t="str">
        <f aca="false">IF(NOT(ISNUMBER(H378)),"LABOR QUOTE NEEDED – total incomplete",IF(N378="BELOW FLOOR","CHECK: typical labor below wage floor – payout and customer labor raised to floor",IF(M378&lt;&gt;"none","Labor rate flagged: "&amp;M378,"OK")))</f>
        <v>OK</v>
      </c>
      <c r="P378" s="0" t="s">
        <v>1558</v>
      </c>
      <c r="Q378" s="8" t="s">
        <v>1559</v>
      </c>
      <c r="R378" s="2" t="str">
        <f aca="false">IF(OR(M378="regulated",COUNTIFS(Tasks_TaskID,A378,Tasks_Tier,D378,Tasks_Review,"base")&gt;0),"PENDING REVIEW – priced, not bookable until human approval",IF(COUNTIFS(Tasks_TaskID,A378,Tasks_Tier,D378,Tasks_Review,"as-needed")&gt;0,"Bookable (re-evaluate if regulated as-needed line selected)","Bookable"))</f>
        <v>Bookable</v>
      </c>
    </row>
    <row r="379" customFormat="false" ht="17.15" hidden="false" customHeight="false" outlineLevel="0" collapsed="false">
      <c r="A379" s="2" t="s">
        <v>1555</v>
      </c>
      <c r="B379" s="2" t="s">
        <v>107</v>
      </c>
      <c r="C379" s="2" t="s">
        <v>1556</v>
      </c>
      <c r="D379" s="2" t="s">
        <v>1049</v>
      </c>
      <c r="E379" s="2" t="s">
        <v>1896</v>
      </c>
      <c r="F379" s="3" t="n">
        <f aca="false">INDEX(Sum_Base,MATCH(A379,Sum_BaseTasks,0),MATCH(D379,Sum_BaseTiers,0))</f>
        <v>340.1</v>
      </c>
      <c r="G379" s="2" t="str">
        <f aca="false">IF(ISNUMBER(MATCH(A379&amp;"|"&amp;D379,LR_Key,0)),A379&amp;"|"&amp;D379,A379&amp;"|All")</f>
        <v>FIXX-PLM-002|All</v>
      </c>
      <c r="H379" s="3" t="n">
        <f aca="false">IFERROR(INDEX(LR_TypLabor,MATCH(G379,LR_Key,0)),"")</f>
        <v>650</v>
      </c>
      <c r="I379" s="12" t="n">
        <f aca="false">INDEX(Urg_Mult,MATCH(E379,Urg_Levels,0))</f>
        <v>1.15</v>
      </c>
      <c r="J379" s="3" t="n">
        <f aca="false">IF(ISNUMBER(H379),MAX(H379,IFERROR(INDEX(MW_Floor,MATCH(G379,MW_Key,0)),0))*I379,"")</f>
        <v>747.5</v>
      </c>
      <c r="K379" s="3" t="n">
        <f aca="false">IF(ISNUMBER(J379),F379+J379,"")</f>
        <v>1087.6</v>
      </c>
      <c r="L379" s="3" t="n">
        <f aca="false">IF(ISNUMBER(H379),MAX(H379,IFERROR(INDEX(MW_Floor,MATCH(G379,MW_Key,0)),0))*I379,"")</f>
        <v>747.5</v>
      </c>
      <c r="M379" s="2" t="str">
        <f aca="false">IFERROR(INDEX(LR_Flag,MATCH(G379,LR_Key,0)),"")</f>
        <v>none</v>
      </c>
      <c r="N379" s="2" t="str">
        <f aca="false">IFERROR(INDEX(MW_Check,MATCH(G379,MW_Key,0)),"")</f>
        <v>OK</v>
      </c>
      <c r="O379" s="0" t="str">
        <f aca="false">IF(NOT(ISNUMBER(H379)),"LABOR QUOTE NEEDED – total incomplete",IF(N379="BELOW FLOOR","CHECK: typical labor below wage floor – payout and customer labor raised to floor",IF(M379&lt;&gt;"none","Labor rate flagged: "&amp;M379,"OK")))</f>
        <v>OK</v>
      </c>
      <c r="P379" s="0" t="s">
        <v>1558</v>
      </c>
      <c r="Q379" s="8" t="s">
        <v>1559</v>
      </c>
      <c r="R379" s="2" t="str">
        <f aca="false">IF(OR(M379="regulated",COUNTIFS(Tasks_TaskID,A379,Tasks_Tier,D379,Tasks_Review,"base")&gt;0),"PENDING REVIEW – priced, not bookable until human approval",IF(COUNTIFS(Tasks_TaskID,A379,Tasks_Tier,D379,Tasks_Review,"as-needed")&gt;0,"Bookable (re-evaluate if regulated as-needed line selected)","Bookable"))</f>
        <v>Bookable</v>
      </c>
    </row>
    <row r="380" customFormat="false" ht="17.15" hidden="false" customHeight="false" outlineLevel="0" collapsed="false">
      <c r="A380" s="2" t="s">
        <v>1555</v>
      </c>
      <c r="B380" s="2" t="s">
        <v>107</v>
      </c>
      <c r="C380" s="2" t="s">
        <v>1556</v>
      </c>
      <c r="D380" s="2" t="s">
        <v>1049</v>
      </c>
      <c r="E380" s="2" t="s">
        <v>1897</v>
      </c>
      <c r="F380" s="3" t="n">
        <f aca="false">INDEX(Sum_Base,MATCH(A380,Sum_BaseTasks,0),MATCH(D380,Sum_BaseTiers,0))</f>
        <v>340.1</v>
      </c>
      <c r="G380" s="2" t="str">
        <f aca="false">IF(ISNUMBER(MATCH(A380&amp;"|"&amp;D380,LR_Key,0)),A380&amp;"|"&amp;D380,A380&amp;"|All")</f>
        <v>FIXX-PLM-002|All</v>
      </c>
      <c r="H380" s="3" t="n">
        <f aca="false">IFERROR(INDEX(LR_TypLabor,MATCH(G380,LR_Key,0)),"")</f>
        <v>650</v>
      </c>
      <c r="I380" s="12" t="n">
        <f aca="false">INDEX(Urg_Mult,MATCH(E380,Urg_Levels,0))</f>
        <v>1.3</v>
      </c>
      <c r="J380" s="3" t="n">
        <f aca="false">IF(ISNUMBER(H380),MAX(H380,IFERROR(INDEX(MW_Floor,MATCH(G380,MW_Key,0)),0))*I380,"")</f>
        <v>845</v>
      </c>
      <c r="K380" s="3" t="n">
        <f aca="false">IF(ISNUMBER(J380),F380+J380,"")</f>
        <v>1185.1</v>
      </c>
      <c r="L380" s="3" t="n">
        <f aca="false">IF(ISNUMBER(H380),MAX(H380,IFERROR(INDEX(MW_Floor,MATCH(G380,MW_Key,0)),0))*I380,"")</f>
        <v>845</v>
      </c>
      <c r="M380" s="2" t="str">
        <f aca="false">IFERROR(INDEX(LR_Flag,MATCH(G380,LR_Key,0)),"")</f>
        <v>none</v>
      </c>
      <c r="N380" s="2" t="str">
        <f aca="false">IFERROR(INDEX(MW_Check,MATCH(G380,MW_Key,0)),"")</f>
        <v>OK</v>
      </c>
      <c r="O380" s="0" t="str">
        <f aca="false">IF(NOT(ISNUMBER(H380)),"LABOR QUOTE NEEDED – total incomplete",IF(N380="BELOW FLOOR","CHECK: typical labor below wage floor – payout and customer labor raised to floor",IF(M380&lt;&gt;"none","Labor rate flagged: "&amp;M380,"OK")))</f>
        <v>OK</v>
      </c>
      <c r="P380" s="0" t="s">
        <v>1558</v>
      </c>
      <c r="Q380" s="8" t="s">
        <v>1559</v>
      </c>
      <c r="R380" s="2" t="str">
        <f aca="false">IF(OR(M380="regulated",COUNTIFS(Tasks_TaskID,A380,Tasks_Tier,D380,Tasks_Review,"base")&gt;0),"PENDING REVIEW – priced, not bookable until human approval",IF(COUNTIFS(Tasks_TaskID,A380,Tasks_Tier,D380,Tasks_Review,"as-needed")&gt;0,"Bookable (re-evaluate if regulated as-needed line selected)","Bookable"))</f>
        <v>Bookable</v>
      </c>
    </row>
    <row r="381" customFormat="false" ht="17.15" hidden="false" customHeight="false" outlineLevel="0" collapsed="false">
      <c r="A381" s="2" t="s">
        <v>1555</v>
      </c>
      <c r="B381" s="2" t="s">
        <v>107</v>
      </c>
      <c r="C381" s="2" t="s">
        <v>1556</v>
      </c>
      <c r="D381" s="2" t="s">
        <v>1049</v>
      </c>
      <c r="E381" s="2" t="s">
        <v>1898</v>
      </c>
      <c r="F381" s="3" t="n">
        <f aca="false">INDEX(Sum_Base,MATCH(A381,Sum_BaseTasks,0),MATCH(D381,Sum_BaseTiers,0))</f>
        <v>340.1</v>
      </c>
      <c r="G381" s="2" t="str">
        <f aca="false">IF(ISNUMBER(MATCH(A381&amp;"|"&amp;D381,LR_Key,0)),A381&amp;"|"&amp;D381,A381&amp;"|All")</f>
        <v>FIXX-PLM-002|All</v>
      </c>
      <c r="H381" s="3" t="n">
        <f aca="false">IFERROR(INDEX(LR_TypLabor,MATCH(G381,LR_Key,0)),"")</f>
        <v>650</v>
      </c>
      <c r="I381" s="12" t="n">
        <f aca="false">INDEX(Urg_Mult,MATCH(E381,Urg_Levels,0))</f>
        <v>1.5</v>
      </c>
      <c r="J381" s="3" t="n">
        <f aca="false">IF(ISNUMBER(H381),MAX(H381,IFERROR(INDEX(MW_Floor,MATCH(G381,MW_Key,0)),0))*I381,"")</f>
        <v>975</v>
      </c>
      <c r="K381" s="3" t="n">
        <f aca="false">IF(ISNUMBER(J381),F381+J381,"")</f>
        <v>1315.1</v>
      </c>
      <c r="L381" s="3" t="n">
        <f aca="false">IF(ISNUMBER(H381),MAX(H381,IFERROR(INDEX(MW_Floor,MATCH(G381,MW_Key,0)),0))*I381,"")</f>
        <v>975</v>
      </c>
      <c r="M381" s="2" t="str">
        <f aca="false">IFERROR(INDEX(LR_Flag,MATCH(G381,LR_Key,0)),"")</f>
        <v>none</v>
      </c>
      <c r="N381" s="2" t="str">
        <f aca="false">IFERROR(INDEX(MW_Check,MATCH(G381,MW_Key,0)),"")</f>
        <v>OK</v>
      </c>
      <c r="O381" s="0" t="str">
        <f aca="false">IF(NOT(ISNUMBER(H381)),"LABOR QUOTE NEEDED – total incomplete",IF(N381="BELOW FLOOR","CHECK: typical labor below wage floor – payout and customer labor raised to floor",IF(M381&lt;&gt;"none","Labor rate flagged: "&amp;M381,"OK")))</f>
        <v>OK</v>
      </c>
      <c r="P381" s="0" t="s">
        <v>1558</v>
      </c>
      <c r="Q381" s="8" t="s">
        <v>1559</v>
      </c>
      <c r="R381" s="2" t="str">
        <f aca="false">IF(OR(M381="regulated",COUNTIFS(Tasks_TaskID,A381,Tasks_Tier,D381,Tasks_Review,"base")&gt;0),"PENDING REVIEW – priced, not bookable until human approval",IF(COUNTIFS(Tasks_TaskID,A381,Tasks_Tier,D381,Tasks_Review,"as-needed")&gt;0,"Bookable (re-evaluate if regulated as-needed line selected)","Bookable"))</f>
        <v>Bookable</v>
      </c>
    </row>
    <row r="382" customFormat="false" ht="17.15" hidden="false" customHeight="false" outlineLevel="0" collapsed="false">
      <c r="A382" s="2" t="s">
        <v>1555</v>
      </c>
      <c r="B382" s="2" t="s">
        <v>107</v>
      </c>
      <c r="C382" s="2" t="s">
        <v>1556</v>
      </c>
      <c r="D382" s="2" t="s">
        <v>1051</v>
      </c>
      <c r="E382" s="2" t="s">
        <v>1895</v>
      </c>
      <c r="F382" s="3" t="n">
        <f aca="false">INDEX(Sum_Base,MATCH(A382,Sum_BaseTasks,0),MATCH(D382,Sum_BaseTiers,0))</f>
        <v>772.1</v>
      </c>
      <c r="G382" s="2" t="str">
        <f aca="false">IF(ISNUMBER(MATCH(A382&amp;"|"&amp;D382,LR_Key,0)),A382&amp;"|"&amp;D382,A382&amp;"|All")</f>
        <v>FIXX-PLM-002|All</v>
      </c>
      <c r="H382" s="3" t="n">
        <f aca="false">IFERROR(INDEX(LR_TypLabor,MATCH(G382,LR_Key,0)),"")</f>
        <v>650</v>
      </c>
      <c r="I382" s="12" t="n">
        <f aca="false">INDEX(Urg_Mult,MATCH(E382,Urg_Levels,0))</f>
        <v>1</v>
      </c>
      <c r="J382" s="3" t="n">
        <f aca="false">IF(ISNUMBER(H382),MAX(H382,IFERROR(INDEX(MW_Floor,MATCH(G382,MW_Key,0)),0))*I382,"")</f>
        <v>650</v>
      </c>
      <c r="K382" s="3" t="n">
        <f aca="false">IF(ISNUMBER(J382),F382+J382,"")</f>
        <v>1422.1</v>
      </c>
      <c r="L382" s="3" t="n">
        <f aca="false">IF(ISNUMBER(H382),MAX(H382,IFERROR(INDEX(MW_Floor,MATCH(G382,MW_Key,0)),0))*I382,"")</f>
        <v>650</v>
      </c>
      <c r="M382" s="2" t="str">
        <f aca="false">IFERROR(INDEX(LR_Flag,MATCH(G382,LR_Key,0)),"")</f>
        <v>none</v>
      </c>
      <c r="N382" s="2" t="str">
        <f aca="false">IFERROR(INDEX(MW_Check,MATCH(G382,MW_Key,0)),"")</f>
        <v>OK</v>
      </c>
      <c r="O382" s="0" t="str">
        <f aca="false">IF(NOT(ISNUMBER(H382)),"LABOR QUOTE NEEDED – total incomplete",IF(N382="BELOW FLOOR","CHECK: typical labor below wage floor – payout and customer labor raised to floor",IF(M382&lt;&gt;"none","Labor rate flagged: "&amp;M382,"OK")))</f>
        <v>OK</v>
      </c>
      <c r="P382" s="0" t="s">
        <v>1558</v>
      </c>
      <c r="Q382" s="8" t="s">
        <v>1559</v>
      </c>
      <c r="R382" s="2" t="str">
        <f aca="false">IF(OR(M382="regulated",COUNTIFS(Tasks_TaskID,A382,Tasks_Tier,D382,Tasks_Review,"base")&gt;0),"PENDING REVIEW – priced, not bookable until human approval",IF(COUNTIFS(Tasks_TaskID,A382,Tasks_Tier,D382,Tasks_Review,"as-needed")&gt;0,"Bookable (re-evaluate if regulated as-needed line selected)","Bookable"))</f>
        <v>Bookable</v>
      </c>
    </row>
    <row r="383" customFormat="false" ht="17.15" hidden="false" customHeight="false" outlineLevel="0" collapsed="false">
      <c r="A383" s="2" t="s">
        <v>1555</v>
      </c>
      <c r="B383" s="2" t="s">
        <v>107</v>
      </c>
      <c r="C383" s="2" t="s">
        <v>1556</v>
      </c>
      <c r="D383" s="2" t="s">
        <v>1051</v>
      </c>
      <c r="E383" s="2" t="s">
        <v>1896</v>
      </c>
      <c r="F383" s="3" t="n">
        <f aca="false">INDEX(Sum_Base,MATCH(A383,Sum_BaseTasks,0),MATCH(D383,Sum_BaseTiers,0))</f>
        <v>772.1</v>
      </c>
      <c r="G383" s="2" t="str">
        <f aca="false">IF(ISNUMBER(MATCH(A383&amp;"|"&amp;D383,LR_Key,0)),A383&amp;"|"&amp;D383,A383&amp;"|All")</f>
        <v>FIXX-PLM-002|All</v>
      </c>
      <c r="H383" s="3" t="n">
        <f aca="false">IFERROR(INDEX(LR_TypLabor,MATCH(G383,LR_Key,0)),"")</f>
        <v>650</v>
      </c>
      <c r="I383" s="12" t="n">
        <f aca="false">INDEX(Urg_Mult,MATCH(E383,Urg_Levels,0))</f>
        <v>1.15</v>
      </c>
      <c r="J383" s="3" t="n">
        <f aca="false">IF(ISNUMBER(H383),MAX(H383,IFERROR(INDEX(MW_Floor,MATCH(G383,MW_Key,0)),0))*I383,"")</f>
        <v>747.5</v>
      </c>
      <c r="K383" s="3" t="n">
        <f aca="false">IF(ISNUMBER(J383),F383+J383,"")</f>
        <v>1519.6</v>
      </c>
      <c r="L383" s="3" t="n">
        <f aca="false">IF(ISNUMBER(H383),MAX(H383,IFERROR(INDEX(MW_Floor,MATCH(G383,MW_Key,0)),0))*I383,"")</f>
        <v>747.5</v>
      </c>
      <c r="M383" s="2" t="str">
        <f aca="false">IFERROR(INDEX(LR_Flag,MATCH(G383,LR_Key,0)),"")</f>
        <v>none</v>
      </c>
      <c r="N383" s="2" t="str">
        <f aca="false">IFERROR(INDEX(MW_Check,MATCH(G383,MW_Key,0)),"")</f>
        <v>OK</v>
      </c>
      <c r="O383" s="0" t="str">
        <f aca="false">IF(NOT(ISNUMBER(H383)),"LABOR QUOTE NEEDED – total incomplete",IF(N383="BELOW FLOOR","CHECK: typical labor below wage floor – payout and customer labor raised to floor",IF(M383&lt;&gt;"none","Labor rate flagged: "&amp;M383,"OK")))</f>
        <v>OK</v>
      </c>
      <c r="P383" s="0" t="s">
        <v>1558</v>
      </c>
      <c r="Q383" s="8" t="s">
        <v>1559</v>
      </c>
      <c r="R383" s="2" t="str">
        <f aca="false">IF(OR(M383="regulated",COUNTIFS(Tasks_TaskID,A383,Tasks_Tier,D383,Tasks_Review,"base")&gt;0),"PENDING REVIEW – priced, not bookable until human approval",IF(COUNTIFS(Tasks_TaskID,A383,Tasks_Tier,D383,Tasks_Review,"as-needed")&gt;0,"Bookable (re-evaluate if regulated as-needed line selected)","Bookable"))</f>
        <v>Bookable</v>
      </c>
    </row>
    <row r="384" customFormat="false" ht="17.15" hidden="false" customHeight="false" outlineLevel="0" collapsed="false">
      <c r="A384" s="2" t="s">
        <v>1555</v>
      </c>
      <c r="B384" s="2" t="s">
        <v>107</v>
      </c>
      <c r="C384" s="2" t="s">
        <v>1556</v>
      </c>
      <c r="D384" s="2" t="s">
        <v>1051</v>
      </c>
      <c r="E384" s="2" t="s">
        <v>1897</v>
      </c>
      <c r="F384" s="3" t="n">
        <f aca="false">INDEX(Sum_Base,MATCH(A384,Sum_BaseTasks,0),MATCH(D384,Sum_BaseTiers,0))</f>
        <v>772.1</v>
      </c>
      <c r="G384" s="2" t="str">
        <f aca="false">IF(ISNUMBER(MATCH(A384&amp;"|"&amp;D384,LR_Key,0)),A384&amp;"|"&amp;D384,A384&amp;"|All")</f>
        <v>FIXX-PLM-002|All</v>
      </c>
      <c r="H384" s="3" t="n">
        <f aca="false">IFERROR(INDEX(LR_TypLabor,MATCH(G384,LR_Key,0)),"")</f>
        <v>650</v>
      </c>
      <c r="I384" s="12" t="n">
        <f aca="false">INDEX(Urg_Mult,MATCH(E384,Urg_Levels,0))</f>
        <v>1.3</v>
      </c>
      <c r="J384" s="3" t="n">
        <f aca="false">IF(ISNUMBER(H384),MAX(H384,IFERROR(INDEX(MW_Floor,MATCH(G384,MW_Key,0)),0))*I384,"")</f>
        <v>845</v>
      </c>
      <c r="K384" s="3" t="n">
        <f aca="false">IF(ISNUMBER(J384),F384+J384,"")</f>
        <v>1617.1</v>
      </c>
      <c r="L384" s="3" t="n">
        <f aca="false">IF(ISNUMBER(H384),MAX(H384,IFERROR(INDEX(MW_Floor,MATCH(G384,MW_Key,0)),0))*I384,"")</f>
        <v>845</v>
      </c>
      <c r="M384" s="2" t="str">
        <f aca="false">IFERROR(INDEX(LR_Flag,MATCH(G384,LR_Key,0)),"")</f>
        <v>none</v>
      </c>
      <c r="N384" s="2" t="str">
        <f aca="false">IFERROR(INDEX(MW_Check,MATCH(G384,MW_Key,0)),"")</f>
        <v>OK</v>
      </c>
      <c r="O384" s="0" t="str">
        <f aca="false">IF(NOT(ISNUMBER(H384)),"LABOR QUOTE NEEDED – total incomplete",IF(N384="BELOW FLOOR","CHECK: typical labor below wage floor – payout and customer labor raised to floor",IF(M384&lt;&gt;"none","Labor rate flagged: "&amp;M384,"OK")))</f>
        <v>OK</v>
      </c>
      <c r="P384" s="0" t="s">
        <v>1558</v>
      </c>
      <c r="Q384" s="8" t="s">
        <v>1559</v>
      </c>
      <c r="R384" s="2" t="str">
        <f aca="false">IF(OR(M384="regulated",COUNTIFS(Tasks_TaskID,A384,Tasks_Tier,D384,Tasks_Review,"base")&gt;0),"PENDING REVIEW – priced, not bookable until human approval",IF(COUNTIFS(Tasks_TaskID,A384,Tasks_Tier,D384,Tasks_Review,"as-needed")&gt;0,"Bookable (re-evaluate if regulated as-needed line selected)","Bookable"))</f>
        <v>Bookable</v>
      </c>
    </row>
    <row r="385" customFormat="false" ht="17.15" hidden="false" customHeight="false" outlineLevel="0" collapsed="false">
      <c r="A385" s="2" t="s">
        <v>1555</v>
      </c>
      <c r="B385" s="2" t="s">
        <v>107</v>
      </c>
      <c r="C385" s="2" t="s">
        <v>1556</v>
      </c>
      <c r="D385" s="2" t="s">
        <v>1051</v>
      </c>
      <c r="E385" s="2" t="s">
        <v>1898</v>
      </c>
      <c r="F385" s="3" t="n">
        <f aca="false">INDEX(Sum_Base,MATCH(A385,Sum_BaseTasks,0),MATCH(D385,Sum_BaseTiers,0))</f>
        <v>772.1</v>
      </c>
      <c r="G385" s="2" t="str">
        <f aca="false">IF(ISNUMBER(MATCH(A385&amp;"|"&amp;D385,LR_Key,0)),A385&amp;"|"&amp;D385,A385&amp;"|All")</f>
        <v>FIXX-PLM-002|All</v>
      </c>
      <c r="H385" s="3" t="n">
        <f aca="false">IFERROR(INDEX(LR_TypLabor,MATCH(G385,LR_Key,0)),"")</f>
        <v>650</v>
      </c>
      <c r="I385" s="12" t="n">
        <f aca="false">INDEX(Urg_Mult,MATCH(E385,Urg_Levels,0))</f>
        <v>1.5</v>
      </c>
      <c r="J385" s="3" t="n">
        <f aca="false">IF(ISNUMBER(H385),MAX(H385,IFERROR(INDEX(MW_Floor,MATCH(G385,MW_Key,0)),0))*I385,"")</f>
        <v>975</v>
      </c>
      <c r="K385" s="3" t="n">
        <f aca="false">IF(ISNUMBER(J385),F385+J385,"")</f>
        <v>1747.1</v>
      </c>
      <c r="L385" s="3" t="n">
        <f aca="false">IF(ISNUMBER(H385),MAX(H385,IFERROR(INDEX(MW_Floor,MATCH(G385,MW_Key,0)),0))*I385,"")</f>
        <v>975</v>
      </c>
      <c r="M385" s="2" t="str">
        <f aca="false">IFERROR(INDEX(LR_Flag,MATCH(G385,LR_Key,0)),"")</f>
        <v>none</v>
      </c>
      <c r="N385" s="2" t="str">
        <f aca="false">IFERROR(INDEX(MW_Check,MATCH(G385,MW_Key,0)),"")</f>
        <v>OK</v>
      </c>
      <c r="O385" s="0" t="str">
        <f aca="false">IF(NOT(ISNUMBER(H385)),"LABOR QUOTE NEEDED – total incomplete",IF(N385="BELOW FLOOR","CHECK: typical labor below wage floor – payout and customer labor raised to floor",IF(M385&lt;&gt;"none","Labor rate flagged: "&amp;M385,"OK")))</f>
        <v>OK</v>
      </c>
      <c r="P385" s="0" t="s">
        <v>1558</v>
      </c>
      <c r="Q385" s="8" t="s">
        <v>1559</v>
      </c>
      <c r="R385" s="2" t="str">
        <f aca="false">IF(OR(M385="regulated",COUNTIFS(Tasks_TaskID,A385,Tasks_Tier,D385,Tasks_Review,"base")&gt;0),"PENDING REVIEW – priced, not bookable until human approval",IF(COUNTIFS(Tasks_TaskID,A385,Tasks_Tier,D385,Tasks_Review,"as-needed")&gt;0,"Bookable (re-evaluate if regulated as-needed line selected)","Bookable"))</f>
        <v>Bookable</v>
      </c>
    </row>
    <row r="386" customFormat="false" ht="17.15" hidden="false" customHeight="false" outlineLevel="0" collapsed="false">
      <c r="A386" s="2" t="s">
        <v>1569</v>
      </c>
      <c r="B386" s="2" t="s">
        <v>107</v>
      </c>
      <c r="C386" s="2" t="s">
        <v>1570</v>
      </c>
      <c r="D386" s="2" t="s">
        <v>1042</v>
      </c>
      <c r="E386" s="2" t="s">
        <v>1895</v>
      </c>
      <c r="F386" s="3" t="n">
        <f aca="false">INDEX(Sum_Base,MATCH(A386,Sum_BaseTasks,0),MATCH(D386,Sum_BaseTiers,0))</f>
        <v>152</v>
      </c>
      <c r="G386" s="2" t="str">
        <f aca="false">IF(ISNUMBER(MATCH(A386&amp;"|"&amp;D386,LR_Key,0)),A386&amp;"|"&amp;D386,A386&amp;"|All")</f>
        <v>FIXX-PLM-003|All</v>
      </c>
      <c r="H386" s="3" t="n">
        <f aca="false">IFERROR(INDEX(LR_TypLabor,MATCH(G386,LR_Key,0)),"")</f>
        <v>650</v>
      </c>
      <c r="I386" s="12" t="n">
        <f aca="false">INDEX(Urg_Mult,MATCH(E386,Urg_Levels,0))</f>
        <v>1</v>
      </c>
      <c r="J386" s="3" t="n">
        <f aca="false">IF(ISNUMBER(H386),MAX(H386,IFERROR(INDEX(MW_Floor,MATCH(G386,MW_Key,0)),0))*I386,"")</f>
        <v>650</v>
      </c>
      <c r="K386" s="3" t="n">
        <f aca="false">IF(ISNUMBER(J386),F386+J386,"")</f>
        <v>802</v>
      </c>
      <c r="L386" s="3" t="n">
        <f aca="false">IF(ISNUMBER(H386),MAX(H386,IFERROR(INDEX(MW_Floor,MATCH(G386,MW_Key,0)),0))*I386,"")</f>
        <v>650</v>
      </c>
      <c r="M386" s="2" t="str">
        <f aca="false">IFERROR(INDEX(LR_Flag,MATCH(G386,LR_Key,0)),"")</f>
        <v>none</v>
      </c>
      <c r="N386" s="2" t="str">
        <f aca="false">IFERROR(INDEX(MW_Check,MATCH(G386,MW_Key,0)),"")</f>
        <v>OK</v>
      </c>
      <c r="O386" s="0" t="str">
        <f aca="false">IF(NOT(ISNUMBER(H386)),"LABOR QUOTE NEEDED – total incomplete",IF(N386="BELOW FLOOR","CHECK: typical labor below wage floor – payout and customer labor raised to floor",IF(M386&lt;&gt;"none","Labor rate flagged: "&amp;M386,"OK")))</f>
        <v>OK</v>
      </c>
      <c r="P386" s="0" t="s">
        <v>1571</v>
      </c>
      <c r="Q386" s="8" t="s">
        <v>1572</v>
      </c>
      <c r="R386" s="2" t="str">
        <f aca="false">IF(OR(M386="regulated",COUNTIFS(Tasks_TaskID,A386,Tasks_Tier,D386,Tasks_Review,"base")&gt;0),"PENDING REVIEW – priced, not bookable until human approval",IF(COUNTIFS(Tasks_TaskID,A386,Tasks_Tier,D386,Tasks_Review,"as-needed")&gt;0,"Bookable (re-evaluate if regulated as-needed line selected)","Bookable"))</f>
        <v>Bookable</v>
      </c>
    </row>
    <row r="387" customFormat="false" ht="17.15" hidden="false" customHeight="false" outlineLevel="0" collapsed="false">
      <c r="A387" s="2" t="s">
        <v>1569</v>
      </c>
      <c r="B387" s="2" t="s">
        <v>107</v>
      </c>
      <c r="C387" s="2" t="s">
        <v>1570</v>
      </c>
      <c r="D387" s="2" t="s">
        <v>1042</v>
      </c>
      <c r="E387" s="2" t="s">
        <v>1896</v>
      </c>
      <c r="F387" s="3" t="n">
        <f aca="false">INDEX(Sum_Base,MATCH(A387,Sum_BaseTasks,0),MATCH(D387,Sum_BaseTiers,0))</f>
        <v>152</v>
      </c>
      <c r="G387" s="2" t="str">
        <f aca="false">IF(ISNUMBER(MATCH(A387&amp;"|"&amp;D387,LR_Key,0)),A387&amp;"|"&amp;D387,A387&amp;"|All")</f>
        <v>FIXX-PLM-003|All</v>
      </c>
      <c r="H387" s="3" t="n">
        <f aca="false">IFERROR(INDEX(LR_TypLabor,MATCH(G387,LR_Key,0)),"")</f>
        <v>650</v>
      </c>
      <c r="I387" s="12" t="n">
        <f aca="false">INDEX(Urg_Mult,MATCH(E387,Urg_Levels,0))</f>
        <v>1.15</v>
      </c>
      <c r="J387" s="3" t="n">
        <f aca="false">IF(ISNUMBER(H387),MAX(H387,IFERROR(INDEX(MW_Floor,MATCH(G387,MW_Key,0)),0))*I387,"")</f>
        <v>747.5</v>
      </c>
      <c r="K387" s="3" t="n">
        <f aca="false">IF(ISNUMBER(J387),F387+J387,"")</f>
        <v>899.5</v>
      </c>
      <c r="L387" s="3" t="n">
        <f aca="false">IF(ISNUMBER(H387),MAX(H387,IFERROR(INDEX(MW_Floor,MATCH(G387,MW_Key,0)),0))*I387,"")</f>
        <v>747.5</v>
      </c>
      <c r="M387" s="2" t="str">
        <f aca="false">IFERROR(INDEX(LR_Flag,MATCH(G387,LR_Key,0)),"")</f>
        <v>none</v>
      </c>
      <c r="N387" s="2" t="str">
        <f aca="false">IFERROR(INDEX(MW_Check,MATCH(G387,MW_Key,0)),"")</f>
        <v>OK</v>
      </c>
      <c r="O387" s="0" t="str">
        <f aca="false">IF(NOT(ISNUMBER(H387)),"LABOR QUOTE NEEDED – total incomplete",IF(N387="BELOW FLOOR","CHECK: typical labor below wage floor – payout and customer labor raised to floor",IF(M387&lt;&gt;"none","Labor rate flagged: "&amp;M387,"OK")))</f>
        <v>OK</v>
      </c>
      <c r="P387" s="0" t="s">
        <v>1571</v>
      </c>
      <c r="Q387" s="8" t="s">
        <v>1572</v>
      </c>
      <c r="R387" s="2" t="str">
        <f aca="false">IF(OR(M387="regulated",COUNTIFS(Tasks_TaskID,A387,Tasks_Tier,D387,Tasks_Review,"base")&gt;0),"PENDING REVIEW – priced, not bookable until human approval",IF(COUNTIFS(Tasks_TaskID,A387,Tasks_Tier,D387,Tasks_Review,"as-needed")&gt;0,"Bookable (re-evaluate if regulated as-needed line selected)","Bookable"))</f>
        <v>Bookable</v>
      </c>
    </row>
    <row r="388" customFormat="false" ht="17.15" hidden="false" customHeight="false" outlineLevel="0" collapsed="false">
      <c r="A388" s="2" t="s">
        <v>1569</v>
      </c>
      <c r="B388" s="2" t="s">
        <v>107</v>
      </c>
      <c r="C388" s="2" t="s">
        <v>1570</v>
      </c>
      <c r="D388" s="2" t="s">
        <v>1042</v>
      </c>
      <c r="E388" s="2" t="s">
        <v>1897</v>
      </c>
      <c r="F388" s="3" t="n">
        <f aca="false">INDEX(Sum_Base,MATCH(A388,Sum_BaseTasks,0),MATCH(D388,Sum_BaseTiers,0))</f>
        <v>152</v>
      </c>
      <c r="G388" s="2" t="str">
        <f aca="false">IF(ISNUMBER(MATCH(A388&amp;"|"&amp;D388,LR_Key,0)),A388&amp;"|"&amp;D388,A388&amp;"|All")</f>
        <v>FIXX-PLM-003|All</v>
      </c>
      <c r="H388" s="3" t="n">
        <f aca="false">IFERROR(INDEX(LR_TypLabor,MATCH(G388,LR_Key,0)),"")</f>
        <v>650</v>
      </c>
      <c r="I388" s="12" t="n">
        <f aca="false">INDEX(Urg_Mult,MATCH(E388,Urg_Levels,0))</f>
        <v>1.3</v>
      </c>
      <c r="J388" s="3" t="n">
        <f aca="false">IF(ISNUMBER(H388),MAX(H388,IFERROR(INDEX(MW_Floor,MATCH(G388,MW_Key,0)),0))*I388,"")</f>
        <v>845</v>
      </c>
      <c r="K388" s="3" t="n">
        <f aca="false">IF(ISNUMBER(J388),F388+J388,"")</f>
        <v>997</v>
      </c>
      <c r="L388" s="3" t="n">
        <f aca="false">IF(ISNUMBER(H388),MAX(H388,IFERROR(INDEX(MW_Floor,MATCH(G388,MW_Key,0)),0))*I388,"")</f>
        <v>845</v>
      </c>
      <c r="M388" s="2" t="str">
        <f aca="false">IFERROR(INDEX(LR_Flag,MATCH(G388,LR_Key,0)),"")</f>
        <v>none</v>
      </c>
      <c r="N388" s="2" t="str">
        <f aca="false">IFERROR(INDEX(MW_Check,MATCH(G388,MW_Key,0)),"")</f>
        <v>OK</v>
      </c>
      <c r="O388" s="0" t="str">
        <f aca="false">IF(NOT(ISNUMBER(H388)),"LABOR QUOTE NEEDED – total incomplete",IF(N388="BELOW FLOOR","CHECK: typical labor below wage floor – payout and customer labor raised to floor",IF(M388&lt;&gt;"none","Labor rate flagged: "&amp;M388,"OK")))</f>
        <v>OK</v>
      </c>
      <c r="P388" s="0" t="s">
        <v>1571</v>
      </c>
      <c r="Q388" s="8" t="s">
        <v>1572</v>
      </c>
      <c r="R388" s="2" t="str">
        <f aca="false">IF(OR(M388="regulated",COUNTIFS(Tasks_TaskID,A388,Tasks_Tier,D388,Tasks_Review,"base")&gt;0),"PENDING REVIEW – priced, not bookable until human approval",IF(COUNTIFS(Tasks_TaskID,A388,Tasks_Tier,D388,Tasks_Review,"as-needed")&gt;0,"Bookable (re-evaluate if regulated as-needed line selected)","Bookable"))</f>
        <v>Bookable</v>
      </c>
    </row>
    <row r="389" customFormat="false" ht="17.15" hidden="false" customHeight="false" outlineLevel="0" collapsed="false">
      <c r="A389" s="2" t="s">
        <v>1569</v>
      </c>
      <c r="B389" s="2" t="s">
        <v>107</v>
      </c>
      <c r="C389" s="2" t="s">
        <v>1570</v>
      </c>
      <c r="D389" s="2" t="s">
        <v>1042</v>
      </c>
      <c r="E389" s="2" t="s">
        <v>1898</v>
      </c>
      <c r="F389" s="3" t="n">
        <f aca="false">INDEX(Sum_Base,MATCH(A389,Sum_BaseTasks,0),MATCH(D389,Sum_BaseTiers,0))</f>
        <v>152</v>
      </c>
      <c r="G389" s="2" t="str">
        <f aca="false">IF(ISNUMBER(MATCH(A389&amp;"|"&amp;D389,LR_Key,0)),A389&amp;"|"&amp;D389,A389&amp;"|All")</f>
        <v>FIXX-PLM-003|All</v>
      </c>
      <c r="H389" s="3" t="n">
        <f aca="false">IFERROR(INDEX(LR_TypLabor,MATCH(G389,LR_Key,0)),"")</f>
        <v>650</v>
      </c>
      <c r="I389" s="12" t="n">
        <f aca="false">INDEX(Urg_Mult,MATCH(E389,Urg_Levels,0))</f>
        <v>1.5</v>
      </c>
      <c r="J389" s="3" t="n">
        <f aca="false">IF(ISNUMBER(H389),MAX(H389,IFERROR(INDEX(MW_Floor,MATCH(G389,MW_Key,0)),0))*I389,"")</f>
        <v>975</v>
      </c>
      <c r="K389" s="3" t="n">
        <f aca="false">IF(ISNUMBER(J389),F389+J389,"")</f>
        <v>1127</v>
      </c>
      <c r="L389" s="3" t="n">
        <f aca="false">IF(ISNUMBER(H389),MAX(H389,IFERROR(INDEX(MW_Floor,MATCH(G389,MW_Key,0)),0))*I389,"")</f>
        <v>975</v>
      </c>
      <c r="M389" s="2" t="str">
        <f aca="false">IFERROR(INDEX(LR_Flag,MATCH(G389,LR_Key,0)),"")</f>
        <v>none</v>
      </c>
      <c r="N389" s="2" t="str">
        <f aca="false">IFERROR(INDEX(MW_Check,MATCH(G389,MW_Key,0)),"")</f>
        <v>OK</v>
      </c>
      <c r="O389" s="0" t="str">
        <f aca="false">IF(NOT(ISNUMBER(H389)),"LABOR QUOTE NEEDED – total incomplete",IF(N389="BELOW FLOOR","CHECK: typical labor below wage floor – payout and customer labor raised to floor",IF(M389&lt;&gt;"none","Labor rate flagged: "&amp;M389,"OK")))</f>
        <v>OK</v>
      </c>
      <c r="P389" s="0" t="s">
        <v>1571</v>
      </c>
      <c r="Q389" s="8" t="s">
        <v>1572</v>
      </c>
      <c r="R389" s="2" t="str">
        <f aca="false">IF(OR(M389="regulated",COUNTIFS(Tasks_TaskID,A389,Tasks_Tier,D389,Tasks_Review,"base")&gt;0),"PENDING REVIEW – priced, not bookable until human approval",IF(COUNTIFS(Tasks_TaskID,A389,Tasks_Tier,D389,Tasks_Review,"as-needed")&gt;0,"Bookable (re-evaluate if regulated as-needed line selected)","Bookable"))</f>
        <v>Bookable</v>
      </c>
    </row>
    <row r="390" customFormat="false" ht="17.15" hidden="false" customHeight="false" outlineLevel="0" collapsed="false">
      <c r="A390" s="2" t="s">
        <v>1569</v>
      </c>
      <c r="B390" s="2" t="s">
        <v>107</v>
      </c>
      <c r="C390" s="2" t="s">
        <v>1570</v>
      </c>
      <c r="D390" s="2" t="s">
        <v>1049</v>
      </c>
      <c r="E390" s="2" t="s">
        <v>1895</v>
      </c>
      <c r="F390" s="3" t="n">
        <f aca="false">INDEX(Sum_Base,MATCH(A390,Sum_BaseTasks,0),MATCH(D390,Sum_BaseTiers,0))</f>
        <v>152</v>
      </c>
      <c r="G390" s="2" t="str">
        <f aca="false">IF(ISNUMBER(MATCH(A390&amp;"|"&amp;D390,LR_Key,0)),A390&amp;"|"&amp;D390,A390&amp;"|All")</f>
        <v>FIXX-PLM-003|All</v>
      </c>
      <c r="H390" s="3" t="n">
        <f aca="false">IFERROR(INDEX(LR_TypLabor,MATCH(G390,LR_Key,0)),"")</f>
        <v>650</v>
      </c>
      <c r="I390" s="12" t="n">
        <f aca="false">INDEX(Urg_Mult,MATCH(E390,Urg_Levels,0))</f>
        <v>1</v>
      </c>
      <c r="J390" s="3" t="n">
        <f aca="false">IF(ISNUMBER(H390),MAX(H390,IFERROR(INDEX(MW_Floor,MATCH(G390,MW_Key,0)),0))*I390,"")</f>
        <v>650</v>
      </c>
      <c r="K390" s="3" t="n">
        <f aca="false">IF(ISNUMBER(J390),F390+J390,"")</f>
        <v>802</v>
      </c>
      <c r="L390" s="3" t="n">
        <f aca="false">IF(ISNUMBER(H390),MAX(H390,IFERROR(INDEX(MW_Floor,MATCH(G390,MW_Key,0)),0))*I390,"")</f>
        <v>650</v>
      </c>
      <c r="M390" s="2" t="str">
        <f aca="false">IFERROR(INDEX(LR_Flag,MATCH(G390,LR_Key,0)),"")</f>
        <v>none</v>
      </c>
      <c r="N390" s="2" t="str">
        <f aca="false">IFERROR(INDEX(MW_Check,MATCH(G390,MW_Key,0)),"")</f>
        <v>OK</v>
      </c>
      <c r="O390" s="0" t="str">
        <f aca="false">IF(NOT(ISNUMBER(H390)),"LABOR QUOTE NEEDED – total incomplete",IF(N390="BELOW FLOOR","CHECK: typical labor below wage floor – payout and customer labor raised to floor",IF(M390&lt;&gt;"none","Labor rate flagged: "&amp;M390,"OK")))</f>
        <v>OK</v>
      </c>
      <c r="P390" s="0" t="s">
        <v>1571</v>
      </c>
      <c r="Q390" s="8" t="s">
        <v>1572</v>
      </c>
      <c r="R390" s="2" t="str">
        <f aca="false">IF(OR(M390="regulated",COUNTIFS(Tasks_TaskID,A390,Tasks_Tier,D390,Tasks_Review,"base")&gt;0),"PENDING REVIEW – priced, not bookable until human approval",IF(COUNTIFS(Tasks_TaskID,A390,Tasks_Tier,D390,Tasks_Review,"as-needed")&gt;0,"Bookable (re-evaluate if regulated as-needed line selected)","Bookable"))</f>
        <v>Bookable</v>
      </c>
    </row>
    <row r="391" customFormat="false" ht="17.15" hidden="false" customHeight="false" outlineLevel="0" collapsed="false">
      <c r="A391" s="2" t="s">
        <v>1569</v>
      </c>
      <c r="B391" s="2" t="s">
        <v>107</v>
      </c>
      <c r="C391" s="2" t="s">
        <v>1570</v>
      </c>
      <c r="D391" s="2" t="s">
        <v>1049</v>
      </c>
      <c r="E391" s="2" t="s">
        <v>1896</v>
      </c>
      <c r="F391" s="3" t="n">
        <f aca="false">INDEX(Sum_Base,MATCH(A391,Sum_BaseTasks,0),MATCH(D391,Sum_BaseTiers,0))</f>
        <v>152</v>
      </c>
      <c r="G391" s="2" t="str">
        <f aca="false">IF(ISNUMBER(MATCH(A391&amp;"|"&amp;D391,LR_Key,0)),A391&amp;"|"&amp;D391,A391&amp;"|All")</f>
        <v>FIXX-PLM-003|All</v>
      </c>
      <c r="H391" s="3" t="n">
        <f aca="false">IFERROR(INDEX(LR_TypLabor,MATCH(G391,LR_Key,0)),"")</f>
        <v>650</v>
      </c>
      <c r="I391" s="12" t="n">
        <f aca="false">INDEX(Urg_Mult,MATCH(E391,Urg_Levels,0))</f>
        <v>1.15</v>
      </c>
      <c r="J391" s="3" t="n">
        <f aca="false">IF(ISNUMBER(H391),MAX(H391,IFERROR(INDEX(MW_Floor,MATCH(G391,MW_Key,0)),0))*I391,"")</f>
        <v>747.5</v>
      </c>
      <c r="K391" s="3" t="n">
        <f aca="false">IF(ISNUMBER(J391),F391+J391,"")</f>
        <v>899.5</v>
      </c>
      <c r="L391" s="3" t="n">
        <f aca="false">IF(ISNUMBER(H391),MAX(H391,IFERROR(INDEX(MW_Floor,MATCH(G391,MW_Key,0)),0))*I391,"")</f>
        <v>747.5</v>
      </c>
      <c r="M391" s="2" t="str">
        <f aca="false">IFERROR(INDEX(LR_Flag,MATCH(G391,LR_Key,0)),"")</f>
        <v>none</v>
      </c>
      <c r="N391" s="2" t="str">
        <f aca="false">IFERROR(INDEX(MW_Check,MATCH(G391,MW_Key,0)),"")</f>
        <v>OK</v>
      </c>
      <c r="O391" s="0" t="str">
        <f aca="false">IF(NOT(ISNUMBER(H391)),"LABOR QUOTE NEEDED – total incomplete",IF(N391="BELOW FLOOR","CHECK: typical labor below wage floor – payout and customer labor raised to floor",IF(M391&lt;&gt;"none","Labor rate flagged: "&amp;M391,"OK")))</f>
        <v>OK</v>
      </c>
      <c r="P391" s="0" t="s">
        <v>1571</v>
      </c>
      <c r="Q391" s="8" t="s">
        <v>1572</v>
      </c>
      <c r="R391" s="2" t="str">
        <f aca="false">IF(OR(M391="regulated",COUNTIFS(Tasks_TaskID,A391,Tasks_Tier,D391,Tasks_Review,"base")&gt;0),"PENDING REVIEW – priced, not bookable until human approval",IF(COUNTIFS(Tasks_TaskID,A391,Tasks_Tier,D391,Tasks_Review,"as-needed")&gt;0,"Bookable (re-evaluate if regulated as-needed line selected)","Bookable"))</f>
        <v>Bookable</v>
      </c>
    </row>
    <row r="392" customFormat="false" ht="17.15" hidden="false" customHeight="false" outlineLevel="0" collapsed="false">
      <c r="A392" s="2" t="s">
        <v>1569</v>
      </c>
      <c r="B392" s="2" t="s">
        <v>107</v>
      </c>
      <c r="C392" s="2" t="s">
        <v>1570</v>
      </c>
      <c r="D392" s="2" t="s">
        <v>1049</v>
      </c>
      <c r="E392" s="2" t="s">
        <v>1897</v>
      </c>
      <c r="F392" s="3" t="n">
        <f aca="false">INDEX(Sum_Base,MATCH(A392,Sum_BaseTasks,0),MATCH(D392,Sum_BaseTiers,0))</f>
        <v>152</v>
      </c>
      <c r="G392" s="2" t="str">
        <f aca="false">IF(ISNUMBER(MATCH(A392&amp;"|"&amp;D392,LR_Key,0)),A392&amp;"|"&amp;D392,A392&amp;"|All")</f>
        <v>FIXX-PLM-003|All</v>
      </c>
      <c r="H392" s="3" t="n">
        <f aca="false">IFERROR(INDEX(LR_TypLabor,MATCH(G392,LR_Key,0)),"")</f>
        <v>650</v>
      </c>
      <c r="I392" s="12" t="n">
        <f aca="false">INDEX(Urg_Mult,MATCH(E392,Urg_Levels,0))</f>
        <v>1.3</v>
      </c>
      <c r="J392" s="3" t="n">
        <f aca="false">IF(ISNUMBER(H392),MAX(H392,IFERROR(INDEX(MW_Floor,MATCH(G392,MW_Key,0)),0))*I392,"")</f>
        <v>845</v>
      </c>
      <c r="K392" s="3" t="n">
        <f aca="false">IF(ISNUMBER(J392),F392+J392,"")</f>
        <v>997</v>
      </c>
      <c r="L392" s="3" t="n">
        <f aca="false">IF(ISNUMBER(H392),MAX(H392,IFERROR(INDEX(MW_Floor,MATCH(G392,MW_Key,0)),0))*I392,"")</f>
        <v>845</v>
      </c>
      <c r="M392" s="2" t="str">
        <f aca="false">IFERROR(INDEX(LR_Flag,MATCH(G392,LR_Key,0)),"")</f>
        <v>none</v>
      </c>
      <c r="N392" s="2" t="str">
        <f aca="false">IFERROR(INDEX(MW_Check,MATCH(G392,MW_Key,0)),"")</f>
        <v>OK</v>
      </c>
      <c r="O392" s="0" t="str">
        <f aca="false">IF(NOT(ISNUMBER(H392)),"LABOR QUOTE NEEDED – total incomplete",IF(N392="BELOW FLOOR","CHECK: typical labor below wage floor – payout and customer labor raised to floor",IF(M392&lt;&gt;"none","Labor rate flagged: "&amp;M392,"OK")))</f>
        <v>OK</v>
      </c>
      <c r="P392" s="0" t="s">
        <v>1571</v>
      </c>
      <c r="Q392" s="8" t="s">
        <v>1572</v>
      </c>
      <c r="R392" s="2" t="str">
        <f aca="false">IF(OR(M392="regulated",COUNTIFS(Tasks_TaskID,A392,Tasks_Tier,D392,Tasks_Review,"base")&gt;0),"PENDING REVIEW – priced, not bookable until human approval",IF(COUNTIFS(Tasks_TaskID,A392,Tasks_Tier,D392,Tasks_Review,"as-needed")&gt;0,"Bookable (re-evaluate if regulated as-needed line selected)","Bookable"))</f>
        <v>Bookable</v>
      </c>
    </row>
    <row r="393" customFormat="false" ht="17.15" hidden="false" customHeight="false" outlineLevel="0" collapsed="false">
      <c r="A393" s="2" t="s">
        <v>1569</v>
      </c>
      <c r="B393" s="2" t="s">
        <v>107</v>
      </c>
      <c r="C393" s="2" t="s">
        <v>1570</v>
      </c>
      <c r="D393" s="2" t="s">
        <v>1049</v>
      </c>
      <c r="E393" s="2" t="s">
        <v>1898</v>
      </c>
      <c r="F393" s="3" t="n">
        <f aca="false">INDEX(Sum_Base,MATCH(A393,Sum_BaseTasks,0),MATCH(D393,Sum_BaseTiers,0))</f>
        <v>152</v>
      </c>
      <c r="G393" s="2" t="str">
        <f aca="false">IF(ISNUMBER(MATCH(A393&amp;"|"&amp;D393,LR_Key,0)),A393&amp;"|"&amp;D393,A393&amp;"|All")</f>
        <v>FIXX-PLM-003|All</v>
      </c>
      <c r="H393" s="3" t="n">
        <f aca="false">IFERROR(INDEX(LR_TypLabor,MATCH(G393,LR_Key,0)),"")</f>
        <v>650</v>
      </c>
      <c r="I393" s="12" t="n">
        <f aca="false">INDEX(Urg_Mult,MATCH(E393,Urg_Levels,0))</f>
        <v>1.5</v>
      </c>
      <c r="J393" s="3" t="n">
        <f aca="false">IF(ISNUMBER(H393),MAX(H393,IFERROR(INDEX(MW_Floor,MATCH(G393,MW_Key,0)),0))*I393,"")</f>
        <v>975</v>
      </c>
      <c r="K393" s="3" t="n">
        <f aca="false">IF(ISNUMBER(J393),F393+J393,"")</f>
        <v>1127</v>
      </c>
      <c r="L393" s="3" t="n">
        <f aca="false">IF(ISNUMBER(H393),MAX(H393,IFERROR(INDEX(MW_Floor,MATCH(G393,MW_Key,0)),0))*I393,"")</f>
        <v>975</v>
      </c>
      <c r="M393" s="2" t="str">
        <f aca="false">IFERROR(INDEX(LR_Flag,MATCH(G393,LR_Key,0)),"")</f>
        <v>none</v>
      </c>
      <c r="N393" s="2" t="str">
        <f aca="false">IFERROR(INDEX(MW_Check,MATCH(G393,MW_Key,0)),"")</f>
        <v>OK</v>
      </c>
      <c r="O393" s="0" t="str">
        <f aca="false">IF(NOT(ISNUMBER(H393)),"LABOR QUOTE NEEDED – total incomplete",IF(N393="BELOW FLOOR","CHECK: typical labor below wage floor – payout and customer labor raised to floor",IF(M393&lt;&gt;"none","Labor rate flagged: "&amp;M393,"OK")))</f>
        <v>OK</v>
      </c>
      <c r="P393" s="0" t="s">
        <v>1571</v>
      </c>
      <c r="Q393" s="8" t="s">
        <v>1572</v>
      </c>
      <c r="R393" s="2" t="str">
        <f aca="false">IF(OR(M393="regulated",COUNTIFS(Tasks_TaskID,A393,Tasks_Tier,D393,Tasks_Review,"base")&gt;0),"PENDING REVIEW – priced, not bookable until human approval",IF(COUNTIFS(Tasks_TaskID,A393,Tasks_Tier,D393,Tasks_Review,"as-needed")&gt;0,"Bookable (re-evaluate if regulated as-needed line selected)","Bookable"))</f>
        <v>Bookable</v>
      </c>
    </row>
    <row r="394" customFormat="false" ht="17.15" hidden="false" customHeight="false" outlineLevel="0" collapsed="false">
      <c r="A394" s="2" t="s">
        <v>1569</v>
      </c>
      <c r="B394" s="2" t="s">
        <v>107</v>
      </c>
      <c r="C394" s="2" t="s">
        <v>1570</v>
      </c>
      <c r="D394" s="2" t="s">
        <v>1051</v>
      </c>
      <c r="E394" s="2" t="s">
        <v>1895</v>
      </c>
      <c r="F394" s="3" t="n">
        <f aca="false">INDEX(Sum_Base,MATCH(A394,Sum_BaseTasks,0),MATCH(D394,Sum_BaseTiers,0))</f>
        <v>152</v>
      </c>
      <c r="G394" s="2" t="str">
        <f aca="false">IF(ISNUMBER(MATCH(A394&amp;"|"&amp;D394,LR_Key,0)),A394&amp;"|"&amp;D394,A394&amp;"|All")</f>
        <v>FIXX-PLM-003|All</v>
      </c>
      <c r="H394" s="3" t="n">
        <f aca="false">IFERROR(INDEX(LR_TypLabor,MATCH(G394,LR_Key,0)),"")</f>
        <v>650</v>
      </c>
      <c r="I394" s="12" t="n">
        <f aca="false">INDEX(Urg_Mult,MATCH(E394,Urg_Levels,0))</f>
        <v>1</v>
      </c>
      <c r="J394" s="3" t="n">
        <f aca="false">IF(ISNUMBER(H394),MAX(H394,IFERROR(INDEX(MW_Floor,MATCH(G394,MW_Key,0)),0))*I394,"")</f>
        <v>650</v>
      </c>
      <c r="K394" s="3" t="n">
        <f aca="false">IF(ISNUMBER(J394),F394+J394,"")</f>
        <v>802</v>
      </c>
      <c r="L394" s="3" t="n">
        <f aca="false">IF(ISNUMBER(H394),MAX(H394,IFERROR(INDEX(MW_Floor,MATCH(G394,MW_Key,0)),0))*I394,"")</f>
        <v>650</v>
      </c>
      <c r="M394" s="2" t="str">
        <f aca="false">IFERROR(INDEX(LR_Flag,MATCH(G394,LR_Key,0)),"")</f>
        <v>none</v>
      </c>
      <c r="N394" s="2" t="str">
        <f aca="false">IFERROR(INDEX(MW_Check,MATCH(G394,MW_Key,0)),"")</f>
        <v>OK</v>
      </c>
      <c r="O394" s="0" t="str">
        <f aca="false">IF(NOT(ISNUMBER(H394)),"LABOR QUOTE NEEDED – total incomplete",IF(N394="BELOW FLOOR","CHECK: typical labor below wage floor – payout and customer labor raised to floor",IF(M394&lt;&gt;"none","Labor rate flagged: "&amp;M394,"OK")))</f>
        <v>OK</v>
      </c>
      <c r="P394" s="0" t="s">
        <v>1571</v>
      </c>
      <c r="Q394" s="8" t="s">
        <v>1572</v>
      </c>
      <c r="R394" s="2" t="str">
        <f aca="false">IF(OR(M394="regulated",COUNTIFS(Tasks_TaskID,A394,Tasks_Tier,D394,Tasks_Review,"base")&gt;0),"PENDING REVIEW – priced, not bookable until human approval",IF(COUNTIFS(Tasks_TaskID,A394,Tasks_Tier,D394,Tasks_Review,"as-needed")&gt;0,"Bookable (re-evaluate if regulated as-needed line selected)","Bookable"))</f>
        <v>Bookable</v>
      </c>
    </row>
    <row r="395" customFormat="false" ht="17.15" hidden="false" customHeight="false" outlineLevel="0" collapsed="false">
      <c r="A395" s="2" t="s">
        <v>1569</v>
      </c>
      <c r="B395" s="2" t="s">
        <v>107</v>
      </c>
      <c r="C395" s="2" t="s">
        <v>1570</v>
      </c>
      <c r="D395" s="2" t="s">
        <v>1051</v>
      </c>
      <c r="E395" s="2" t="s">
        <v>1896</v>
      </c>
      <c r="F395" s="3" t="n">
        <f aca="false">INDEX(Sum_Base,MATCH(A395,Sum_BaseTasks,0),MATCH(D395,Sum_BaseTiers,0))</f>
        <v>152</v>
      </c>
      <c r="G395" s="2" t="str">
        <f aca="false">IF(ISNUMBER(MATCH(A395&amp;"|"&amp;D395,LR_Key,0)),A395&amp;"|"&amp;D395,A395&amp;"|All")</f>
        <v>FIXX-PLM-003|All</v>
      </c>
      <c r="H395" s="3" t="n">
        <f aca="false">IFERROR(INDEX(LR_TypLabor,MATCH(G395,LR_Key,0)),"")</f>
        <v>650</v>
      </c>
      <c r="I395" s="12" t="n">
        <f aca="false">INDEX(Urg_Mult,MATCH(E395,Urg_Levels,0))</f>
        <v>1.15</v>
      </c>
      <c r="J395" s="3" t="n">
        <f aca="false">IF(ISNUMBER(H395),MAX(H395,IFERROR(INDEX(MW_Floor,MATCH(G395,MW_Key,0)),0))*I395,"")</f>
        <v>747.5</v>
      </c>
      <c r="K395" s="3" t="n">
        <f aca="false">IF(ISNUMBER(J395),F395+J395,"")</f>
        <v>899.5</v>
      </c>
      <c r="L395" s="3" t="n">
        <f aca="false">IF(ISNUMBER(H395),MAX(H395,IFERROR(INDEX(MW_Floor,MATCH(G395,MW_Key,0)),0))*I395,"")</f>
        <v>747.5</v>
      </c>
      <c r="M395" s="2" t="str">
        <f aca="false">IFERROR(INDEX(LR_Flag,MATCH(G395,LR_Key,0)),"")</f>
        <v>none</v>
      </c>
      <c r="N395" s="2" t="str">
        <f aca="false">IFERROR(INDEX(MW_Check,MATCH(G395,MW_Key,0)),"")</f>
        <v>OK</v>
      </c>
      <c r="O395" s="0" t="str">
        <f aca="false">IF(NOT(ISNUMBER(H395)),"LABOR QUOTE NEEDED – total incomplete",IF(N395="BELOW FLOOR","CHECK: typical labor below wage floor – payout and customer labor raised to floor",IF(M395&lt;&gt;"none","Labor rate flagged: "&amp;M395,"OK")))</f>
        <v>OK</v>
      </c>
      <c r="P395" s="0" t="s">
        <v>1571</v>
      </c>
      <c r="Q395" s="8" t="s">
        <v>1572</v>
      </c>
      <c r="R395" s="2" t="str">
        <f aca="false">IF(OR(M395="regulated",COUNTIFS(Tasks_TaskID,A395,Tasks_Tier,D395,Tasks_Review,"base")&gt;0),"PENDING REVIEW – priced, not bookable until human approval",IF(COUNTIFS(Tasks_TaskID,A395,Tasks_Tier,D395,Tasks_Review,"as-needed")&gt;0,"Bookable (re-evaluate if regulated as-needed line selected)","Bookable"))</f>
        <v>Bookable</v>
      </c>
    </row>
    <row r="396" customFormat="false" ht="17.15" hidden="false" customHeight="false" outlineLevel="0" collapsed="false">
      <c r="A396" s="2" t="s">
        <v>1569</v>
      </c>
      <c r="B396" s="2" t="s">
        <v>107</v>
      </c>
      <c r="C396" s="2" t="s">
        <v>1570</v>
      </c>
      <c r="D396" s="2" t="s">
        <v>1051</v>
      </c>
      <c r="E396" s="2" t="s">
        <v>1897</v>
      </c>
      <c r="F396" s="3" t="n">
        <f aca="false">INDEX(Sum_Base,MATCH(A396,Sum_BaseTasks,0),MATCH(D396,Sum_BaseTiers,0))</f>
        <v>152</v>
      </c>
      <c r="G396" s="2" t="str">
        <f aca="false">IF(ISNUMBER(MATCH(A396&amp;"|"&amp;D396,LR_Key,0)),A396&amp;"|"&amp;D396,A396&amp;"|All")</f>
        <v>FIXX-PLM-003|All</v>
      </c>
      <c r="H396" s="3" t="n">
        <f aca="false">IFERROR(INDEX(LR_TypLabor,MATCH(G396,LR_Key,0)),"")</f>
        <v>650</v>
      </c>
      <c r="I396" s="12" t="n">
        <f aca="false">INDEX(Urg_Mult,MATCH(E396,Urg_Levels,0))</f>
        <v>1.3</v>
      </c>
      <c r="J396" s="3" t="n">
        <f aca="false">IF(ISNUMBER(H396),MAX(H396,IFERROR(INDEX(MW_Floor,MATCH(G396,MW_Key,0)),0))*I396,"")</f>
        <v>845</v>
      </c>
      <c r="K396" s="3" t="n">
        <f aca="false">IF(ISNUMBER(J396),F396+J396,"")</f>
        <v>997</v>
      </c>
      <c r="L396" s="3" t="n">
        <f aca="false">IF(ISNUMBER(H396),MAX(H396,IFERROR(INDEX(MW_Floor,MATCH(G396,MW_Key,0)),0))*I396,"")</f>
        <v>845</v>
      </c>
      <c r="M396" s="2" t="str">
        <f aca="false">IFERROR(INDEX(LR_Flag,MATCH(G396,LR_Key,0)),"")</f>
        <v>none</v>
      </c>
      <c r="N396" s="2" t="str">
        <f aca="false">IFERROR(INDEX(MW_Check,MATCH(G396,MW_Key,0)),"")</f>
        <v>OK</v>
      </c>
      <c r="O396" s="0" t="str">
        <f aca="false">IF(NOT(ISNUMBER(H396)),"LABOR QUOTE NEEDED – total incomplete",IF(N396="BELOW FLOOR","CHECK: typical labor below wage floor – payout and customer labor raised to floor",IF(M396&lt;&gt;"none","Labor rate flagged: "&amp;M396,"OK")))</f>
        <v>OK</v>
      </c>
      <c r="P396" s="0" t="s">
        <v>1571</v>
      </c>
      <c r="Q396" s="8" t="s">
        <v>1572</v>
      </c>
      <c r="R396" s="2" t="str">
        <f aca="false">IF(OR(M396="regulated",COUNTIFS(Tasks_TaskID,A396,Tasks_Tier,D396,Tasks_Review,"base")&gt;0),"PENDING REVIEW – priced, not bookable until human approval",IF(COUNTIFS(Tasks_TaskID,A396,Tasks_Tier,D396,Tasks_Review,"as-needed")&gt;0,"Bookable (re-evaluate if regulated as-needed line selected)","Bookable"))</f>
        <v>Bookable</v>
      </c>
    </row>
    <row r="397" customFormat="false" ht="17.15" hidden="false" customHeight="false" outlineLevel="0" collapsed="false">
      <c r="A397" s="2" t="s">
        <v>1569</v>
      </c>
      <c r="B397" s="2" t="s">
        <v>107</v>
      </c>
      <c r="C397" s="2" t="s">
        <v>1570</v>
      </c>
      <c r="D397" s="2" t="s">
        <v>1051</v>
      </c>
      <c r="E397" s="2" t="s">
        <v>1898</v>
      </c>
      <c r="F397" s="3" t="n">
        <f aca="false">INDEX(Sum_Base,MATCH(A397,Sum_BaseTasks,0),MATCH(D397,Sum_BaseTiers,0))</f>
        <v>152</v>
      </c>
      <c r="G397" s="2" t="str">
        <f aca="false">IF(ISNUMBER(MATCH(A397&amp;"|"&amp;D397,LR_Key,0)),A397&amp;"|"&amp;D397,A397&amp;"|All")</f>
        <v>FIXX-PLM-003|All</v>
      </c>
      <c r="H397" s="3" t="n">
        <f aca="false">IFERROR(INDEX(LR_TypLabor,MATCH(G397,LR_Key,0)),"")</f>
        <v>650</v>
      </c>
      <c r="I397" s="12" t="n">
        <f aca="false">INDEX(Urg_Mult,MATCH(E397,Urg_Levels,0))</f>
        <v>1.5</v>
      </c>
      <c r="J397" s="3" t="n">
        <f aca="false">IF(ISNUMBER(H397),MAX(H397,IFERROR(INDEX(MW_Floor,MATCH(G397,MW_Key,0)),0))*I397,"")</f>
        <v>975</v>
      </c>
      <c r="K397" s="3" t="n">
        <f aca="false">IF(ISNUMBER(J397),F397+J397,"")</f>
        <v>1127</v>
      </c>
      <c r="L397" s="3" t="n">
        <f aca="false">IF(ISNUMBER(H397),MAX(H397,IFERROR(INDEX(MW_Floor,MATCH(G397,MW_Key,0)),0))*I397,"")</f>
        <v>975</v>
      </c>
      <c r="M397" s="2" t="str">
        <f aca="false">IFERROR(INDEX(LR_Flag,MATCH(G397,LR_Key,0)),"")</f>
        <v>none</v>
      </c>
      <c r="N397" s="2" t="str">
        <f aca="false">IFERROR(INDEX(MW_Check,MATCH(G397,MW_Key,0)),"")</f>
        <v>OK</v>
      </c>
      <c r="O397" s="0" t="str">
        <f aca="false">IF(NOT(ISNUMBER(H397)),"LABOR QUOTE NEEDED – total incomplete",IF(N397="BELOW FLOOR","CHECK: typical labor below wage floor – payout and customer labor raised to floor",IF(M397&lt;&gt;"none","Labor rate flagged: "&amp;M397,"OK")))</f>
        <v>OK</v>
      </c>
      <c r="P397" s="0" t="s">
        <v>1571</v>
      </c>
      <c r="Q397" s="8" t="s">
        <v>1572</v>
      </c>
      <c r="R397" s="2" t="str">
        <f aca="false">IF(OR(M397="regulated",COUNTIFS(Tasks_TaskID,A397,Tasks_Tier,D397,Tasks_Review,"base")&gt;0),"PENDING REVIEW – priced, not bookable until human approval",IF(COUNTIFS(Tasks_TaskID,A397,Tasks_Tier,D397,Tasks_Review,"as-needed")&gt;0,"Bookable (re-evaluate if regulated as-needed line selected)","Bookable"))</f>
        <v>Bookable</v>
      </c>
    </row>
    <row r="398" customFormat="false" ht="17.15" hidden="false" customHeight="false" outlineLevel="0" collapsed="false">
      <c r="A398" s="2" t="s">
        <v>1596</v>
      </c>
      <c r="B398" s="2" t="s">
        <v>176</v>
      </c>
      <c r="C398" s="2" t="s">
        <v>1597</v>
      </c>
      <c r="D398" s="2" t="s">
        <v>1042</v>
      </c>
      <c r="E398" s="2" t="s">
        <v>1895</v>
      </c>
      <c r="F398" s="3" t="n">
        <f aca="false">INDEX(Sum_Base,MATCH(A398,Sum_BaseTasks,0),MATCH(D398,Sum_BaseTiers,0))</f>
        <v>381</v>
      </c>
      <c r="G398" s="2" t="str">
        <f aca="false">IF(ISNUMBER(MATCH(A398&amp;"|"&amp;D398,LR_Key,0)),A398&amp;"|"&amp;D398,A398&amp;"|All")</f>
        <v>FIXX-ELC-001|All</v>
      </c>
      <c r="H398" s="3" t="n">
        <f aca="false">IFERROR(INDEX(LR_TypLabor,MATCH(G398,LR_Key,0)),"")</f>
        <v>375</v>
      </c>
      <c r="I398" s="12" t="n">
        <f aca="false">INDEX(Urg_Mult,MATCH(E398,Urg_Levels,0))</f>
        <v>1</v>
      </c>
      <c r="J398" s="3" t="n">
        <f aca="false">IF(ISNUMBER(H398),MAX(H398,IFERROR(INDEX(MW_Floor,MATCH(G398,MW_Key,0)),0))*I398,"")</f>
        <v>375</v>
      </c>
      <c r="K398" s="3" t="n">
        <f aca="false">IF(ISNUMBER(J398),F398+J398,"")</f>
        <v>756</v>
      </c>
      <c r="L398" s="3" t="n">
        <f aca="false">IF(ISNUMBER(H398),MAX(H398,IFERROR(INDEX(MW_Floor,MATCH(G398,MW_Key,0)),0))*I398,"")</f>
        <v>375</v>
      </c>
      <c r="M398" s="2" t="str">
        <f aca="false">IFERROR(INDEX(LR_Flag,MATCH(G398,LR_Key,0)),"")</f>
        <v>assumption</v>
      </c>
      <c r="N398" s="2" t="str">
        <f aca="false">IFERROR(INDEX(MW_Check,MATCH(G398,MW_Key,0)),"")</f>
        <v>OK</v>
      </c>
      <c r="O398" s="0" t="str">
        <f aca="false">IF(NOT(ISNUMBER(H398)),"LABOR QUOTE NEEDED – total incomplete",IF(N398="BELOW FLOOR","CHECK: typical labor below wage floor – payout and customer labor raised to floor",IF(M398&lt;&gt;"none","Labor rate flagged: "&amp;M398,"OK")))</f>
        <v>Labor rate flagged: assumption</v>
      </c>
      <c r="P398" s="0" t="s">
        <v>1600</v>
      </c>
      <c r="Q398" s="8" t="s">
        <v>1601</v>
      </c>
      <c r="R398" s="2" t="str">
        <f aca="false">IF(OR(M398="regulated",COUNTIFS(Tasks_TaskID,A398,Tasks_Tier,D398,Tasks_Review,"base")&gt;0),"PENDING REVIEW – priced, not bookable until human approval",IF(COUNTIFS(Tasks_TaskID,A398,Tasks_Tier,D398,Tasks_Review,"as-needed")&gt;0,"Bookable (re-evaluate if regulated as-needed line selected)","Bookable"))</f>
        <v>Bookable</v>
      </c>
    </row>
    <row r="399" customFormat="false" ht="17.15" hidden="false" customHeight="false" outlineLevel="0" collapsed="false">
      <c r="A399" s="2" t="s">
        <v>1596</v>
      </c>
      <c r="B399" s="2" t="s">
        <v>176</v>
      </c>
      <c r="C399" s="2" t="s">
        <v>1597</v>
      </c>
      <c r="D399" s="2" t="s">
        <v>1042</v>
      </c>
      <c r="E399" s="2" t="s">
        <v>1896</v>
      </c>
      <c r="F399" s="3" t="n">
        <f aca="false">INDEX(Sum_Base,MATCH(A399,Sum_BaseTasks,0),MATCH(D399,Sum_BaseTiers,0))</f>
        <v>381</v>
      </c>
      <c r="G399" s="2" t="str">
        <f aca="false">IF(ISNUMBER(MATCH(A399&amp;"|"&amp;D399,LR_Key,0)),A399&amp;"|"&amp;D399,A399&amp;"|All")</f>
        <v>FIXX-ELC-001|All</v>
      </c>
      <c r="H399" s="3" t="n">
        <f aca="false">IFERROR(INDEX(LR_TypLabor,MATCH(G399,LR_Key,0)),"")</f>
        <v>375</v>
      </c>
      <c r="I399" s="12" t="n">
        <f aca="false">INDEX(Urg_Mult,MATCH(E399,Urg_Levels,0))</f>
        <v>1.15</v>
      </c>
      <c r="J399" s="3" t="n">
        <f aca="false">IF(ISNUMBER(H399),MAX(H399,IFERROR(INDEX(MW_Floor,MATCH(G399,MW_Key,0)),0))*I399,"")</f>
        <v>431.25</v>
      </c>
      <c r="K399" s="3" t="n">
        <f aca="false">IF(ISNUMBER(J399),F399+J399,"")</f>
        <v>812.25</v>
      </c>
      <c r="L399" s="3" t="n">
        <f aca="false">IF(ISNUMBER(H399),MAX(H399,IFERROR(INDEX(MW_Floor,MATCH(G399,MW_Key,0)),0))*I399,"")</f>
        <v>431.25</v>
      </c>
      <c r="M399" s="2" t="str">
        <f aca="false">IFERROR(INDEX(LR_Flag,MATCH(G399,LR_Key,0)),"")</f>
        <v>assumption</v>
      </c>
      <c r="N399" s="2" t="str">
        <f aca="false">IFERROR(INDEX(MW_Check,MATCH(G399,MW_Key,0)),"")</f>
        <v>OK</v>
      </c>
      <c r="O399" s="0" t="str">
        <f aca="false">IF(NOT(ISNUMBER(H399)),"LABOR QUOTE NEEDED – total incomplete",IF(N399="BELOW FLOOR","CHECK: typical labor below wage floor – payout and customer labor raised to floor",IF(M399&lt;&gt;"none","Labor rate flagged: "&amp;M399,"OK")))</f>
        <v>Labor rate flagged: assumption</v>
      </c>
      <c r="P399" s="0" t="s">
        <v>1600</v>
      </c>
      <c r="Q399" s="8" t="s">
        <v>1601</v>
      </c>
      <c r="R399" s="2" t="str">
        <f aca="false">IF(OR(M399="regulated",COUNTIFS(Tasks_TaskID,A399,Tasks_Tier,D399,Tasks_Review,"base")&gt;0),"PENDING REVIEW – priced, not bookable until human approval",IF(COUNTIFS(Tasks_TaskID,A399,Tasks_Tier,D399,Tasks_Review,"as-needed")&gt;0,"Bookable (re-evaluate if regulated as-needed line selected)","Bookable"))</f>
        <v>Bookable</v>
      </c>
    </row>
    <row r="400" customFormat="false" ht="17.15" hidden="false" customHeight="false" outlineLevel="0" collapsed="false">
      <c r="A400" s="2" t="s">
        <v>1596</v>
      </c>
      <c r="B400" s="2" t="s">
        <v>176</v>
      </c>
      <c r="C400" s="2" t="s">
        <v>1597</v>
      </c>
      <c r="D400" s="2" t="s">
        <v>1042</v>
      </c>
      <c r="E400" s="2" t="s">
        <v>1897</v>
      </c>
      <c r="F400" s="3" t="n">
        <f aca="false">INDEX(Sum_Base,MATCH(A400,Sum_BaseTasks,0),MATCH(D400,Sum_BaseTiers,0))</f>
        <v>381</v>
      </c>
      <c r="G400" s="2" t="str">
        <f aca="false">IF(ISNUMBER(MATCH(A400&amp;"|"&amp;D400,LR_Key,0)),A400&amp;"|"&amp;D400,A400&amp;"|All")</f>
        <v>FIXX-ELC-001|All</v>
      </c>
      <c r="H400" s="3" t="n">
        <f aca="false">IFERROR(INDEX(LR_TypLabor,MATCH(G400,LR_Key,0)),"")</f>
        <v>375</v>
      </c>
      <c r="I400" s="12" t="n">
        <f aca="false">INDEX(Urg_Mult,MATCH(E400,Urg_Levels,0))</f>
        <v>1.3</v>
      </c>
      <c r="J400" s="3" t="n">
        <f aca="false">IF(ISNUMBER(H400),MAX(H400,IFERROR(INDEX(MW_Floor,MATCH(G400,MW_Key,0)),0))*I400,"")</f>
        <v>487.5</v>
      </c>
      <c r="K400" s="3" t="n">
        <f aca="false">IF(ISNUMBER(J400),F400+J400,"")</f>
        <v>868.5</v>
      </c>
      <c r="L400" s="3" t="n">
        <f aca="false">IF(ISNUMBER(H400),MAX(H400,IFERROR(INDEX(MW_Floor,MATCH(G400,MW_Key,0)),0))*I400,"")</f>
        <v>487.5</v>
      </c>
      <c r="M400" s="2" t="str">
        <f aca="false">IFERROR(INDEX(LR_Flag,MATCH(G400,LR_Key,0)),"")</f>
        <v>assumption</v>
      </c>
      <c r="N400" s="2" t="str">
        <f aca="false">IFERROR(INDEX(MW_Check,MATCH(G400,MW_Key,0)),"")</f>
        <v>OK</v>
      </c>
      <c r="O400" s="0" t="str">
        <f aca="false">IF(NOT(ISNUMBER(H400)),"LABOR QUOTE NEEDED – total incomplete",IF(N400="BELOW FLOOR","CHECK: typical labor below wage floor – payout and customer labor raised to floor",IF(M400&lt;&gt;"none","Labor rate flagged: "&amp;M400,"OK")))</f>
        <v>Labor rate flagged: assumption</v>
      </c>
      <c r="P400" s="0" t="s">
        <v>1600</v>
      </c>
      <c r="Q400" s="8" t="s">
        <v>1601</v>
      </c>
      <c r="R400" s="2" t="str">
        <f aca="false">IF(OR(M400="regulated",COUNTIFS(Tasks_TaskID,A400,Tasks_Tier,D400,Tasks_Review,"base")&gt;0),"PENDING REVIEW – priced, not bookable until human approval",IF(COUNTIFS(Tasks_TaskID,A400,Tasks_Tier,D400,Tasks_Review,"as-needed")&gt;0,"Bookable (re-evaluate if regulated as-needed line selected)","Bookable"))</f>
        <v>Bookable</v>
      </c>
    </row>
    <row r="401" customFormat="false" ht="17.15" hidden="false" customHeight="false" outlineLevel="0" collapsed="false">
      <c r="A401" s="2" t="s">
        <v>1596</v>
      </c>
      <c r="B401" s="2" t="s">
        <v>176</v>
      </c>
      <c r="C401" s="2" t="s">
        <v>1597</v>
      </c>
      <c r="D401" s="2" t="s">
        <v>1042</v>
      </c>
      <c r="E401" s="2" t="s">
        <v>1898</v>
      </c>
      <c r="F401" s="3" t="n">
        <f aca="false">INDEX(Sum_Base,MATCH(A401,Sum_BaseTasks,0),MATCH(D401,Sum_BaseTiers,0))</f>
        <v>381</v>
      </c>
      <c r="G401" s="2" t="str">
        <f aca="false">IF(ISNUMBER(MATCH(A401&amp;"|"&amp;D401,LR_Key,0)),A401&amp;"|"&amp;D401,A401&amp;"|All")</f>
        <v>FIXX-ELC-001|All</v>
      </c>
      <c r="H401" s="3" t="n">
        <f aca="false">IFERROR(INDEX(LR_TypLabor,MATCH(G401,LR_Key,0)),"")</f>
        <v>375</v>
      </c>
      <c r="I401" s="12" t="n">
        <f aca="false">INDEX(Urg_Mult,MATCH(E401,Urg_Levels,0))</f>
        <v>1.5</v>
      </c>
      <c r="J401" s="3" t="n">
        <f aca="false">IF(ISNUMBER(H401),MAX(H401,IFERROR(INDEX(MW_Floor,MATCH(G401,MW_Key,0)),0))*I401,"")</f>
        <v>562.5</v>
      </c>
      <c r="K401" s="3" t="n">
        <f aca="false">IF(ISNUMBER(J401),F401+J401,"")</f>
        <v>943.5</v>
      </c>
      <c r="L401" s="3" t="n">
        <f aca="false">IF(ISNUMBER(H401),MAX(H401,IFERROR(INDEX(MW_Floor,MATCH(G401,MW_Key,0)),0))*I401,"")</f>
        <v>562.5</v>
      </c>
      <c r="M401" s="2" t="str">
        <f aca="false">IFERROR(INDEX(LR_Flag,MATCH(G401,LR_Key,0)),"")</f>
        <v>assumption</v>
      </c>
      <c r="N401" s="2" t="str">
        <f aca="false">IFERROR(INDEX(MW_Check,MATCH(G401,MW_Key,0)),"")</f>
        <v>OK</v>
      </c>
      <c r="O401" s="0" t="str">
        <f aca="false">IF(NOT(ISNUMBER(H401)),"LABOR QUOTE NEEDED – total incomplete",IF(N401="BELOW FLOOR","CHECK: typical labor below wage floor – payout and customer labor raised to floor",IF(M401&lt;&gt;"none","Labor rate flagged: "&amp;M401,"OK")))</f>
        <v>Labor rate flagged: assumption</v>
      </c>
      <c r="P401" s="0" t="s">
        <v>1600</v>
      </c>
      <c r="Q401" s="8" t="s">
        <v>1601</v>
      </c>
      <c r="R401" s="2" t="str">
        <f aca="false">IF(OR(M401="regulated",COUNTIFS(Tasks_TaskID,A401,Tasks_Tier,D401,Tasks_Review,"base")&gt;0),"PENDING REVIEW – priced, not bookable until human approval",IF(COUNTIFS(Tasks_TaskID,A401,Tasks_Tier,D401,Tasks_Review,"as-needed")&gt;0,"Bookable (re-evaluate if regulated as-needed line selected)","Bookable"))</f>
        <v>Bookable</v>
      </c>
    </row>
    <row r="402" customFormat="false" ht="17.15" hidden="false" customHeight="false" outlineLevel="0" collapsed="false">
      <c r="A402" s="2" t="s">
        <v>1596</v>
      </c>
      <c r="B402" s="2" t="s">
        <v>176</v>
      </c>
      <c r="C402" s="2" t="s">
        <v>1597</v>
      </c>
      <c r="D402" s="2" t="s">
        <v>1049</v>
      </c>
      <c r="E402" s="2" t="s">
        <v>1895</v>
      </c>
      <c r="F402" s="3" t="n">
        <f aca="false">INDEX(Sum_Base,MATCH(A402,Sum_BaseTasks,0),MATCH(D402,Sum_BaseTiers,0))</f>
        <v>439.5</v>
      </c>
      <c r="G402" s="2" t="str">
        <f aca="false">IF(ISNUMBER(MATCH(A402&amp;"|"&amp;D402,LR_Key,0)),A402&amp;"|"&amp;D402,A402&amp;"|All")</f>
        <v>FIXX-ELC-001|All</v>
      </c>
      <c r="H402" s="3" t="n">
        <f aca="false">IFERROR(INDEX(LR_TypLabor,MATCH(G402,LR_Key,0)),"")</f>
        <v>375</v>
      </c>
      <c r="I402" s="12" t="n">
        <f aca="false">INDEX(Urg_Mult,MATCH(E402,Urg_Levels,0))</f>
        <v>1</v>
      </c>
      <c r="J402" s="3" t="n">
        <f aca="false">IF(ISNUMBER(H402),MAX(H402,IFERROR(INDEX(MW_Floor,MATCH(G402,MW_Key,0)),0))*I402,"")</f>
        <v>375</v>
      </c>
      <c r="K402" s="3" t="n">
        <f aca="false">IF(ISNUMBER(J402),F402+J402,"")</f>
        <v>814.5</v>
      </c>
      <c r="L402" s="3" t="n">
        <f aca="false">IF(ISNUMBER(H402),MAX(H402,IFERROR(INDEX(MW_Floor,MATCH(G402,MW_Key,0)),0))*I402,"")</f>
        <v>375</v>
      </c>
      <c r="M402" s="2" t="str">
        <f aca="false">IFERROR(INDEX(LR_Flag,MATCH(G402,LR_Key,0)),"")</f>
        <v>assumption</v>
      </c>
      <c r="N402" s="2" t="str">
        <f aca="false">IFERROR(INDEX(MW_Check,MATCH(G402,MW_Key,0)),"")</f>
        <v>OK</v>
      </c>
      <c r="O402" s="0" t="str">
        <f aca="false">IF(NOT(ISNUMBER(H402)),"LABOR QUOTE NEEDED – total incomplete",IF(N402="BELOW FLOOR","CHECK: typical labor below wage floor – payout and customer labor raised to floor",IF(M402&lt;&gt;"none","Labor rate flagged: "&amp;M402,"OK")))</f>
        <v>Labor rate flagged: assumption</v>
      </c>
      <c r="P402" s="0" t="s">
        <v>1600</v>
      </c>
      <c r="Q402" s="8" t="s">
        <v>1601</v>
      </c>
      <c r="R402" s="2" t="str">
        <f aca="false">IF(OR(M402="regulated",COUNTIFS(Tasks_TaskID,A402,Tasks_Tier,D402,Tasks_Review,"base")&gt;0),"PENDING REVIEW – priced, not bookable until human approval",IF(COUNTIFS(Tasks_TaskID,A402,Tasks_Tier,D402,Tasks_Review,"as-needed")&gt;0,"Bookable (re-evaluate if regulated as-needed line selected)","Bookable"))</f>
        <v>Bookable</v>
      </c>
    </row>
    <row r="403" customFormat="false" ht="17.15" hidden="false" customHeight="false" outlineLevel="0" collapsed="false">
      <c r="A403" s="2" t="s">
        <v>1596</v>
      </c>
      <c r="B403" s="2" t="s">
        <v>176</v>
      </c>
      <c r="C403" s="2" t="s">
        <v>1597</v>
      </c>
      <c r="D403" s="2" t="s">
        <v>1049</v>
      </c>
      <c r="E403" s="2" t="s">
        <v>1896</v>
      </c>
      <c r="F403" s="3" t="n">
        <f aca="false">INDEX(Sum_Base,MATCH(A403,Sum_BaseTasks,0),MATCH(D403,Sum_BaseTiers,0))</f>
        <v>439.5</v>
      </c>
      <c r="G403" s="2" t="str">
        <f aca="false">IF(ISNUMBER(MATCH(A403&amp;"|"&amp;D403,LR_Key,0)),A403&amp;"|"&amp;D403,A403&amp;"|All")</f>
        <v>FIXX-ELC-001|All</v>
      </c>
      <c r="H403" s="3" t="n">
        <f aca="false">IFERROR(INDEX(LR_TypLabor,MATCH(G403,LR_Key,0)),"")</f>
        <v>375</v>
      </c>
      <c r="I403" s="12" t="n">
        <f aca="false">INDEX(Urg_Mult,MATCH(E403,Urg_Levels,0))</f>
        <v>1.15</v>
      </c>
      <c r="J403" s="3" t="n">
        <f aca="false">IF(ISNUMBER(H403),MAX(H403,IFERROR(INDEX(MW_Floor,MATCH(G403,MW_Key,0)),0))*I403,"")</f>
        <v>431.25</v>
      </c>
      <c r="K403" s="3" t="n">
        <f aca="false">IF(ISNUMBER(J403),F403+J403,"")</f>
        <v>870.75</v>
      </c>
      <c r="L403" s="3" t="n">
        <f aca="false">IF(ISNUMBER(H403),MAX(H403,IFERROR(INDEX(MW_Floor,MATCH(G403,MW_Key,0)),0))*I403,"")</f>
        <v>431.25</v>
      </c>
      <c r="M403" s="2" t="str">
        <f aca="false">IFERROR(INDEX(LR_Flag,MATCH(G403,LR_Key,0)),"")</f>
        <v>assumption</v>
      </c>
      <c r="N403" s="2" t="str">
        <f aca="false">IFERROR(INDEX(MW_Check,MATCH(G403,MW_Key,0)),"")</f>
        <v>OK</v>
      </c>
      <c r="O403" s="0" t="str">
        <f aca="false">IF(NOT(ISNUMBER(H403)),"LABOR QUOTE NEEDED – total incomplete",IF(N403="BELOW FLOOR","CHECK: typical labor below wage floor – payout and customer labor raised to floor",IF(M403&lt;&gt;"none","Labor rate flagged: "&amp;M403,"OK")))</f>
        <v>Labor rate flagged: assumption</v>
      </c>
      <c r="P403" s="0" t="s">
        <v>1600</v>
      </c>
      <c r="Q403" s="8" t="s">
        <v>1601</v>
      </c>
      <c r="R403" s="2" t="str">
        <f aca="false">IF(OR(M403="regulated",COUNTIFS(Tasks_TaskID,A403,Tasks_Tier,D403,Tasks_Review,"base")&gt;0),"PENDING REVIEW – priced, not bookable until human approval",IF(COUNTIFS(Tasks_TaskID,A403,Tasks_Tier,D403,Tasks_Review,"as-needed")&gt;0,"Bookable (re-evaluate if regulated as-needed line selected)","Bookable"))</f>
        <v>Bookable</v>
      </c>
    </row>
    <row r="404" customFormat="false" ht="17.15" hidden="false" customHeight="false" outlineLevel="0" collapsed="false">
      <c r="A404" s="2" t="s">
        <v>1596</v>
      </c>
      <c r="B404" s="2" t="s">
        <v>176</v>
      </c>
      <c r="C404" s="2" t="s">
        <v>1597</v>
      </c>
      <c r="D404" s="2" t="s">
        <v>1049</v>
      </c>
      <c r="E404" s="2" t="s">
        <v>1897</v>
      </c>
      <c r="F404" s="3" t="n">
        <f aca="false">INDEX(Sum_Base,MATCH(A404,Sum_BaseTasks,0),MATCH(D404,Sum_BaseTiers,0))</f>
        <v>439.5</v>
      </c>
      <c r="G404" s="2" t="str">
        <f aca="false">IF(ISNUMBER(MATCH(A404&amp;"|"&amp;D404,LR_Key,0)),A404&amp;"|"&amp;D404,A404&amp;"|All")</f>
        <v>FIXX-ELC-001|All</v>
      </c>
      <c r="H404" s="3" t="n">
        <f aca="false">IFERROR(INDEX(LR_TypLabor,MATCH(G404,LR_Key,0)),"")</f>
        <v>375</v>
      </c>
      <c r="I404" s="12" t="n">
        <f aca="false">INDEX(Urg_Mult,MATCH(E404,Urg_Levels,0))</f>
        <v>1.3</v>
      </c>
      <c r="J404" s="3" t="n">
        <f aca="false">IF(ISNUMBER(H404),MAX(H404,IFERROR(INDEX(MW_Floor,MATCH(G404,MW_Key,0)),0))*I404,"")</f>
        <v>487.5</v>
      </c>
      <c r="K404" s="3" t="n">
        <f aca="false">IF(ISNUMBER(J404),F404+J404,"")</f>
        <v>927</v>
      </c>
      <c r="L404" s="3" t="n">
        <f aca="false">IF(ISNUMBER(H404),MAX(H404,IFERROR(INDEX(MW_Floor,MATCH(G404,MW_Key,0)),0))*I404,"")</f>
        <v>487.5</v>
      </c>
      <c r="M404" s="2" t="str">
        <f aca="false">IFERROR(INDEX(LR_Flag,MATCH(G404,LR_Key,0)),"")</f>
        <v>assumption</v>
      </c>
      <c r="N404" s="2" t="str">
        <f aca="false">IFERROR(INDEX(MW_Check,MATCH(G404,MW_Key,0)),"")</f>
        <v>OK</v>
      </c>
      <c r="O404" s="0" t="str">
        <f aca="false">IF(NOT(ISNUMBER(H404)),"LABOR QUOTE NEEDED – total incomplete",IF(N404="BELOW FLOOR","CHECK: typical labor below wage floor – payout and customer labor raised to floor",IF(M404&lt;&gt;"none","Labor rate flagged: "&amp;M404,"OK")))</f>
        <v>Labor rate flagged: assumption</v>
      </c>
      <c r="P404" s="0" t="s">
        <v>1600</v>
      </c>
      <c r="Q404" s="8" t="s">
        <v>1601</v>
      </c>
      <c r="R404" s="2" t="str">
        <f aca="false">IF(OR(M404="regulated",COUNTIFS(Tasks_TaskID,A404,Tasks_Tier,D404,Tasks_Review,"base")&gt;0),"PENDING REVIEW – priced, not bookable until human approval",IF(COUNTIFS(Tasks_TaskID,A404,Tasks_Tier,D404,Tasks_Review,"as-needed")&gt;0,"Bookable (re-evaluate if regulated as-needed line selected)","Bookable"))</f>
        <v>Bookable</v>
      </c>
    </row>
    <row r="405" customFormat="false" ht="17.15" hidden="false" customHeight="false" outlineLevel="0" collapsed="false">
      <c r="A405" s="2" t="s">
        <v>1596</v>
      </c>
      <c r="B405" s="2" t="s">
        <v>176</v>
      </c>
      <c r="C405" s="2" t="s">
        <v>1597</v>
      </c>
      <c r="D405" s="2" t="s">
        <v>1049</v>
      </c>
      <c r="E405" s="2" t="s">
        <v>1898</v>
      </c>
      <c r="F405" s="3" t="n">
        <f aca="false">INDEX(Sum_Base,MATCH(A405,Sum_BaseTasks,0),MATCH(D405,Sum_BaseTiers,0))</f>
        <v>439.5</v>
      </c>
      <c r="G405" s="2" t="str">
        <f aca="false">IF(ISNUMBER(MATCH(A405&amp;"|"&amp;D405,LR_Key,0)),A405&amp;"|"&amp;D405,A405&amp;"|All")</f>
        <v>FIXX-ELC-001|All</v>
      </c>
      <c r="H405" s="3" t="n">
        <f aca="false">IFERROR(INDEX(LR_TypLabor,MATCH(G405,LR_Key,0)),"")</f>
        <v>375</v>
      </c>
      <c r="I405" s="12" t="n">
        <f aca="false">INDEX(Urg_Mult,MATCH(E405,Urg_Levels,0))</f>
        <v>1.5</v>
      </c>
      <c r="J405" s="3" t="n">
        <f aca="false">IF(ISNUMBER(H405),MAX(H405,IFERROR(INDEX(MW_Floor,MATCH(G405,MW_Key,0)),0))*I405,"")</f>
        <v>562.5</v>
      </c>
      <c r="K405" s="3" t="n">
        <f aca="false">IF(ISNUMBER(J405),F405+J405,"")</f>
        <v>1002</v>
      </c>
      <c r="L405" s="3" t="n">
        <f aca="false">IF(ISNUMBER(H405),MAX(H405,IFERROR(INDEX(MW_Floor,MATCH(G405,MW_Key,0)),0))*I405,"")</f>
        <v>562.5</v>
      </c>
      <c r="M405" s="2" t="str">
        <f aca="false">IFERROR(INDEX(LR_Flag,MATCH(G405,LR_Key,0)),"")</f>
        <v>assumption</v>
      </c>
      <c r="N405" s="2" t="str">
        <f aca="false">IFERROR(INDEX(MW_Check,MATCH(G405,MW_Key,0)),"")</f>
        <v>OK</v>
      </c>
      <c r="O405" s="0" t="str">
        <f aca="false">IF(NOT(ISNUMBER(H405)),"LABOR QUOTE NEEDED – total incomplete",IF(N405="BELOW FLOOR","CHECK: typical labor below wage floor – payout and customer labor raised to floor",IF(M405&lt;&gt;"none","Labor rate flagged: "&amp;M405,"OK")))</f>
        <v>Labor rate flagged: assumption</v>
      </c>
      <c r="P405" s="0" t="s">
        <v>1600</v>
      </c>
      <c r="Q405" s="8" t="s">
        <v>1601</v>
      </c>
      <c r="R405" s="2" t="str">
        <f aca="false">IF(OR(M405="regulated",COUNTIFS(Tasks_TaskID,A405,Tasks_Tier,D405,Tasks_Review,"base")&gt;0),"PENDING REVIEW – priced, not bookable until human approval",IF(COUNTIFS(Tasks_TaskID,A405,Tasks_Tier,D405,Tasks_Review,"as-needed")&gt;0,"Bookable (re-evaluate if regulated as-needed line selected)","Bookable"))</f>
        <v>Bookable</v>
      </c>
    </row>
    <row r="406" customFormat="false" ht="17.15" hidden="false" customHeight="false" outlineLevel="0" collapsed="false">
      <c r="A406" s="2" t="s">
        <v>1596</v>
      </c>
      <c r="B406" s="2" t="s">
        <v>176</v>
      </c>
      <c r="C406" s="2" t="s">
        <v>1597</v>
      </c>
      <c r="D406" s="2" t="s">
        <v>1051</v>
      </c>
      <c r="E406" s="2" t="s">
        <v>1895</v>
      </c>
      <c r="F406" s="3" t="n">
        <f aca="false">INDEX(Sum_Base,MATCH(A406,Sum_BaseTasks,0),MATCH(D406,Sum_BaseTiers,0))</f>
        <v>777.15</v>
      </c>
      <c r="G406" s="2" t="str">
        <f aca="false">IF(ISNUMBER(MATCH(A406&amp;"|"&amp;D406,LR_Key,0)),A406&amp;"|"&amp;D406,A406&amp;"|All")</f>
        <v>FIXX-ELC-001|All</v>
      </c>
      <c r="H406" s="3" t="n">
        <f aca="false">IFERROR(INDEX(LR_TypLabor,MATCH(G406,LR_Key,0)),"")</f>
        <v>375</v>
      </c>
      <c r="I406" s="12" t="n">
        <f aca="false">INDEX(Urg_Mult,MATCH(E406,Urg_Levels,0))</f>
        <v>1</v>
      </c>
      <c r="J406" s="3" t="n">
        <f aca="false">IF(ISNUMBER(H406),MAX(H406,IFERROR(INDEX(MW_Floor,MATCH(G406,MW_Key,0)),0))*I406,"")</f>
        <v>375</v>
      </c>
      <c r="K406" s="3" t="n">
        <f aca="false">IF(ISNUMBER(J406),F406+J406,"")</f>
        <v>1152.15</v>
      </c>
      <c r="L406" s="3" t="n">
        <f aca="false">IF(ISNUMBER(H406),MAX(H406,IFERROR(INDEX(MW_Floor,MATCH(G406,MW_Key,0)),0))*I406,"")</f>
        <v>375</v>
      </c>
      <c r="M406" s="2" t="str">
        <f aca="false">IFERROR(INDEX(LR_Flag,MATCH(G406,LR_Key,0)),"")</f>
        <v>assumption</v>
      </c>
      <c r="N406" s="2" t="str">
        <f aca="false">IFERROR(INDEX(MW_Check,MATCH(G406,MW_Key,0)),"")</f>
        <v>OK</v>
      </c>
      <c r="O406" s="0" t="str">
        <f aca="false">IF(NOT(ISNUMBER(H406)),"LABOR QUOTE NEEDED – total incomplete",IF(N406="BELOW FLOOR","CHECK: typical labor below wage floor – payout and customer labor raised to floor",IF(M406&lt;&gt;"none","Labor rate flagged: "&amp;M406,"OK")))</f>
        <v>Labor rate flagged: assumption</v>
      </c>
      <c r="P406" s="0" t="s">
        <v>1600</v>
      </c>
      <c r="Q406" s="8" t="s">
        <v>1601</v>
      </c>
      <c r="R406" s="2" t="str">
        <f aca="false">IF(OR(M406="regulated",COUNTIFS(Tasks_TaskID,A406,Tasks_Tier,D406,Tasks_Review,"base")&gt;0),"PENDING REVIEW – priced, not bookable until human approval",IF(COUNTIFS(Tasks_TaskID,A406,Tasks_Tier,D406,Tasks_Review,"as-needed")&gt;0,"Bookable (re-evaluate if regulated as-needed line selected)","Bookable"))</f>
        <v>Bookable</v>
      </c>
    </row>
    <row r="407" customFormat="false" ht="17.15" hidden="false" customHeight="false" outlineLevel="0" collapsed="false">
      <c r="A407" s="2" t="s">
        <v>1596</v>
      </c>
      <c r="B407" s="2" t="s">
        <v>176</v>
      </c>
      <c r="C407" s="2" t="s">
        <v>1597</v>
      </c>
      <c r="D407" s="2" t="s">
        <v>1051</v>
      </c>
      <c r="E407" s="2" t="s">
        <v>1896</v>
      </c>
      <c r="F407" s="3" t="n">
        <f aca="false">INDEX(Sum_Base,MATCH(A407,Sum_BaseTasks,0),MATCH(D407,Sum_BaseTiers,0))</f>
        <v>777.15</v>
      </c>
      <c r="G407" s="2" t="str">
        <f aca="false">IF(ISNUMBER(MATCH(A407&amp;"|"&amp;D407,LR_Key,0)),A407&amp;"|"&amp;D407,A407&amp;"|All")</f>
        <v>FIXX-ELC-001|All</v>
      </c>
      <c r="H407" s="3" t="n">
        <f aca="false">IFERROR(INDEX(LR_TypLabor,MATCH(G407,LR_Key,0)),"")</f>
        <v>375</v>
      </c>
      <c r="I407" s="12" t="n">
        <f aca="false">INDEX(Urg_Mult,MATCH(E407,Urg_Levels,0))</f>
        <v>1.15</v>
      </c>
      <c r="J407" s="3" t="n">
        <f aca="false">IF(ISNUMBER(H407),MAX(H407,IFERROR(INDEX(MW_Floor,MATCH(G407,MW_Key,0)),0))*I407,"")</f>
        <v>431.25</v>
      </c>
      <c r="K407" s="3" t="n">
        <f aca="false">IF(ISNUMBER(J407),F407+J407,"")</f>
        <v>1208.4</v>
      </c>
      <c r="L407" s="3" t="n">
        <f aca="false">IF(ISNUMBER(H407),MAX(H407,IFERROR(INDEX(MW_Floor,MATCH(G407,MW_Key,0)),0))*I407,"")</f>
        <v>431.25</v>
      </c>
      <c r="M407" s="2" t="str">
        <f aca="false">IFERROR(INDEX(LR_Flag,MATCH(G407,LR_Key,0)),"")</f>
        <v>assumption</v>
      </c>
      <c r="N407" s="2" t="str">
        <f aca="false">IFERROR(INDEX(MW_Check,MATCH(G407,MW_Key,0)),"")</f>
        <v>OK</v>
      </c>
      <c r="O407" s="0" t="str">
        <f aca="false">IF(NOT(ISNUMBER(H407)),"LABOR QUOTE NEEDED – total incomplete",IF(N407="BELOW FLOOR","CHECK: typical labor below wage floor – payout and customer labor raised to floor",IF(M407&lt;&gt;"none","Labor rate flagged: "&amp;M407,"OK")))</f>
        <v>Labor rate flagged: assumption</v>
      </c>
      <c r="P407" s="0" t="s">
        <v>1600</v>
      </c>
      <c r="Q407" s="8" t="s">
        <v>1601</v>
      </c>
      <c r="R407" s="2" t="str">
        <f aca="false">IF(OR(M407="regulated",COUNTIFS(Tasks_TaskID,A407,Tasks_Tier,D407,Tasks_Review,"base")&gt;0),"PENDING REVIEW – priced, not bookable until human approval",IF(COUNTIFS(Tasks_TaskID,A407,Tasks_Tier,D407,Tasks_Review,"as-needed")&gt;0,"Bookable (re-evaluate if regulated as-needed line selected)","Bookable"))</f>
        <v>Bookable</v>
      </c>
    </row>
    <row r="408" customFormat="false" ht="17.15" hidden="false" customHeight="false" outlineLevel="0" collapsed="false">
      <c r="A408" s="2" t="s">
        <v>1596</v>
      </c>
      <c r="B408" s="2" t="s">
        <v>176</v>
      </c>
      <c r="C408" s="2" t="s">
        <v>1597</v>
      </c>
      <c r="D408" s="2" t="s">
        <v>1051</v>
      </c>
      <c r="E408" s="2" t="s">
        <v>1897</v>
      </c>
      <c r="F408" s="3" t="n">
        <f aca="false">INDEX(Sum_Base,MATCH(A408,Sum_BaseTasks,0),MATCH(D408,Sum_BaseTiers,0))</f>
        <v>777.15</v>
      </c>
      <c r="G408" s="2" t="str">
        <f aca="false">IF(ISNUMBER(MATCH(A408&amp;"|"&amp;D408,LR_Key,0)),A408&amp;"|"&amp;D408,A408&amp;"|All")</f>
        <v>FIXX-ELC-001|All</v>
      </c>
      <c r="H408" s="3" t="n">
        <f aca="false">IFERROR(INDEX(LR_TypLabor,MATCH(G408,LR_Key,0)),"")</f>
        <v>375</v>
      </c>
      <c r="I408" s="12" t="n">
        <f aca="false">INDEX(Urg_Mult,MATCH(E408,Urg_Levels,0))</f>
        <v>1.3</v>
      </c>
      <c r="J408" s="3" t="n">
        <f aca="false">IF(ISNUMBER(H408),MAX(H408,IFERROR(INDEX(MW_Floor,MATCH(G408,MW_Key,0)),0))*I408,"")</f>
        <v>487.5</v>
      </c>
      <c r="K408" s="3" t="n">
        <f aca="false">IF(ISNUMBER(J408),F408+J408,"")</f>
        <v>1264.65</v>
      </c>
      <c r="L408" s="3" t="n">
        <f aca="false">IF(ISNUMBER(H408),MAX(H408,IFERROR(INDEX(MW_Floor,MATCH(G408,MW_Key,0)),0))*I408,"")</f>
        <v>487.5</v>
      </c>
      <c r="M408" s="2" t="str">
        <f aca="false">IFERROR(INDEX(LR_Flag,MATCH(G408,LR_Key,0)),"")</f>
        <v>assumption</v>
      </c>
      <c r="N408" s="2" t="str">
        <f aca="false">IFERROR(INDEX(MW_Check,MATCH(G408,MW_Key,0)),"")</f>
        <v>OK</v>
      </c>
      <c r="O408" s="0" t="str">
        <f aca="false">IF(NOT(ISNUMBER(H408)),"LABOR QUOTE NEEDED – total incomplete",IF(N408="BELOW FLOOR","CHECK: typical labor below wage floor – payout and customer labor raised to floor",IF(M408&lt;&gt;"none","Labor rate flagged: "&amp;M408,"OK")))</f>
        <v>Labor rate flagged: assumption</v>
      </c>
      <c r="P408" s="0" t="s">
        <v>1600</v>
      </c>
      <c r="Q408" s="8" t="s">
        <v>1601</v>
      </c>
      <c r="R408" s="2" t="str">
        <f aca="false">IF(OR(M408="regulated",COUNTIFS(Tasks_TaskID,A408,Tasks_Tier,D408,Tasks_Review,"base")&gt;0),"PENDING REVIEW – priced, not bookable until human approval",IF(COUNTIFS(Tasks_TaskID,A408,Tasks_Tier,D408,Tasks_Review,"as-needed")&gt;0,"Bookable (re-evaluate if regulated as-needed line selected)","Bookable"))</f>
        <v>Bookable</v>
      </c>
    </row>
    <row r="409" customFormat="false" ht="17.15" hidden="false" customHeight="false" outlineLevel="0" collapsed="false">
      <c r="A409" s="2" t="s">
        <v>1596</v>
      </c>
      <c r="B409" s="2" t="s">
        <v>176</v>
      </c>
      <c r="C409" s="2" t="s">
        <v>1597</v>
      </c>
      <c r="D409" s="2" t="s">
        <v>1051</v>
      </c>
      <c r="E409" s="2" t="s">
        <v>1898</v>
      </c>
      <c r="F409" s="3" t="n">
        <f aca="false">INDEX(Sum_Base,MATCH(A409,Sum_BaseTasks,0),MATCH(D409,Sum_BaseTiers,0))</f>
        <v>777.15</v>
      </c>
      <c r="G409" s="2" t="str">
        <f aca="false">IF(ISNUMBER(MATCH(A409&amp;"|"&amp;D409,LR_Key,0)),A409&amp;"|"&amp;D409,A409&amp;"|All")</f>
        <v>FIXX-ELC-001|All</v>
      </c>
      <c r="H409" s="3" t="n">
        <f aca="false">IFERROR(INDEX(LR_TypLabor,MATCH(G409,LR_Key,0)),"")</f>
        <v>375</v>
      </c>
      <c r="I409" s="12" t="n">
        <f aca="false">INDEX(Urg_Mult,MATCH(E409,Urg_Levels,0))</f>
        <v>1.5</v>
      </c>
      <c r="J409" s="3" t="n">
        <f aca="false">IF(ISNUMBER(H409),MAX(H409,IFERROR(INDEX(MW_Floor,MATCH(G409,MW_Key,0)),0))*I409,"")</f>
        <v>562.5</v>
      </c>
      <c r="K409" s="3" t="n">
        <f aca="false">IF(ISNUMBER(J409),F409+J409,"")</f>
        <v>1339.65</v>
      </c>
      <c r="L409" s="3" t="n">
        <f aca="false">IF(ISNUMBER(H409),MAX(H409,IFERROR(INDEX(MW_Floor,MATCH(G409,MW_Key,0)),0))*I409,"")</f>
        <v>562.5</v>
      </c>
      <c r="M409" s="2" t="str">
        <f aca="false">IFERROR(INDEX(LR_Flag,MATCH(G409,LR_Key,0)),"")</f>
        <v>assumption</v>
      </c>
      <c r="N409" s="2" t="str">
        <f aca="false">IFERROR(INDEX(MW_Check,MATCH(G409,MW_Key,0)),"")</f>
        <v>OK</v>
      </c>
      <c r="O409" s="0" t="str">
        <f aca="false">IF(NOT(ISNUMBER(H409)),"LABOR QUOTE NEEDED – total incomplete",IF(N409="BELOW FLOOR","CHECK: typical labor below wage floor – payout and customer labor raised to floor",IF(M409&lt;&gt;"none","Labor rate flagged: "&amp;M409,"OK")))</f>
        <v>Labor rate flagged: assumption</v>
      </c>
      <c r="P409" s="0" t="s">
        <v>1600</v>
      </c>
      <c r="Q409" s="8" t="s">
        <v>1601</v>
      </c>
      <c r="R409" s="2" t="str">
        <f aca="false">IF(OR(M409="regulated",COUNTIFS(Tasks_TaskID,A409,Tasks_Tier,D409,Tasks_Review,"base")&gt;0),"PENDING REVIEW – priced, not bookable until human approval",IF(COUNTIFS(Tasks_TaskID,A409,Tasks_Tier,D409,Tasks_Review,"as-needed")&gt;0,"Bookable (re-evaluate if regulated as-needed line selected)","Bookable"))</f>
        <v>Bookable</v>
      </c>
    </row>
    <row r="410" customFormat="false" ht="17.15" hidden="false" customHeight="false" outlineLevel="0" collapsed="false">
      <c r="A410" s="2" t="s">
        <v>1620</v>
      </c>
      <c r="B410" s="2" t="s">
        <v>176</v>
      </c>
      <c r="C410" s="2" t="s">
        <v>1621</v>
      </c>
      <c r="D410" s="2" t="s">
        <v>1042</v>
      </c>
      <c r="E410" s="2" t="s">
        <v>1895</v>
      </c>
      <c r="F410" s="3" t="n">
        <f aca="false">INDEX(Sum_Base,MATCH(A410,Sum_BaseTasks,0),MATCH(D410,Sum_BaseTiers,0))</f>
        <v>9.2</v>
      </c>
      <c r="G410" s="2" t="str">
        <f aca="false">IF(ISNUMBER(MATCH(A410&amp;"|"&amp;D410,LR_Key,0)),A410&amp;"|"&amp;D410,A410&amp;"|All")</f>
        <v>FIXX-ELC-002|All</v>
      </c>
      <c r="H410" s="3" t="n">
        <f aca="false">IFERROR(INDEX(LR_TypLabor,MATCH(G410,LR_Key,0)),"")</f>
        <v>400</v>
      </c>
      <c r="I410" s="12" t="n">
        <f aca="false">INDEX(Urg_Mult,MATCH(E410,Urg_Levels,0))</f>
        <v>1</v>
      </c>
      <c r="J410" s="3" t="n">
        <f aca="false">IF(ISNUMBER(H410),MAX(H410,IFERROR(INDEX(MW_Floor,MATCH(G410,MW_Key,0)),0))*I410,"")</f>
        <v>400</v>
      </c>
      <c r="K410" s="3" t="n">
        <f aca="false">IF(ISNUMBER(J410),F410+J410,"")</f>
        <v>409.2</v>
      </c>
      <c r="L410" s="3" t="n">
        <f aca="false">IF(ISNUMBER(H410),MAX(H410,IFERROR(INDEX(MW_Floor,MATCH(G410,MW_Key,0)),0))*I410,"")</f>
        <v>400</v>
      </c>
      <c r="M410" s="2" t="str">
        <f aca="false">IFERROR(INDEX(LR_Flag,MATCH(G410,LR_Key,0)),"")</f>
        <v>none</v>
      </c>
      <c r="N410" s="2" t="str">
        <f aca="false">IFERROR(INDEX(MW_Check,MATCH(G410,MW_Key,0)),"")</f>
        <v>OK</v>
      </c>
      <c r="O410" s="0" t="str">
        <f aca="false">IF(NOT(ISNUMBER(H410)),"LABOR QUOTE NEEDED – total incomplete",IF(N410="BELOW FLOOR","CHECK: typical labor below wage floor – payout and customer labor raised to floor",IF(M410&lt;&gt;"none","Labor rate flagged: "&amp;M410,"OK")))</f>
        <v>OK</v>
      </c>
      <c r="P410" s="0" t="s">
        <v>1624</v>
      </c>
      <c r="Q410" s="8" t="s">
        <v>1625</v>
      </c>
      <c r="R410" s="2" t="str">
        <f aca="false">IF(OR(M410="regulated",COUNTIFS(Tasks_TaskID,A410,Tasks_Tier,D410,Tasks_Review,"base")&gt;0),"PENDING REVIEW – priced, not bookable until human approval",IF(COUNTIFS(Tasks_TaskID,A410,Tasks_Tier,D410,Tasks_Review,"as-needed")&gt;0,"Bookable (re-evaluate if regulated as-needed line selected)","Bookable"))</f>
        <v>Bookable</v>
      </c>
    </row>
    <row r="411" customFormat="false" ht="17.15" hidden="false" customHeight="false" outlineLevel="0" collapsed="false">
      <c r="A411" s="2" t="s">
        <v>1620</v>
      </c>
      <c r="B411" s="2" t="s">
        <v>176</v>
      </c>
      <c r="C411" s="2" t="s">
        <v>1621</v>
      </c>
      <c r="D411" s="2" t="s">
        <v>1042</v>
      </c>
      <c r="E411" s="2" t="s">
        <v>1896</v>
      </c>
      <c r="F411" s="3" t="n">
        <f aca="false">INDEX(Sum_Base,MATCH(A411,Sum_BaseTasks,0),MATCH(D411,Sum_BaseTiers,0))</f>
        <v>9.2</v>
      </c>
      <c r="G411" s="2" t="str">
        <f aca="false">IF(ISNUMBER(MATCH(A411&amp;"|"&amp;D411,LR_Key,0)),A411&amp;"|"&amp;D411,A411&amp;"|All")</f>
        <v>FIXX-ELC-002|All</v>
      </c>
      <c r="H411" s="3" t="n">
        <f aca="false">IFERROR(INDEX(LR_TypLabor,MATCH(G411,LR_Key,0)),"")</f>
        <v>400</v>
      </c>
      <c r="I411" s="12" t="n">
        <f aca="false">INDEX(Urg_Mult,MATCH(E411,Urg_Levels,0))</f>
        <v>1.15</v>
      </c>
      <c r="J411" s="3" t="n">
        <f aca="false">IF(ISNUMBER(H411),MAX(H411,IFERROR(INDEX(MW_Floor,MATCH(G411,MW_Key,0)),0))*I411,"")</f>
        <v>460</v>
      </c>
      <c r="K411" s="3" t="n">
        <f aca="false">IF(ISNUMBER(J411),F411+J411,"")</f>
        <v>469.2</v>
      </c>
      <c r="L411" s="3" t="n">
        <f aca="false">IF(ISNUMBER(H411),MAX(H411,IFERROR(INDEX(MW_Floor,MATCH(G411,MW_Key,0)),0))*I411,"")</f>
        <v>460</v>
      </c>
      <c r="M411" s="2" t="str">
        <f aca="false">IFERROR(INDEX(LR_Flag,MATCH(G411,LR_Key,0)),"")</f>
        <v>none</v>
      </c>
      <c r="N411" s="2" t="str">
        <f aca="false">IFERROR(INDEX(MW_Check,MATCH(G411,MW_Key,0)),"")</f>
        <v>OK</v>
      </c>
      <c r="O411" s="0" t="str">
        <f aca="false">IF(NOT(ISNUMBER(H411)),"LABOR QUOTE NEEDED – total incomplete",IF(N411="BELOW FLOOR","CHECK: typical labor below wage floor – payout and customer labor raised to floor",IF(M411&lt;&gt;"none","Labor rate flagged: "&amp;M411,"OK")))</f>
        <v>OK</v>
      </c>
      <c r="P411" s="0" t="s">
        <v>1624</v>
      </c>
      <c r="Q411" s="8" t="s">
        <v>1625</v>
      </c>
      <c r="R411" s="2" t="str">
        <f aca="false">IF(OR(M411="regulated",COUNTIFS(Tasks_TaskID,A411,Tasks_Tier,D411,Tasks_Review,"base")&gt;0),"PENDING REVIEW – priced, not bookable until human approval",IF(COUNTIFS(Tasks_TaskID,A411,Tasks_Tier,D411,Tasks_Review,"as-needed")&gt;0,"Bookable (re-evaluate if regulated as-needed line selected)","Bookable"))</f>
        <v>Bookable</v>
      </c>
    </row>
    <row r="412" customFormat="false" ht="17.15" hidden="false" customHeight="false" outlineLevel="0" collapsed="false">
      <c r="A412" s="2" t="s">
        <v>1620</v>
      </c>
      <c r="B412" s="2" t="s">
        <v>176</v>
      </c>
      <c r="C412" s="2" t="s">
        <v>1621</v>
      </c>
      <c r="D412" s="2" t="s">
        <v>1042</v>
      </c>
      <c r="E412" s="2" t="s">
        <v>1897</v>
      </c>
      <c r="F412" s="3" t="n">
        <f aca="false">INDEX(Sum_Base,MATCH(A412,Sum_BaseTasks,0),MATCH(D412,Sum_BaseTiers,0))</f>
        <v>9.2</v>
      </c>
      <c r="G412" s="2" t="str">
        <f aca="false">IF(ISNUMBER(MATCH(A412&amp;"|"&amp;D412,LR_Key,0)),A412&amp;"|"&amp;D412,A412&amp;"|All")</f>
        <v>FIXX-ELC-002|All</v>
      </c>
      <c r="H412" s="3" t="n">
        <f aca="false">IFERROR(INDEX(LR_TypLabor,MATCH(G412,LR_Key,0)),"")</f>
        <v>400</v>
      </c>
      <c r="I412" s="12" t="n">
        <f aca="false">INDEX(Urg_Mult,MATCH(E412,Urg_Levels,0))</f>
        <v>1.3</v>
      </c>
      <c r="J412" s="3" t="n">
        <f aca="false">IF(ISNUMBER(H412),MAX(H412,IFERROR(INDEX(MW_Floor,MATCH(G412,MW_Key,0)),0))*I412,"")</f>
        <v>520</v>
      </c>
      <c r="K412" s="3" t="n">
        <f aca="false">IF(ISNUMBER(J412),F412+J412,"")</f>
        <v>529.2</v>
      </c>
      <c r="L412" s="3" t="n">
        <f aca="false">IF(ISNUMBER(H412),MAX(H412,IFERROR(INDEX(MW_Floor,MATCH(G412,MW_Key,0)),0))*I412,"")</f>
        <v>520</v>
      </c>
      <c r="M412" s="2" t="str">
        <f aca="false">IFERROR(INDEX(LR_Flag,MATCH(G412,LR_Key,0)),"")</f>
        <v>none</v>
      </c>
      <c r="N412" s="2" t="str">
        <f aca="false">IFERROR(INDEX(MW_Check,MATCH(G412,MW_Key,0)),"")</f>
        <v>OK</v>
      </c>
      <c r="O412" s="0" t="str">
        <f aca="false">IF(NOT(ISNUMBER(H412)),"LABOR QUOTE NEEDED – total incomplete",IF(N412="BELOW FLOOR","CHECK: typical labor below wage floor – payout and customer labor raised to floor",IF(M412&lt;&gt;"none","Labor rate flagged: "&amp;M412,"OK")))</f>
        <v>OK</v>
      </c>
      <c r="P412" s="0" t="s">
        <v>1624</v>
      </c>
      <c r="Q412" s="8" t="s">
        <v>1625</v>
      </c>
      <c r="R412" s="2" t="str">
        <f aca="false">IF(OR(M412="regulated",COUNTIFS(Tasks_TaskID,A412,Tasks_Tier,D412,Tasks_Review,"base")&gt;0),"PENDING REVIEW – priced, not bookable until human approval",IF(COUNTIFS(Tasks_TaskID,A412,Tasks_Tier,D412,Tasks_Review,"as-needed")&gt;0,"Bookable (re-evaluate if regulated as-needed line selected)","Bookable"))</f>
        <v>Bookable</v>
      </c>
    </row>
    <row r="413" customFormat="false" ht="17.15" hidden="false" customHeight="false" outlineLevel="0" collapsed="false">
      <c r="A413" s="2" t="s">
        <v>1620</v>
      </c>
      <c r="B413" s="2" t="s">
        <v>176</v>
      </c>
      <c r="C413" s="2" t="s">
        <v>1621</v>
      </c>
      <c r="D413" s="2" t="s">
        <v>1042</v>
      </c>
      <c r="E413" s="2" t="s">
        <v>1898</v>
      </c>
      <c r="F413" s="3" t="n">
        <f aca="false">INDEX(Sum_Base,MATCH(A413,Sum_BaseTasks,0),MATCH(D413,Sum_BaseTiers,0))</f>
        <v>9.2</v>
      </c>
      <c r="G413" s="2" t="str">
        <f aca="false">IF(ISNUMBER(MATCH(A413&amp;"|"&amp;D413,LR_Key,0)),A413&amp;"|"&amp;D413,A413&amp;"|All")</f>
        <v>FIXX-ELC-002|All</v>
      </c>
      <c r="H413" s="3" t="n">
        <f aca="false">IFERROR(INDEX(LR_TypLabor,MATCH(G413,LR_Key,0)),"")</f>
        <v>400</v>
      </c>
      <c r="I413" s="12" t="n">
        <f aca="false">INDEX(Urg_Mult,MATCH(E413,Urg_Levels,0))</f>
        <v>1.5</v>
      </c>
      <c r="J413" s="3" t="n">
        <f aca="false">IF(ISNUMBER(H413),MAX(H413,IFERROR(INDEX(MW_Floor,MATCH(G413,MW_Key,0)),0))*I413,"")</f>
        <v>600</v>
      </c>
      <c r="K413" s="3" t="n">
        <f aca="false">IF(ISNUMBER(J413),F413+J413,"")</f>
        <v>609.2</v>
      </c>
      <c r="L413" s="3" t="n">
        <f aca="false">IF(ISNUMBER(H413),MAX(H413,IFERROR(INDEX(MW_Floor,MATCH(G413,MW_Key,0)),0))*I413,"")</f>
        <v>600</v>
      </c>
      <c r="M413" s="2" t="str">
        <f aca="false">IFERROR(INDEX(LR_Flag,MATCH(G413,LR_Key,0)),"")</f>
        <v>none</v>
      </c>
      <c r="N413" s="2" t="str">
        <f aca="false">IFERROR(INDEX(MW_Check,MATCH(G413,MW_Key,0)),"")</f>
        <v>OK</v>
      </c>
      <c r="O413" s="0" t="str">
        <f aca="false">IF(NOT(ISNUMBER(H413)),"LABOR QUOTE NEEDED – total incomplete",IF(N413="BELOW FLOOR","CHECK: typical labor below wage floor – payout and customer labor raised to floor",IF(M413&lt;&gt;"none","Labor rate flagged: "&amp;M413,"OK")))</f>
        <v>OK</v>
      </c>
      <c r="P413" s="0" t="s">
        <v>1624</v>
      </c>
      <c r="Q413" s="8" t="s">
        <v>1625</v>
      </c>
      <c r="R413" s="2" t="str">
        <f aca="false">IF(OR(M413="regulated",COUNTIFS(Tasks_TaskID,A413,Tasks_Tier,D413,Tasks_Review,"base")&gt;0),"PENDING REVIEW – priced, not bookable until human approval",IF(COUNTIFS(Tasks_TaskID,A413,Tasks_Tier,D413,Tasks_Review,"as-needed")&gt;0,"Bookable (re-evaluate if regulated as-needed line selected)","Bookable"))</f>
        <v>Bookable</v>
      </c>
    </row>
    <row r="414" customFormat="false" ht="17.15" hidden="false" customHeight="false" outlineLevel="0" collapsed="false">
      <c r="A414" s="2" t="s">
        <v>1620</v>
      </c>
      <c r="B414" s="2" t="s">
        <v>176</v>
      </c>
      <c r="C414" s="2" t="s">
        <v>1621</v>
      </c>
      <c r="D414" s="2" t="s">
        <v>1049</v>
      </c>
      <c r="E414" s="2" t="s">
        <v>1895</v>
      </c>
      <c r="F414" s="3" t="n">
        <f aca="false">INDEX(Sum_Base,MATCH(A414,Sum_BaseTasks,0),MATCH(D414,Sum_BaseTiers,0))</f>
        <v>9.2</v>
      </c>
      <c r="G414" s="2" t="str">
        <f aca="false">IF(ISNUMBER(MATCH(A414&amp;"|"&amp;D414,LR_Key,0)),A414&amp;"|"&amp;D414,A414&amp;"|All")</f>
        <v>FIXX-ELC-002|All</v>
      </c>
      <c r="H414" s="3" t="n">
        <f aca="false">IFERROR(INDEX(LR_TypLabor,MATCH(G414,LR_Key,0)),"")</f>
        <v>400</v>
      </c>
      <c r="I414" s="12" t="n">
        <f aca="false">INDEX(Urg_Mult,MATCH(E414,Urg_Levels,0))</f>
        <v>1</v>
      </c>
      <c r="J414" s="3" t="n">
        <f aca="false">IF(ISNUMBER(H414),MAX(H414,IFERROR(INDEX(MW_Floor,MATCH(G414,MW_Key,0)),0))*I414,"")</f>
        <v>400</v>
      </c>
      <c r="K414" s="3" t="n">
        <f aca="false">IF(ISNUMBER(J414),F414+J414,"")</f>
        <v>409.2</v>
      </c>
      <c r="L414" s="3" t="n">
        <f aca="false">IF(ISNUMBER(H414),MAX(H414,IFERROR(INDEX(MW_Floor,MATCH(G414,MW_Key,0)),0))*I414,"")</f>
        <v>400</v>
      </c>
      <c r="M414" s="2" t="str">
        <f aca="false">IFERROR(INDEX(LR_Flag,MATCH(G414,LR_Key,0)),"")</f>
        <v>none</v>
      </c>
      <c r="N414" s="2" t="str">
        <f aca="false">IFERROR(INDEX(MW_Check,MATCH(G414,MW_Key,0)),"")</f>
        <v>OK</v>
      </c>
      <c r="O414" s="0" t="str">
        <f aca="false">IF(NOT(ISNUMBER(H414)),"LABOR QUOTE NEEDED – total incomplete",IF(N414="BELOW FLOOR","CHECK: typical labor below wage floor – payout and customer labor raised to floor",IF(M414&lt;&gt;"none","Labor rate flagged: "&amp;M414,"OK")))</f>
        <v>OK</v>
      </c>
      <c r="P414" s="0" t="s">
        <v>1624</v>
      </c>
      <c r="Q414" s="8" t="s">
        <v>1625</v>
      </c>
      <c r="R414" s="2" t="str">
        <f aca="false">IF(OR(M414="regulated",COUNTIFS(Tasks_TaskID,A414,Tasks_Tier,D414,Tasks_Review,"base")&gt;0),"PENDING REVIEW – priced, not bookable until human approval",IF(COUNTIFS(Tasks_TaskID,A414,Tasks_Tier,D414,Tasks_Review,"as-needed")&gt;0,"Bookable (re-evaluate if regulated as-needed line selected)","Bookable"))</f>
        <v>Bookable</v>
      </c>
    </row>
    <row r="415" customFormat="false" ht="17.15" hidden="false" customHeight="false" outlineLevel="0" collapsed="false">
      <c r="A415" s="2" t="s">
        <v>1620</v>
      </c>
      <c r="B415" s="2" t="s">
        <v>176</v>
      </c>
      <c r="C415" s="2" t="s">
        <v>1621</v>
      </c>
      <c r="D415" s="2" t="s">
        <v>1049</v>
      </c>
      <c r="E415" s="2" t="s">
        <v>1896</v>
      </c>
      <c r="F415" s="3" t="n">
        <f aca="false">INDEX(Sum_Base,MATCH(A415,Sum_BaseTasks,0),MATCH(D415,Sum_BaseTiers,0))</f>
        <v>9.2</v>
      </c>
      <c r="G415" s="2" t="str">
        <f aca="false">IF(ISNUMBER(MATCH(A415&amp;"|"&amp;D415,LR_Key,0)),A415&amp;"|"&amp;D415,A415&amp;"|All")</f>
        <v>FIXX-ELC-002|All</v>
      </c>
      <c r="H415" s="3" t="n">
        <f aca="false">IFERROR(INDEX(LR_TypLabor,MATCH(G415,LR_Key,0)),"")</f>
        <v>400</v>
      </c>
      <c r="I415" s="12" t="n">
        <f aca="false">INDEX(Urg_Mult,MATCH(E415,Urg_Levels,0))</f>
        <v>1.15</v>
      </c>
      <c r="J415" s="3" t="n">
        <f aca="false">IF(ISNUMBER(H415),MAX(H415,IFERROR(INDEX(MW_Floor,MATCH(G415,MW_Key,0)),0))*I415,"")</f>
        <v>460</v>
      </c>
      <c r="K415" s="3" t="n">
        <f aca="false">IF(ISNUMBER(J415),F415+J415,"")</f>
        <v>469.2</v>
      </c>
      <c r="L415" s="3" t="n">
        <f aca="false">IF(ISNUMBER(H415),MAX(H415,IFERROR(INDEX(MW_Floor,MATCH(G415,MW_Key,0)),0))*I415,"")</f>
        <v>460</v>
      </c>
      <c r="M415" s="2" t="str">
        <f aca="false">IFERROR(INDEX(LR_Flag,MATCH(G415,LR_Key,0)),"")</f>
        <v>none</v>
      </c>
      <c r="N415" s="2" t="str">
        <f aca="false">IFERROR(INDEX(MW_Check,MATCH(G415,MW_Key,0)),"")</f>
        <v>OK</v>
      </c>
      <c r="O415" s="0" t="str">
        <f aca="false">IF(NOT(ISNUMBER(H415)),"LABOR QUOTE NEEDED – total incomplete",IF(N415="BELOW FLOOR","CHECK: typical labor below wage floor – payout and customer labor raised to floor",IF(M415&lt;&gt;"none","Labor rate flagged: "&amp;M415,"OK")))</f>
        <v>OK</v>
      </c>
      <c r="P415" s="0" t="s">
        <v>1624</v>
      </c>
      <c r="Q415" s="8" t="s">
        <v>1625</v>
      </c>
      <c r="R415" s="2" t="str">
        <f aca="false">IF(OR(M415="regulated",COUNTIFS(Tasks_TaskID,A415,Tasks_Tier,D415,Tasks_Review,"base")&gt;0),"PENDING REVIEW – priced, not bookable until human approval",IF(COUNTIFS(Tasks_TaskID,A415,Tasks_Tier,D415,Tasks_Review,"as-needed")&gt;0,"Bookable (re-evaluate if regulated as-needed line selected)","Bookable"))</f>
        <v>Bookable</v>
      </c>
    </row>
    <row r="416" customFormat="false" ht="17.15" hidden="false" customHeight="false" outlineLevel="0" collapsed="false">
      <c r="A416" s="2" t="s">
        <v>1620</v>
      </c>
      <c r="B416" s="2" t="s">
        <v>176</v>
      </c>
      <c r="C416" s="2" t="s">
        <v>1621</v>
      </c>
      <c r="D416" s="2" t="s">
        <v>1049</v>
      </c>
      <c r="E416" s="2" t="s">
        <v>1897</v>
      </c>
      <c r="F416" s="3" t="n">
        <f aca="false">INDEX(Sum_Base,MATCH(A416,Sum_BaseTasks,0),MATCH(D416,Sum_BaseTiers,0))</f>
        <v>9.2</v>
      </c>
      <c r="G416" s="2" t="str">
        <f aca="false">IF(ISNUMBER(MATCH(A416&amp;"|"&amp;D416,LR_Key,0)),A416&amp;"|"&amp;D416,A416&amp;"|All")</f>
        <v>FIXX-ELC-002|All</v>
      </c>
      <c r="H416" s="3" t="n">
        <f aca="false">IFERROR(INDEX(LR_TypLabor,MATCH(G416,LR_Key,0)),"")</f>
        <v>400</v>
      </c>
      <c r="I416" s="12" t="n">
        <f aca="false">INDEX(Urg_Mult,MATCH(E416,Urg_Levels,0))</f>
        <v>1.3</v>
      </c>
      <c r="J416" s="3" t="n">
        <f aca="false">IF(ISNUMBER(H416),MAX(H416,IFERROR(INDEX(MW_Floor,MATCH(G416,MW_Key,0)),0))*I416,"")</f>
        <v>520</v>
      </c>
      <c r="K416" s="3" t="n">
        <f aca="false">IF(ISNUMBER(J416),F416+J416,"")</f>
        <v>529.2</v>
      </c>
      <c r="L416" s="3" t="n">
        <f aca="false">IF(ISNUMBER(H416),MAX(H416,IFERROR(INDEX(MW_Floor,MATCH(G416,MW_Key,0)),0))*I416,"")</f>
        <v>520</v>
      </c>
      <c r="M416" s="2" t="str">
        <f aca="false">IFERROR(INDEX(LR_Flag,MATCH(G416,LR_Key,0)),"")</f>
        <v>none</v>
      </c>
      <c r="N416" s="2" t="str">
        <f aca="false">IFERROR(INDEX(MW_Check,MATCH(G416,MW_Key,0)),"")</f>
        <v>OK</v>
      </c>
      <c r="O416" s="0" t="str">
        <f aca="false">IF(NOT(ISNUMBER(H416)),"LABOR QUOTE NEEDED – total incomplete",IF(N416="BELOW FLOOR","CHECK: typical labor below wage floor – payout and customer labor raised to floor",IF(M416&lt;&gt;"none","Labor rate flagged: "&amp;M416,"OK")))</f>
        <v>OK</v>
      </c>
      <c r="P416" s="0" t="s">
        <v>1624</v>
      </c>
      <c r="Q416" s="8" t="s">
        <v>1625</v>
      </c>
      <c r="R416" s="2" t="str">
        <f aca="false">IF(OR(M416="regulated",COUNTIFS(Tasks_TaskID,A416,Tasks_Tier,D416,Tasks_Review,"base")&gt;0),"PENDING REVIEW – priced, not bookable until human approval",IF(COUNTIFS(Tasks_TaskID,A416,Tasks_Tier,D416,Tasks_Review,"as-needed")&gt;0,"Bookable (re-evaluate if regulated as-needed line selected)","Bookable"))</f>
        <v>Bookable</v>
      </c>
    </row>
    <row r="417" customFormat="false" ht="17.15" hidden="false" customHeight="false" outlineLevel="0" collapsed="false">
      <c r="A417" s="2" t="s">
        <v>1620</v>
      </c>
      <c r="B417" s="2" t="s">
        <v>176</v>
      </c>
      <c r="C417" s="2" t="s">
        <v>1621</v>
      </c>
      <c r="D417" s="2" t="s">
        <v>1049</v>
      </c>
      <c r="E417" s="2" t="s">
        <v>1898</v>
      </c>
      <c r="F417" s="3" t="n">
        <f aca="false">INDEX(Sum_Base,MATCH(A417,Sum_BaseTasks,0),MATCH(D417,Sum_BaseTiers,0))</f>
        <v>9.2</v>
      </c>
      <c r="G417" s="2" t="str">
        <f aca="false">IF(ISNUMBER(MATCH(A417&amp;"|"&amp;D417,LR_Key,0)),A417&amp;"|"&amp;D417,A417&amp;"|All")</f>
        <v>FIXX-ELC-002|All</v>
      </c>
      <c r="H417" s="3" t="n">
        <f aca="false">IFERROR(INDEX(LR_TypLabor,MATCH(G417,LR_Key,0)),"")</f>
        <v>400</v>
      </c>
      <c r="I417" s="12" t="n">
        <f aca="false">INDEX(Urg_Mult,MATCH(E417,Urg_Levels,0))</f>
        <v>1.5</v>
      </c>
      <c r="J417" s="3" t="n">
        <f aca="false">IF(ISNUMBER(H417),MAX(H417,IFERROR(INDEX(MW_Floor,MATCH(G417,MW_Key,0)),0))*I417,"")</f>
        <v>600</v>
      </c>
      <c r="K417" s="3" t="n">
        <f aca="false">IF(ISNUMBER(J417),F417+J417,"")</f>
        <v>609.2</v>
      </c>
      <c r="L417" s="3" t="n">
        <f aca="false">IF(ISNUMBER(H417),MAX(H417,IFERROR(INDEX(MW_Floor,MATCH(G417,MW_Key,0)),0))*I417,"")</f>
        <v>600</v>
      </c>
      <c r="M417" s="2" t="str">
        <f aca="false">IFERROR(INDEX(LR_Flag,MATCH(G417,LR_Key,0)),"")</f>
        <v>none</v>
      </c>
      <c r="N417" s="2" t="str">
        <f aca="false">IFERROR(INDEX(MW_Check,MATCH(G417,MW_Key,0)),"")</f>
        <v>OK</v>
      </c>
      <c r="O417" s="0" t="str">
        <f aca="false">IF(NOT(ISNUMBER(H417)),"LABOR QUOTE NEEDED – total incomplete",IF(N417="BELOW FLOOR","CHECK: typical labor below wage floor – payout and customer labor raised to floor",IF(M417&lt;&gt;"none","Labor rate flagged: "&amp;M417,"OK")))</f>
        <v>OK</v>
      </c>
      <c r="P417" s="0" t="s">
        <v>1624</v>
      </c>
      <c r="Q417" s="8" t="s">
        <v>1625</v>
      </c>
      <c r="R417" s="2" t="str">
        <f aca="false">IF(OR(M417="regulated",COUNTIFS(Tasks_TaskID,A417,Tasks_Tier,D417,Tasks_Review,"base")&gt;0),"PENDING REVIEW – priced, not bookable until human approval",IF(COUNTIFS(Tasks_TaskID,A417,Tasks_Tier,D417,Tasks_Review,"as-needed")&gt;0,"Bookable (re-evaluate if regulated as-needed line selected)","Bookable"))</f>
        <v>Bookable</v>
      </c>
    </row>
    <row r="418" customFormat="false" ht="17.15" hidden="false" customHeight="false" outlineLevel="0" collapsed="false">
      <c r="A418" s="2" t="s">
        <v>1620</v>
      </c>
      <c r="B418" s="2" t="s">
        <v>176</v>
      </c>
      <c r="C418" s="2" t="s">
        <v>1621</v>
      </c>
      <c r="D418" s="2" t="s">
        <v>1051</v>
      </c>
      <c r="E418" s="2" t="s">
        <v>1895</v>
      </c>
      <c r="F418" s="3" t="n">
        <f aca="false">INDEX(Sum_Base,MATCH(A418,Sum_BaseTasks,0),MATCH(D418,Sum_BaseTiers,0))</f>
        <v>9.2</v>
      </c>
      <c r="G418" s="2" t="str">
        <f aca="false">IF(ISNUMBER(MATCH(A418&amp;"|"&amp;D418,LR_Key,0)),A418&amp;"|"&amp;D418,A418&amp;"|All")</f>
        <v>FIXX-ELC-002|All</v>
      </c>
      <c r="H418" s="3" t="n">
        <f aca="false">IFERROR(INDEX(LR_TypLabor,MATCH(G418,LR_Key,0)),"")</f>
        <v>400</v>
      </c>
      <c r="I418" s="12" t="n">
        <f aca="false">INDEX(Urg_Mult,MATCH(E418,Urg_Levels,0))</f>
        <v>1</v>
      </c>
      <c r="J418" s="3" t="n">
        <f aca="false">IF(ISNUMBER(H418),MAX(H418,IFERROR(INDEX(MW_Floor,MATCH(G418,MW_Key,0)),0))*I418,"")</f>
        <v>400</v>
      </c>
      <c r="K418" s="3" t="n">
        <f aca="false">IF(ISNUMBER(J418),F418+J418,"")</f>
        <v>409.2</v>
      </c>
      <c r="L418" s="3" t="n">
        <f aca="false">IF(ISNUMBER(H418),MAX(H418,IFERROR(INDEX(MW_Floor,MATCH(G418,MW_Key,0)),0))*I418,"")</f>
        <v>400</v>
      </c>
      <c r="M418" s="2" t="str">
        <f aca="false">IFERROR(INDEX(LR_Flag,MATCH(G418,LR_Key,0)),"")</f>
        <v>none</v>
      </c>
      <c r="N418" s="2" t="str">
        <f aca="false">IFERROR(INDEX(MW_Check,MATCH(G418,MW_Key,0)),"")</f>
        <v>OK</v>
      </c>
      <c r="O418" s="0" t="str">
        <f aca="false">IF(NOT(ISNUMBER(H418)),"LABOR QUOTE NEEDED – total incomplete",IF(N418="BELOW FLOOR","CHECK: typical labor below wage floor – payout and customer labor raised to floor",IF(M418&lt;&gt;"none","Labor rate flagged: "&amp;M418,"OK")))</f>
        <v>OK</v>
      </c>
      <c r="P418" s="0" t="s">
        <v>1624</v>
      </c>
      <c r="Q418" s="8" t="s">
        <v>1625</v>
      </c>
      <c r="R418" s="2" t="str">
        <f aca="false">IF(OR(M418="regulated",COUNTIFS(Tasks_TaskID,A418,Tasks_Tier,D418,Tasks_Review,"base")&gt;0),"PENDING REVIEW – priced, not bookable until human approval",IF(COUNTIFS(Tasks_TaskID,A418,Tasks_Tier,D418,Tasks_Review,"as-needed")&gt;0,"Bookable (re-evaluate if regulated as-needed line selected)","Bookable"))</f>
        <v>Bookable</v>
      </c>
    </row>
    <row r="419" customFormat="false" ht="17.15" hidden="false" customHeight="false" outlineLevel="0" collapsed="false">
      <c r="A419" s="2" t="s">
        <v>1620</v>
      </c>
      <c r="B419" s="2" t="s">
        <v>176</v>
      </c>
      <c r="C419" s="2" t="s">
        <v>1621</v>
      </c>
      <c r="D419" s="2" t="s">
        <v>1051</v>
      </c>
      <c r="E419" s="2" t="s">
        <v>1896</v>
      </c>
      <c r="F419" s="3" t="n">
        <f aca="false">INDEX(Sum_Base,MATCH(A419,Sum_BaseTasks,0),MATCH(D419,Sum_BaseTiers,0))</f>
        <v>9.2</v>
      </c>
      <c r="G419" s="2" t="str">
        <f aca="false">IF(ISNUMBER(MATCH(A419&amp;"|"&amp;D419,LR_Key,0)),A419&amp;"|"&amp;D419,A419&amp;"|All")</f>
        <v>FIXX-ELC-002|All</v>
      </c>
      <c r="H419" s="3" t="n">
        <f aca="false">IFERROR(INDEX(LR_TypLabor,MATCH(G419,LR_Key,0)),"")</f>
        <v>400</v>
      </c>
      <c r="I419" s="12" t="n">
        <f aca="false">INDEX(Urg_Mult,MATCH(E419,Urg_Levels,0))</f>
        <v>1.15</v>
      </c>
      <c r="J419" s="3" t="n">
        <f aca="false">IF(ISNUMBER(H419),MAX(H419,IFERROR(INDEX(MW_Floor,MATCH(G419,MW_Key,0)),0))*I419,"")</f>
        <v>460</v>
      </c>
      <c r="K419" s="3" t="n">
        <f aca="false">IF(ISNUMBER(J419),F419+J419,"")</f>
        <v>469.2</v>
      </c>
      <c r="L419" s="3" t="n">
        <f aca="false">IF(ISNUMBER(H419),MAX(H419,IFERROR(INDEX(MW_Floor,MATCH(G419,MW_Key,0)),0))*I419,"")</f>
        <v>460</v>
      </c>
      <c r="M419" s="2" t="str">
        <f aca="false">IFERROR(INDEX(LR_Flag,MATCH(G419,LR_Key,0)),"")</f>
        <v>none</v>
      </c>
      <c r="N419" s="2" t="str">
        <f aca="false">IFERROR(INDEX(MW_Check,MATCH(G419,MW_Key,0)),"")</f>
        <v>OK</v>
      </c>
      <c r="O419" s="0" t="str">
        <f aca="false">IF(NOT(ISNUMBER(H419)),"LABOR QUOTE NEEDED – total incomplete",IF(N419="BELOW FLOOR","CHECK: typical labor below wage floor – payout and customer labor raised to floor",IF(M419&lt;&gt;"none","Labor rate flagged: "&amp;M419,"OK")))</f>
        <v>OK</v>
      </c>
      <c r="P419" s="0" t="s">
        <v>1624</v>
      </c>
      <c r="Q419" s="8" t="s">
        <v>1625</v>
      </c>
      <c r="R419" s="2" t="str">
        <f aca="false">IF(OR(M419="regulated",COUNTIFS(Tasks_TaskID,A419,Tasks_Tier,D419,Tasks_Review,"base")&gt;0),"PENDING REVIEW – priced, not bookable until human approval",IF(COUNTIFS(Tasks_TaskID,A419,Tasks_Tier,D419,Tasks_Review,"as-needed")&gt;0,"Bookable (re-evaluate if regulated as-needed line selected)","Bookable"))</f>
        <v>Bookable</v>
      </c>
    </row>
    <row r="420" customFormat="false" ht="17.15" hidden="false" customHeight="false" outlineLevel="0" collapsed="false">
      <c r="A420" s="2" t="s">
        <v>1620</v>
      </c>
      <c r="B420" s="2" t="s">
        <v>176</v>
      </c>
      <c r="C420" s="2" t="s">
        <v>1621</v>
      </c>
      <c r="D420" s="2" t="s">
        <v>1051</v>
      </c>
      <c r="E420" s="2" t="s">
        <v>1897</v>
      </c>
      <c r="F420" s="3" t="n">
        <f aca="false">INDEX(Sum_Base,MATCH(A420,Sum_BaseTasks,0),MATCH(D420,Sum_BaseTiers,0))</f>
        <v>9.2</v>
      </c>
      <c r="G420" s="2" t="str">
        <f aca="false">IF(ISNUMBER(MATCH(A420&amp;"|"&amp;D420,LR_Key,0)),A420&amp;"|"&amp;D420,A420&amp;"|All")</f>
        <v>FIXX-ELC-002|All</v>
      </c>
      <c r="H420" s="3" t="n">
        <f aca="false">IFERROR(INDEX(LR_TypLabor,MATCH(G420,LR_Key,0)),"")</f>
        <v>400</v>
      </c>
      <c r="I420" s="12" t="n">
        <f aca="false">INDEX(Urg_Mult,MATCH(E420,Urg_Levels,0))</f>
        <v>1.3</v>
      </c>
      <c r="J420" s="3" t="n">
        <f aca="false">IF(ISNUMBER(H420),MAX(H420,IFERROR(INDEX(MW_Floor,MATCH(G420,MW_Key,0)),0))*I420,"")</f>
        <v>520</v>
      </c>
      <c r="K420" s="3" t="n">
        <f aca="false">IF(ISNUMBER(J420),F420+J420,"")</f>
        <v>529.2</v>
      </c>
      <c r="L420" s="3" t="n">
        <f aca="false">IF(ISNUMBER(H420),MAX(H420,IFERROR(INDEX(MW_Floor,MATCH(G420,MW_Key,0)),0))*I420,"")</f>
        <v>520</v>
      </c>
      <c r="M420" s="2" t="str">
        <f aca="false">IFERROR(INDEX(LR_Flag,MATCH(G420,LR_Key,0)),"")</f>
        <v>none</v>
      </c>
      <c r="N420" s="2" t="str">
        <f aca="false">IFERROR(INDEX(MW_Check,MATCH(G420,MW_Key,0)),"")</f>
        <v>OK</v>
      </c>
      <c r="O420" s="0" t="str">
        <f aca="false">IF(NOT(ISNUMBER(H420)),"LABOR QUOTE NEEDED – total incomplete",IF(N420="BELOW FLOOR","CHECK: typical labor below wage floor – payout and customer labor raised to floor",IF(M420&lt;&gt;"none","Labor rate flagged: "&amp;M420,"OK")))</f>
        <v>OK</v>
      </c>
      <c r="P420" s="0" t="s">
        <v>1624</v>
      </c>
      <c r="Q420" s="8" t="s">
        <v>1625</v>
      </c>
      <c r="R420" s="2" t="str">
        <f aca="false">IF(OR(M420="regulated",COUNTIFS(Tasks_TaskID,A420,Tasks_Tier,D420,Tasks_Review,"base")&gt;0),"PENDING REVIEW – priced, not bookable until human approval",IF(COUNTIFS(Tasks_TaskID,A420,Tasks_Tier,D420,Tasks_Review,"as-needed")&gt;0,"Bookable (re-evaluate if regulated as-needed line selected)","Bookable"))</f>
        <v>Bookable</v>
      </c>
    </row>
    <row r="421" customFormat="false" ht="17.15" hidden="false" customHeight="false" outlineLevel="0" collapsed="false">
      <c r="A421" s="2" t="s">
        <v>1620</v>
      </c>
      <c r="B421" s="2" t="s">
        <v>176</v>
      </c>
      <c r="C421" s="2" t="s">
        <v>1621</v>
      </c>
      <c r="D421" s="2" t="s">
        <v>1051</v>
      </c>
      <c r="E421" s="2" t="s">
        <v>1898</v>
      </c>
      <c r="F421" s="3" t="n">
        <f aca="false">INDEX(Sum_Base,MATCH(A421,Sum_BaseTasks,0),MATCH(D421,Sum_BaseTiers,0))</f>
        <v>9.2</v>
      </c>
      <c r="G421" s="2" t="str">
        <f aca="false">IF(ISNUMBER(MATCH(A421&amp;"|"&amp;D421,LR_Key,0)),A421&amp;"|"&amp;D421,A421&amp;"|All")</f>
        <v>FIXX-ELC-002|All</v>
      </c>
      <c r="H421" s="3" t="n">
        <f aca="false">IFERROR(INDEX(LR_TypLabor,MATCH(G421,LR_Key,0)),"")</f>
        <v>400</v>
      </c>
      <c r="I421" s="12" t="n">
        <f aca="false">INDEX(Urg_Mult,MATCH(E421,Urg_Levels,0))</f>
        <v>1.5</v>
      </c>
      <c r="J421" s="3" t="n">
        <f aca="false">IF(ISNUMBER(H421),MAX(H421,IFERROR(INDEX(MW_Floor,MATCH(G421,MW_Key,0)),0))*I421,"")</f>
        <v>600</v>
      </c>
      <c r="K421" s="3" t="n">
        <f aca="false">IF(ISNUMBER(J421),F421+J421,"")</f>
        <v>609.2</v>
      </c>
      <c r="L421" s="3" t="n">
        <f aca="false">IF(ISNUMBER(H421),MAX(H421,IFERROR(INDEX(MW_Floor,MATCH(G421,MW_Key,0)),0))*I421,"")</f>
        <v>600</v>
      </c>
      <c r="M421" s="2" t="str">
        <f aca="false">IFERROR(INDEX(LR_Flag,MATCH(G421,LR_Key,0)),"")</f>
        <v>none</v>
      </c>
      <c r="N421" s="2" t="str">
        <f aca="false">IFERROR(INDEX(MW_Check,MATCH(G421,MW_Key,0)),"")</f>
        <v>OK</v>
      </c>
      <c r="O421" s="0" t="str">
        <f aca="false">IF(NOT(ISNUMBER(H421)),"LABOR QUOTE NEEDED – total incomplete",IF(N421="BELOW FLOOR","CHECK: typical labor below wage floor – payout and customer labor raised to floor",IF(M421&lt;&gt;"none","Labor rate flagged: "&amp;M421,"OK")))</f>
        <v>OK</v>
      </c>
      <c r="P421" s="0" t="s">
        <v>1624</v>
      </c>
      <c r="Q421" s="8" t="s">
        <v>1625</v>
      </c>
      <c r="R421" s="2" t="str">
        <f aca="false">IF(OR(M421="regulated",COUNTIFS(Tasks_TaskID,A421,Tasks_Tier,D421,Tasks_Review,"base")&gt;0),"PENDING REVIEW – priced, not bookable until human approval",IF(COUNTIFS(Tasks_TaskID,A421,Tasks_Tier,D421,Tasks_Review,"as-needed")&gt;0,"Bookable (re-evaluate if regulated as-needed line selected)","Bookable"))</f>
        <v>Bookable</v>
      </c>
    </row>
    <row r="422" customFormat="false" ht="17.15" hidden="false" customHeight="false" outlineLevel="0" collapsed="false">
      <c r="A422" s="2" t="s">
        <v>1657</v>
      </c>
      <c r="B422" s="2" t="s">
        <v>939</v>
      </c>
      <c r="C422" s="2" t="s">
        <v>1658</v>
      </c>
      <c r="D422" s="2" t="s">
        <v>1659</v>
      </c>
      <c r="E422" s="2" t="s">
        <v>1895</v>
      </c>
      <c r="F422" s="3" t="n">
        <f aca="false">INDEX(Sum_Base,MATCH(A422,Sum_BaseTasks,0),MATCH(D422,Sum_BaseTiers,0))</f>
        <v>156.65</v>
      </c>
      <c r="G422" s="2" t="str">
        <f aca="false">IF(ISNUMBER(MATCH(A422&amp;"|"&amp;D422,LR_Key,0)),A422&amp;"|"&amp;D422,A422&amp;"|All")</f>
        <v>FIXX-CLN-001|≤60 m²</v>
      </c>
      <c r="H422" s="3" t="n">
        <f aca="false">IFERROR(INDEX(LR_TypLabor,MATCH(G422,LR_Key,0)),"")</f>
        <v>943.35</v>
      </c>
      <c r="I422" s="12" t="n">
        <f aca="false">INDEX(Urg_Mult,MATCH(E422,Urg_Levels,0))</f>
        <v>1</v>
      </c>
      <c r="J422" s="3" t="n">
        <f aca="false">IF(ISNUMBER(H422),MAX(H422,IFERROR(INDEX(MW_Floor,MATCH(G422,MW_Key,0)),0))*I422,"")</f>
        <v>943.35</v>
      </c>
      <c r="K422" s="3" t="n">
        <f aca="false">IF(ISNUMBER(J422),F422+J422,"")</f>
        <v>1100</v>
      </c>
      <c r="L422" s="3" t="n">
        <f aca="false">IF(ISNUMBER(H422),MAX(H422,IFERROR(INDEX(MW_Floor,MATCH(G422,MW_Key,0)),0))*I422,"")</f>
        <v>943.35</v>
      </c>
      <c r="M422" s="2" t="str">
        <f aca="false">IFERROR(INDEX(LR_Flag,MATCH(G422,LR_Key,0)),"")</f>
        <v>none</v>
      </c>
      <c r="N422" s="2" t="str">
        <f aca="false">IFERROR(INDEX(MW_Check,MATCH(G422,MW_Key,0)),"")</f>
        <v>OK</v>
      </c>
      <c r="O422" s="0" t="str">
        <f aca="false">IF(NOT(ISNUMBER(H422)),"LABOR QUOTE NEEDED – total incomplete",IF(N422="BELOW FLOOR","CHECK: typical labor below wage floor – payout and customer labor raised to floor",IF(M422&lt;&gt;"none","Labor rate flagged: "&amp;M422,"OK")))</f>
        <v>OK</v>
      </c>
      <c r="P422" s="0" t="s">
        <v>1662</v>
      </c>
      <c r="Q422" s="8" t="s">
        <v>1663</v>
      </c>
      <c r="R422" s="2" t="str">
        <f aca="false">IF(OR(M422="regulated",COUNTIFS(Tasks_TaskID,A422,Tasks_Tier,D422,Tasks_Review,"base")&gt;0),"PENDING REVIEW – priced, not bookable until human approval",IF(COUNTIFS(Tasks_TaskID,A422,Tasks_Tier,D422,Tasks_Review,"as-needed")&gt;0,"Bookable (re-evaluate if regulated as-needed line selected)","Bookable"))</f>
        <v>Bookable</v>
      </c>
    </row>
    <row r="423" customFormat="false" ht="17.15" hidden="false" customHeight="false" outlineLevel="0" collapsed="false">
      <c r="A423" s="2" t="s">
        <v>1657</v>
      </c>
      <c r="B423" s="2" t="s">
        <v>939</v>
      </c>
      <c r="C423" s="2" t="s">
        <v>1658</v>
      </c>
      <c r="D423" s="2" t="s">
        <v>1659</v>
      </c>
      <c r="E423" s="2" t="s">
        <v>1896</v>
      </c>
      <c r="F423" s="3" t="n">
        <f aca="false">INDEX(Sum_Base,MATCH(A423,Sum_BaseTasks,0),MATCH(D423,Sum_BaseTiers,0))</f>
        <v>156.65</v>
      </c>
      <c r="G423" s="2" t="str">
        <f aca="false">IF(ISNUMBER(MATCH(A423&amp;"|"&amp;D423,LR_Key,0)),A423&amp;"|"&amp;D423,A423&amp;"|All")</f>
        <v>FIXX-CLN-001|≤60 m²</v>
      </c>
      <c r="H423" s="3" t="n">
        <f aca="false">IFERROR(INDEX(LR_TypLabor,MATCH(G423,LR_Key,0)),"")</f>
        <v>943.35</v>
      </c>
      <c r="I423" s="12" t="n">
        <f aca="false">INDEX(Urg_Mult,MATCH(E423,Urg_Levels,0))</f>
        <v>1.15</v>
      </c>
      <c r="J423" s="3" t="n">
        <f aca="false">IF(ISNUMBER(H423),MAX(H423,IFERROR(INDEX(MW_Floor,MATCH(G423,MW_Key,0)),0))*I423,"")</f>
        <v>1084.8525</v>
      </c>
      <c r="K423" s="3" t="n">
        <f aca="false">IF(ISNUMBER(J423),F423+J423,"")</f>
        <v>1241.5025</v>
      </c>
      <c r="L423" s="3" t="n">
        <f aca="false">IF(ISNUMBER(H423),MAX(H423,IFERROR(INDEX(MW_Floor,MATCH(G423,MW_Key,0)),0))*I423,"")</f>
        <v>1084.8525</v>
      </c>
      <c r="M423" s="2" t="str">
        <f aca="false">IFERROR(INDEX(LR_Flag,MATCH(G423,LR_Key,0)),"")</f>
        <v>none</v>
      </c>
      <c r="N423" s="2" t="str">
        <f aca="false">IFERROR(INDEX(MW_Check,MATCH(G423,MW_Key,0)),"")</f>
        <v>OK</v>
      </c>
      <c r="O423" s="0" t="str">
        <f aca="false">IF(NOT(ISNUMBER(H423)),"LABOR QUOTE NEEDED – total incomplete",IF(N423="BELOW FLOOR","CHECK: typical labor below wage floor – payout and customer labor raised to floor",IF(M423&lt;&gt;"none","Labor rate flagged: "&amp;M423,"OK")))</f>
        <v>OK</v>
      </c>
      <c r="P423" s="0" t="s">
        <v>1662</v>
      </c>
      <c r="Q423" s="8" t="s">
        <v>1663</v>
      </c>
      <c r="R423" s="2" t="str">
        <f aca="false">IF(OR(M423="regulated",COUNTIFS(Tasks_TaskID,A423,Tasks_Tier,D423,Tasks_Review,"base")&gt;0),"PENDING REVIEW – priced, not bookable until human approval",IF(COUNTIFS(Tasks_TaskID,A423,Tasks_Tier,D423,Tasks_Review,"as-needed")&gt;0,"Bookable (re-evaluate if regulated as-needed line selected)","Bookable"))</f>
        <v>Bookable</v>
      </c>
    </row>
    <row r="424" customFormat="false" ht="17.15" hidden="false" customHeight="false" outlineLevel="0" collapsed="false">
      <c r="A424" s="2" t="s">
        <v>1657</v>
      </c>
      <c r="B424" s="2" t="s">
        <v>939</v>
      </c>
      <c r="C424" s="2" t="s">
        <v>1658</v>
      </c>
      <c r="D424" s="2" t="s">
        <v>1659</v>
      </c>
      <c r="E424" s="2" t="s">
        <v>1897</v>
      </c>
      <c r="F424" s="3" t="n">
        <f aca="false">INDEX(Sum_Base,MATCH(A424,Sum_BaseTasks,0),MATCH(D424,Sum_BaseTiers,0))</f>
        <v>156.65</v>
      </c>
      <c r="G424" s="2" t="str">
        <f aca="false">IF(ISNUMBER(MATCH(A424&amp;"|"&amp;D424,LR_Key,0)),A424&amp;"|"&amp;D424,A424&amp;"|All")</f>
        <v>FIXX-CLN-001|≤60 m²</v>
      </c>
      <c r="H424" s="3" t="n">
        <f aca="false">IFERROR(INDEX(LR_TypLabor,MATCH(G424,LR_Key,0)),"")</f>
        <v>943.35</v>
      </c>
      <c r="I424" s="12" t="n">
        <f aca="false">INDEX(Urg_Mult,MATCH(E424,Urg_Levels,0))</f>
        <v>1.3</v>
      </c>
      <c r="J424" s="3" t="n">
        <f aca="false">IF(ISNUMBER(H424),MAX(H424,IFERROR(INDEX(MW_Floor,MATCH(G424,MW_Key,0)),0))*I424,"")</f>
        <v>1226.355</v>
      </c>
      <c r="K424" s="3" t="n">
        <f aca="false">IF(ISNUMBER(J424),F424+J424,"")</f>
        <v>1383.005</v>
      </c>
      <c r="L424" s="3" t="n">
        <f aca="false">IF(ISNUMBER(H424),MAX(H424,IFERROR(INDEX(MW_Floor,MATCH(G424,MW_Key,0)),0))*I424,"")</f>
        <v>1226.355</v>
      </c>
      <c r="M424" s="2" t="str">
        <f aca="false">IFERROR(INDEX(LR_Flag,MATCH(G424,LR_Key,0)),"")</f>
        <v>none</v>
      </c>
      <c r="N424" s="2" t="str">
        <f aca="false">IFERROR(INDEX(MW_Check,MATCH(G424,MW_Key,0)),"")</f>
        <v>OK</v>
      </c>
      <c r="O424" s="0" t="str">
        <f aca="false">IF(NOT(ISNUMBER(H424)),"LABOR QUOTE NEEDED – total incomplete",IF(N424="BELOW FLOOR","CHECK: typical labor below wage floor – payout and customer labor raised to floor",IF(M424&lt;&gt;"none","Labor rate flagged: "&amp;M424,"OK")))</f>
        <v>OK</v>
      </c>
      <c r="P424" s="0" t="s">
        <v>1662</v>
      </c>
      <c r="Q424" s="8" t="s">
        <v>1663</v>
      </c>
      <c r="R424" s="2" t="str">
        <f aca="false">IF(OR(M424="regulated",COUNTIFS(Tasks_TaskID,A424,Tasks_Tier,D424,Tasks_Review,"base")&gt;0),"PENDING REVIEW – priced, not bookable until human approval",IF(COUNTIFS(Tasks_TaskID,A424,Tasks_Tier,D424,Tasks_Review,"as-needed")&gt;0,"Bookable (re-evaluate if regulated as-needed line selected)","Bookable"))</f>
        <v>Bookable</v>
      </c>
    </row>
    <row r="425" customFormat="false" ht="17.15" hidden="false" customHeight="false" outlineLevel="0" collapsed="false">
      <c r="A425" s="2" t="s">
        <v>1657</v>
      </c>
      <c r="B425" s="2" t="s">
        <v>939</v>
      </c>
      <c r="C425" s="2" t="s">
        <v>1658</v>
      </c>
      <c r="D425" s="2" t="s">
        <v>1659</v>
      </c>
      <c r="E425" s="2" t="s">
        <v>1898</v>
      </c>
      <c r="F425" s="3" t="n">
        <f aca="false">INDEX(Sum_Base,MATCH(A425,Sum_BaseTasks,0),MATCH(D425,Sum_BaseTiers,0))</f>
        <v>156.65</v>
      </c>
      <c r="G425" s="2" t="str">
        <f aca="false">IF(ISNUMBER(MATCH(A425&amp;"|"&amp;D425,LR_Key,0)),A425&amp;"|"&amp;D425,A425&amp;"|All")</f>
        <v>FIXX-CLN-001|≤60 m²</v>
      </c>
      <c r="H425" s="3" t="n">
        <f aca="false">IFERROR(INDEX(LR_TypLabor,MATCH(G425,LR_Key,0)),"")</f>
        <v>943.35</v>
      </c>
      <c r="I425" s="12" t="n">
        <f aca="false">INDEX(Urg_Mult,MATCH(E425,Urg_Levels,0))</f>
        <v>1.5</v>
      </c>
      <c r="J425" s="3" t="n">
        <f aca="false">IF(ISNUMBER(H425),MAX(H425,IFERROR(INDEX(MW_Floor,MATCH(G425,MW_Key,0)),0))*I425,"")</f>
        <v>1415.025</v>
      </c>
      <c r="K425" s="3" t="n">
        <f aca="false">IF(ISNUMBER(J425),F425+J425,"")</f>
        <v>1571.675</v>
      </c>
      <c r="L425" s="3" t="n">
        <f aca="false">IF(ISNUMBER(H425),MAX(H425,IFERROR(INDEX(MW_Floor,MATCH(G425,MW_Key,0)),0))*I425,"")</f>
        <v>1415.025</v>
      </c>
      <c r="M425" s="2" t="str">
        <f aca="false">IFERROR(INDEX(LR_Flag,MATCH(G425,LR_Key,0)),"")</f>
        <v>none</v>
      </c>
      <c r="N425" s="2" t="str">
        <f aca="false">IFERROR(INDEX(MW_Check,MATCH(G425,MW_Key,0)),"")</f>
        <v>OK</v>
      </c>
      <c r="O425" s="0" t="str">
        <f aca="false">IF(NOT(ISNUMBER(H425)),"LABOR QUOTE NEEDED – total incomplete",IF(N425="BELOW FLOOR","CHECK: typical labor below wage floor – payout and customer labor raised to floor",IF(M425&lt;&gt;"none","Labor rate flagged: "&amp;M425,"OK")))</f>
        <v>OK</v>
      </c>
      <c r="P425" s="0" t="s">
        <v>1662</v>
      </c>
      <c r="Q425" s="8" t="s">
        <v>1663</v>
      </c>
      <c r="R425" s="2" t="str">
        <f aca="false">IF(OR(M425="regulated",COUNTIFS(Tasks_TaskID,A425,Tasks_Tier,D425,Tasks_Review,"base")&gt;0),"PENDING REVIEW – priced, not bookable until human approval",IF(COUNTIFS(Tasks_TaskID,A425,Tasks_Tier,D425,Tasks_Review,"as-needed")&gt;0,"Bookable (re-evaluate if regulated as-needed line selected)","Bookable"))</f>
        <v>Bookable</v>
      </c>
    </row>
    <row r="426" customFormat="false" ht="17.15" hidden="false" customHeight="false" outlineLevel="0" collapsed="false">
      <c r="A426" s="2" t="s">
        <v>1657</v>
      </c>
      <c r="B426" s="2" t="s">
        <v>939</v>
      </c>
      <c r="C426" s="2" t="s">
        <v>1658</v>
      </c>
      <c r="D426" s="2" t="s">
        <v>1679</v>
      </c>
      <c r="E426" s="2" t="s">
        <v>1895</v>
      </c>
      <c r="F426" s="3" t="n">
        <f aca="false">INDEX(Sum_Base,MATCH(A426,Sum_BaseTasks,0),MATCH(D426,Sum_BaseTiers,0))</f>
        <v>234.975</v>
      </c>
      <c r="G426" s="2" t="str">
        <f aca="false">IF(ISNUMBER(MATCH(A426&amp;"|"&amp;D426,LR_Key,0)),A426&amp;"|"&amp;D426,A426&amp;"|All")</f>
        <v>FIXX-CLN-001|61–100 m²</v>
      </c>
      <c r="H426" s="3" t="n">
        <f aca="false">IFERROR(INDEX(LR_TypLabor,MATCH(G426,LR_Key,0)),"")</f>
        <v>1165.02</v>
      </c>
      <c r="I426" s="12" t="n">
        <f aca="false">INDEX(Urg_Mult,MATCH(E426,Urg_Levels,0))</f>
        <v>1</v>
      </c>
      <c r="J426" s="3" t="n">
        <f aca="false">IF(ISNUMBER(H426),MAX(H426,IFERROR(INDEX(MW_Floor,MATCH(G426,MW_Key,0)),0))*I426,"")</f>
        <v>1165.02</v>
      </c>
      <c r="K426" s="3" t="n">
        <f aca="false">IF(ISNUMBER(J426),F426+J426,"")</f>
        <v>1399.995</v>
      </c>
      <c r="L426" s="3" t="n">
        <f aca="false">IF(ISNUMBER(H426),MAX(H426,IFERROR(INDEX(MW_Floor,MATCH(G426,MW_Key,0)),0))*I426,"")</f>
        <v>1165.02</v>
      </c>
      <c r="M426" s="2" t="str">
        <f aca="false">IFERROR(INDEX(LR_Flag,MATCH(G426,LR_Key,0)),"")</f>
        <v>none</v>
      </c>
      <c r="N426" s="2" t="str">
        <f aca="false">IFERROR(INDEX(MW_Check,MATCH(G426,MW_Key,0)),"")</f>
        <v>OK</v>
      </c>
      <c r="O426" s="0" t="str">
        <f aca="false">IF(NOT(ISNUMBER(H426)),"LABOR QUOTE NEEDED – total incomplete",IF(N426="BELOW FLOOR","CHECK: typical labor below wage floor – payout and customer labor raised to floor",IF(M426&lt;&gt;"none","Labor rate flagged: "&amp;M426,"OK")))</f>
        <v>OK</v>
      </c>
      <c r="P426" s="0" t="s">
        <v>1662</v>
      </c>
      <c r="Q426" s="8" t="s">
        <v>1663</v>
      </c>
      <c r="R426" s="2" t="str">
        <f aca="false">IF(OR(M426="regulated",COUNTIFS(Tasks_TaskID,A426,Tasks_Tier,D426,Tasks_Review,"base")&gt;0),"PENDING REVIEW – priced, not bookable until human approval",IF(COUNTIFS(Tasks_TaskID,A426,Tasks_Tier,D426,Tasks_Review,"as-needed")&gt;0,"Bookable (re-evaluate if regulated as-needed line selected)","Bookable"))</f>
        <v>Bookable</v>
      </c>
    </row>
    <row r="427" customFormat="false" ht="17.15" hidden="false" customHeight="false" outlineLevel="0" collapsed="false">
      <c r="A427" s="2" t="s">
        <v>1657</v>
      </c>
      <c r="B427" s="2" t="s">
        <v>939</v>
      </c>
      <c r="C427" s="2" t="s">
        <v>1658</v>
      </c>
      <c r="D427" s="2" t="s">
        <v>1679</v>
      </c>
      <c r="E427" s="2" t="s">
        <v>1896</v>
      </c>
      <c r="F427" s="3" t="n">
        <f aca="false">INDEX(Sum_Base,MATCH(A427,Sum_BaseTasks,0),MATCH(D427,Sum_BaseTiers,0))</f>
        <v>234.975</v>
      </c>
      <c r="G427" s="2" t="str">
        <f aca="false">IF(ISNUMBER(MATCH(A427&amp;"|"&amp;D427,LR_Key,0)),A427&amp;"|"&amp;D427,A427&amp;"|All")</f>
        <v>FIXX-CLN-001|61–100 m²</v>
      </c>
      <c r="H427" s="3" t="n">
        <f aca="false">IFERROR(INDEX(LR_TypLabor,MATCH(G427,LR_Key,0)),"")</f>
        <v>1165.02</v>
      </c>
      <c r="I427" s="12" t="n">
        <f aca="false">INDEX(Urg_Mult,MATCH(E427,Urg_Levels,0))</f>
        <v>1.15</v>
      </c>
      <c r="J427" s="3" t="n">
        <f aca="false">IF(ISNUMBER(H427),MAX(H427,IFERROR(INDEX(MW_Floor,MATCH(G427,MW_Key,0)),0))*I427,"")</f>
        <v>1339.773</v>
      </c>
      <c r="K427" s="3" t="n">
        <f aca="false">IF(ISNUMBER(J427),F427+J427,"")</f>
        <v>1574.748</v>
      </c>
      <c r="L427" s="3" t="n">
        <f aca="false">IF(ISNUMBER(H427),MAX(H427,IFERROR(INDEX(MW_Floor,MATCH(G427,MW_Key,0)),0))*I427,"")</f>
        <v>1339.773</v>
      </c>
      <c r="M427" s="2" t="str">
        <f aca="false">IFERROR(INDEX(LR_Flag,MATCH(G427,LR_Key,0)),"")</f>
        <v>none</v>
      </c>
      <c r="N427" s="2" t="str">
        <f aca="false">IFERROR(INDEX(MW_Check,MATCH(G427,MW_Key,0)),"")</f>
        <v>OK</v>
      </c>
      <c r="O427" s="0" t="str">
        <f aca="false">IF(NOT(ISNUMBER(H427)),"LABOR QUOTE NEEDED – total incomplete",IF(N427="BELOW FLOOR","CHECK: typical labor below wage floor – payout and customer labor raised to floor",IF(M427&lt;&gt;"none","Labor rate flagged: "&amp;M427,"OK")))</f>
        <v>OK</v>
      </c>
      <c r="P427" s="0" t="s">
        <v>1662</v>
      </c>
      <c r="Q427" s="8" t="s">
        <v>1663</v>
      </c>
      <c r="R427" s="2" t="str">
        <f aca="false">IF(OR(M427="regulated",COUNTIFS(Tasks_TaskID,A427,Tasks_Tier,D427,Tasks_Review,"base")&gt;0),"PENDING REVIEW – priced, not bookable until human approval",IF(COUNTIFS(Tasks_TaskID,A427,Tasks_Tier,D427,Tasks_Review,"as-needed")&gt;0,"Bookable (re-evaluate if regulated as-needed line selected)","Bookable"))</f>
        <v>Bookable</v>
      </c>
    </row>
    <row r="428" customFormat="false" ht="17.15" hidden="false" customHeight="false" outlineLevel="0" collapsed="false">
      <c r="A428" s="2" t="s">
        <v>1657</v>
      </c>
      <c r="B428" s="2" t="s">
        <v>939</v>
      </c>
      <c r="C428" s="2" t="s">
        <v>1658</v>
      </c>
      <c r="D428" s="2" t="s">
        <v>1679</v>
      </c>
      <c r="E428" s="2" t="s">
        <v>1897</v>
      </c>
      <c r="F428" s="3" t="n">
        <f aca="false">INDEX(Sum_Base,MATCH(A428,Sum_BaseTasks,0),MATCH(D428,Sum_BaseTiers,0))</f>
        <v>234.975</v>
      </c>
      <c r="G428" s="2" t="str">
        <f aca="false">IF(ISNUMBER(MATCH(A428&amp;"|"&amp;D428,LR_Key,0)),A428&amp;"|"&amp;D428,A428&amp;"|All")</f>
        <v>FIXX-CLN-001|61–100 m²</v>
      </c>
      <c r="H428" s="3" t="n">
        <f aca="false">IFERROR(INDEX(LR_TypLabor,MATCH(G428,LR_Key,0)),"")</f>
        <v>1165.02</v>
      </c>
      <c r="I428" s="12" t="n">
        <f aca="false">INDEX(Urg_Mult,MATCH(E428,Urg_Levels,0))</f>
        <v>1.3</v>
      </c>
      <c r="J428" s="3" t="n">
        <f aca="false">IF(ISNUMBER(H428),MAX(H428,IFERROR(INDEX(MW_Floor,MATCH(G428,MW_Key,0)),0))*I428,"")</f>
        <v>1514.526</v>
      </c>
      <c r="K428" s="3" t="n">
        <f aca="false">IF(ISNUMBER(J428),F428+J428,"")</f>
        <v>1749.501</v>
      </c>
      <c r="L428" s="3" t="n">
        <f aca="false">IF(ISNUMBER(H428),MAX(H428,IFERROR(INDEX(MW_Floor,MATCH(G428,MW_Key,0)),0))*I428,"")</f>
        <v>1514.526</v>
      </c>
      <c r="M428" s="2" t="str">
        <f aca="false">IFERROR(INDEX(LR_Flag,MATCH(G428,LR_Key,0)),"")</f>
        <v>none</v>
      </c>
      <c r="N428" s="2" t="str">
        <f aca="false">IFERROR(INDEX(MW_Check,MATCH(G428,MW_Key,0)),"")</f>
        <v>OK</v>
      </c>
      <c r="O428" s="0" t="str">
        <f aca="false">IF(NOT(ISNUMBER(H428)),"LABOR QUOTE NEEDED – total incomplete",IF(N428="BELOW FLOOR","CHECK: typical labor below wage floor – payout and customer labor raised to floor",IF(M428&lt;&gt;"none","Labor rate flagged: "&amp;M428,"OK")))</f>
        <v>OK</v>
      </c>
      <c r="P428" s="0" t="s">
        <v>1662</v>
      </c>
      <c r="Q428" s="8" t="s">
        <v>1663</v>
      </c>
      <c r="R428" s="2" t="str">
        <f aca="false">IF(OR(M428="regulated",COUNTIFS(Tasks_TaskID,A428,Tasks_Tier,D428,Tasks_Review,"base")&gt;0),"PENDING REVIEW – priced, not bookable until human approval",IF(COUNTIFS(Tasks_TaskID,A428,Tasks_Tier,D428,Tasks_Review,"as-needed")&gt;0,"Bookable (re-evaluate if regulated as-needed line selected)","Bookable"))</f>
        <v>Bookable</v>
      </c>
    </row>
    <row r="429" customFormat="false" ht="17.15" hidden="false" customHeight="false" outlineLevel="0" collapsed="false">
      <c r="A429" s="2" t="s">
        <v>1657</v>
      </c>
      <c r="B429" s="2" t="s">
        <v>939</v>
      </c>
      <c r="C429" s="2" t="s">
        <v>1658</v>
      </c>
      <c r="D429" s="2" t="s">
        <v>1679</v>
      </c>
      <c r="E429" s="2" t="s">
        <v>1898</v>
      </c>
      <c r="F429" s="3" t="n">
        <f aca="false">INDEX(Sum_Base,MATCH(A429,Sum_BaseTasks,0),MATCH(D429,Sum_BaseTiers,0))</f>
        <v>234.975</v>
      </c>
      <c r="G429" s="2" t="str">
        <f aca="false">IF(ISNUMBER(MATCH(A429&amp;"|"&amp;D429,LR_Key,0)),A429&amp;"|"&amp;D429,A429&amp;"|All")</f>
        <v>FIXX-CLN-001|61–100 m²</v>
      </c>
      <c r="H429" s="3" t="n">
        <f aca="false">IFERROR(INDEX(LR_TypLabor,MATCH(G429,LR_Key,0)),"")</f>
        <v>1165.02</v>
      </c>
      <c r="I429" s="12" t="n">
        <f aca="false">INDEX(Urg_Mult,MATCH(E429,Urg_Levels,0))</f>
        <v>1.5</v>
      </c>
      <c r="J429" s="3" t="n">
        <f aca="false">IF(ISNUMBER(H429),MAX(H429,IFERROR(INDEX(MW_Floor,MATCH(G429,MW_Key,0)),0))*I429,"")</f>
        <v>1747.53</v>
      </c>
      <c r="K429" s="3" t="n">
        <f aca="false">IF(ISNUMBER(J429),F429+J429,"")</f>
        <v>1982.505</v>
      </c>
      <c r="L429" s="3" t="n">
        <f aca="false">IF(ISNUMBER(H429),MAX(H429,IFERROR(INDEX(MW_Floor,MATCH(G429,MW_Key,0)),0))*I429,"")</f>
        <v>1747.53</v>
      </c>
      <c r="M429" s="2" t="str">
        <f aca="false">IFERROR(INDEX(LR_Flag,MATCH(G429,LR_Key,0)),"")</f>
        <v>none</v>
      </c>
      <c r="N429" s="2" t="str">
        <f aca="false">IFERROR(INDEX(MW_Check,MATCH(G429,MW_Key,0)),"")</f>
        <v>OK</v>
      </c>
      <c r="O429" s="0" t="str">
        <f aca="false">IF(NOT(ISNUMBER(H429)),"LABOR QUOTE NEEDED – total incomplete",IF(N429="BELOW FLOOR","CHECK: typical labor below wage floor – payout and customer labor raised to floor",IF(M429&lt;&gt;"none","Labor rate flagged: "&amp;M429,"OK")))</f>
        <v>OK</v>
      </c>
      <c r="P429" s="0" t="s">
        <v>1662</v>
      </c>
      <c r="Q429" s="8" t="s">
        <v>1663</v>
      </c>
      <c r="R429" s="2" t="str">
        <f aca="false">IF(OR(M429="regulated",COUNTIFS(Tasks_TaskID,A429,Tasks_Tier,D429,Tasks_Review,"base")&gt;0),"PENDING REVIEW – priced, not bookable until human approval",IF(COUNTIFS(Tasks_TaskID,A429,Tasks_Tier,D429,Tasks_Review,"as-needed")&gt;0,"Bookable (re-evaluate if regulated as-needed line selected)","Bookable"))</f>
        <v>Bookable</v>
      </c>
    </row>
    <row r="430" customFormat="false" ht="17.15" hidden="false" customHeight="false" outlineLevel="0" collapsed="false">
      <c r="A430" s="2" t="s">
        <v>1657</v>
      </c>
      <c r="B430" s="2" t="s">
        <v>939</v>
      </c>
      <c r="C430" s="2" t="s">
        <v>1658</v>
      </c>
      <c r="D430" s="2" t="s">
        <v>1691</v>
      </c>
      <c r="E430" s="2" t="s">
        <v>1895</v>
      </c>
      <c r="F430" s="3" t="n">
        <f aca="false">INDEX(Sum_Base,MATCH(A430,Sum_BaseTasks,0),MATCH(D430,Sum_BaseTiers,0))</f>
        <v>313.3</v>
      </c>
      <c r="G430" s="2" t="str">
        <f aca="false">IF(ISNUMBER(MATCH(A430&amp;"|"&amp;D430,LR_Key,0)),A430&amp;"|"&amp;D430,A430&amp;"|All")</f>
        <v>FIXX-CLN-001|101–150 m²</v>
      </c>
      <c r="H430" s="3" t="n">
        <f aca="false">IFERROR(INDEX(LR_TypLabor,MATCH(G430,LR_Key,0)),"")</f>
        <v>1486.7</v>
      </c>
      <c r="I430" s="12" t="n">
        <f aca="false">INDEX(Urg_Mult,MATCH(E430,Urg_Levels,0))</f>
        <v>1</v>
      </c>
      <c r="J430" s="3" t="n">
        <f aca="false">IF(ISNUMBER(H430),MAX(H430,IFERROR(INDEX(MW_Floor,MATCH(G430,MW_Key,0)),0))*I430,"")</f>
        <v>1486.7</v>
      </c>
      <c r="K430" s="3" t="n">
        <f aca="false">IF(ISNUMBER(J430),F430+J430,"")</f>
        <v>1800</v>
      </c>
      <c r="L430" s="3" t="n">
        <f aca="false">IF(ISNUMBER(H430),MAX(H430,IFERROR(INDEX(MW_Floor,MATCH(G430,MW_Key,0)),0))*I430,"")</f>
        <v>1486.7</v>
      </c>
      <c r="M430" s="2" t="str">
        <f aca="false">IFERROR(INDEX(LR_Flag,MATCH(G430,LR_Key,0)),"")</f>
        <v>none</v>
      </c>
      <c r="N430" s="2" t="str">
        <f aca="false">IFERROR(INDEX(MW_Check,MATCH(G430,MW_Key,0)),"")</f>
        <v>OK</v>
      </c>
      <c r="O430" s="0" t="str">
        <f aca="false">IF(NOT(ISNUMBER(H430)),"LABOR QUOTE NEEDED – total incomplete",IF(N430="BELOW FLOOR","CHECK: typical labor below wage floor – payout and customer labor raised to floor",IF(M430&lt;&gt;"none","Labor rate flagged: "&amp;M430,"OK")))</f>
        <v>OK</v>
      </c>
      <c r="P430" s="0" t="s">
        <v>1662</v>
      </c>
      <c r="Q430" s="8" t="s">
        <v>1663</v>
      </c>
      <c r="R430" s="2" t="str">
        <f aca="false">IF(OR(M430="regulated",COUNTIFS(Tasks_TaskID,A430,Tasks_Tier,D430,Tasks_Review,"base")&gt;0),"PENDING REVIEW – priced, not bookable until human approval",IF(COUNTIFS(Tasks_TaskID,A430,Tasks_Tier,D430,Tasks_Review,"as-needed")&gt;0,"Bookable (re-evaluate if regulated as-needed line selected)","Bookable"))</f>
        <v>Bookable</v>
      </c>
    </row>
    <row r="431" customFormat="false" ht="17.15" hidden="false" customHeight="false" outlineLevel="0" collapsed="false">
      <c r="A431" s="2" t="s">
        <v>1657</v>
      </c>
      <c r="B431" s="2" t="s">
        <v>939</v>
      </c>
      <c r="C431" s="2" t="s">
        <v>1658</v>
      </c>
      <c r="D431" s="2" t="s">
        <v>1691</v>
      </c>
      <c r="E431" s="2" t="s">
        <v>1896</v>
      </c>
      <c r="F431" s="3" t="n">
        <f aca="false">INDEX(Sum_Base,MATCH(A431,Sum_BaseTasks,0),MATCH(D431,Sum_BaseTiers,0))</f>
        <v>313.3</v>
      </c>
      <c r="G431" s="2" t="str">
        <f aca="false">IF(ISNUMBER(MATCH(A431&amp;"|"&amp;D431,LR_Key,0)),A431&amp;"|"&amp;D431,A431&amp;"|All")</f>
        <v>FIXX-CLN-001|101–150 m²</v>
      </c>
      <c r="H431" s="3" t="n">
        <f aca="false">IFERROR(INDEX(LR_TypLabor,MATCH(G431,LR_Key,0)),"")</f>
        <v>1486.7</v>
      </c>
      <c r="I431" s="12" t="n">
        <f aca="false">INDEX(Urg_Mult,MATCH(E431,Urg_Levels,0))</f>
        <v>1.15</v>
      </c>
      <c r="J431" s="3" t="n">
        <f aca="false">IF(ISNUMBER(H431),MAX(H431,IFERROR(INDEX(MW_Floor,MATCH(G431,MW_Key,0)),0))*I431,"")</f>
        <v>1709.705</v>
      </c>
      <c r="K431" s="3" t="n">
        <f aca="false">IF(ISNUMBER(J431),F431+J431,"")</f>
        <v>2023.005</v>
      </c>
      <c r="L431" s="3" t="n">
        <f aca="false">IF(ISNUMBER(H431),MAX(H431,IFERROR(INDEX(MW_Floor,MATCH(G431,MW_Key,0)),0))*I431,"")</f>
        <v>1709.705</v>
      </c>
      <c r="M431" s="2" t="str">
        <f aca="false">IFERROR(INDEX(LR_Flag,MATCH(G431,LR_Key,0)),"")</f>
        <v>none</v>
      </c>
      <c r="N431" s="2" t="str">
        <f aca="false">IFERROR(INDEX(MW_Check,MATCH(G431,MW_Key,0)),"")</f>
        <v>OK</v>
      </c>
      <c r="O431" s="0" t="str">
        <f aca="false">IF(NOT(ISNUMBER(H431)),"LABOR QUOTE NEEDED – total incomplete",IF(N431="BELOW FLOOR","CHECK: typical labor below wage floor – payout and customer labor raised to floor",IF(M431&lt;&gt;"none","Labor rate flagged: "&amp;M431,"OK")))</f>
        <v>OK</v>
      </c>
      <c r="P431" s="0" t="s">
        <v>1662</v>
      </c>
      <c r="Q431" s="8" t="s">
        <v>1663</v>
      </c>
      <c r="R431" s="2" t="str">
        <f aca="false">IF(OR(M431="regulated",COUNTIFS(Tasks_TaskID,A431,Tasks_Tier,D431,Tasks_Review,"base")&gt;0),"PENDING REVIEW – priced, not bookable until human approval",IF(COUNTIFS(Tasks_TaskID,A431,Tasks_Tier,D431,Tasks_Review,"as-needed")&gt;0,"Bookable (re-evaluate if regulated as-needed line selected)","Bookable"))</f>
        <v>Bookable</v>
      </c>
    </row>
    <row r="432" customFormat="false" ht="17.15" hidden="false" customHeight="false" outlineLevel="0" collapsed="false">
      <c r="A432" s="2" t="s">
        <v>1657</v>
      </c>
      <c r="B432" s="2" t="s">
        <v>939</v>
      </c>
      <c r="C432" s="2" t="s">
        <v>1658</v>
      </c>
      <c r="D432" s="2" t="s">
        <v>1691</v>
      </c>
      <c r="E432" s="2" t="s">
        <v>1897</v>
      </c>
      <c r="F432" s="3" t="n">
        <f aca="false">INDEX(Sum_Base,MATCH(A432,Sum_BaseTasks,0),MATCH(D432,Sum_BaseTiers,0))</f>
        <v>313.3</v>
      </c>
      <c r="G432" s="2" t="str">
        <f aca="false">IF(ISNUMBER(MATCH(A432&amp;"|"&amp;D432,LR_Key,0)),A432&amp;"|"&amp;D432,A432&amp;"|All")</f>
        <v>FIXX-CLN-001|101–150 m²</v>
      </c>
      <c r="H432" s="3" t="n">
        <f aca="false">IFERROR(INDEX(LR_TypLabor,MATCH(G432,LR_Key,0)),"")</f>
        <v>1486.7</v>
      </c>
      <c r="I432" s="12" t="n">
        <f aca="false">INDEX(Urg_Mult,MATCH(E432,Urg_Levels,0))</f>
        <v>1.3</v>
      </c>
      <c r="J432" s="3" t="n">
        <f aca="false">IF(ISNUMBER(H432),MAX(H432,IFERROR(INDEX(MW_Floor,MATCH(G432,MW_Key,0)),0))*I432,"")</f>
        <v>1932.71</v>
      </c>
      <c r="K432" s="3" t="n">
        <f aca="false">IF(ISNUMBER(J432),F432+J432,"")</f>
        <v>2246.01</v>
      </c>
      <c r="L432" s="3" t="n">
        <f aca="false">IF(ISNUMBER(H432),MAX(H432,IFERROR(INDEX(MW_Floor,MATCH(G432,MW_Key,0)),0))*I432,"")</f>
        <v>1932.71</v>
      </c>
      <c r="M432" s="2" t="str">
        <f aca="false">IFERROR(INDEX(LR_Flag,MATCH(G432,LR_Key,0)),"")</f>
        <v>none</v>
      </c>
      <c r="N432" s="2" t="str">
        <f aca="false">IFERROR(INDEX(MW_Check,MATCH(G432,MW_Key,0)),"")</f>
        <v>OK</v>
      </c>
      <c r="O432" s="0" t="str">
        <f aca="false">IF(NOT(ISNUMBER(H432)),"LABOR QUOTE NEEDED – total incomplete",IF(N432="BELOW FLOOR","CHECK: typical labor below wage floor – payout and customer labor raised to floor",IF(M432&lt;&gt;"none","Labor rate flagged: "&amp;M432,"OK")))</f>
        <v>OK</v>
      </c>
      <c r="P432" s="0" t="s">
        <v>1662</v>
      </c>
      <c r="Q432" s="8" t="s">
        <v>1663</v>
      </c>
      <c r="R432" s="2" t="str">
        <f aca="false">IF(OR(M432="regulated",COUNTIFS(Tasks_TaskID,A432,Tasks_Tier,D432,Tasks_Review,"base")&gt;0),"PENDING REVIEW – priced, not bookable until human approval",IF(COUNTIFS(Tasks_TaskID,A432,Tasks_Tier,D432,Tasks_Review,"as-needed")&gt;0,"Bookable (re-evaluate if regulated as-needed line selected)","Bookable"))</f>
        <v>Bookable</v>
      </c>
    </row>
    <row r="433" customFormat="false" ht="17.15" hidden="false" customHeight="false" outlineLevel="0" collapsed="false">
      <c r="A433" s="2" t="s">
        <v>1657</v>
      </c>
      <c r="B433" s="2" t="s">
        <v>939</v>
      </c>
      <c r="C433" s="2" t="s">
        <v>1658</v>
      </c>
      <c r="D433" s="2" t="s">
        <v>1691</v>
      </c>
      <c r="E433" s="2" t="s">
        <v>1898</v>
      </c>
      <c r="F433" s="3" t="n">
        <f aca="false">INDEX(Sum_Base,MATCH(A433,Sum_BaseTasks,0),MATCH(D433,Sum_BaseTiers,0))</f>
        <v>313.3</v>
      </c>
      <c r="G433" s="2" t="str">
        <f aca="false">IF(ISNUMBER(MATCH(A433&amp;"|"&amp;D433,LR_Key,0)),A433&amp;"|"&amp;D433,A433&amp;"|All")</f>
        <v>FIXX-CLN-001|101–150 m²</v>
      </c>
      <c r="H433" s="3" t="n">
        <f aca="false">IFERROR(INDEX(LR_TypLabor,MATCH(G433,LR_Key,0)),"")</f>
        <v>1486.7</v>
      </c>
      <c r="I433" s="12" t="n">
        <f aca="false">INDEX(Urg_Mult,MATCH(E433,Urg_Levels,0))</f>
        <v>1.5</v>
      </c>
      <c r="J433" s="3" t="n">
        <f aca="false">IF(ISNUMBER(H433),MAX(H433,IFERROR(INDEX(MW_Floor,MATCH(G433,MW_Key,0)),0))*I433,"")</f>
        <v>2230.05</v>
      </c>
      <c r="K433" s="3" t="n">
        <f aca="false">IF(ISNUMBER(J433),F433+J433,"")</f>
        <v>2543.35</v>
      </c>
      <c r="L433" s="3" t="n">
        <f aca="false">IF(ISNUMBER(H433),MAX(H433,IFERROR(INDEX(MW_Floor,MATCH(G433,MW_Key,0)),0))*I433,"")</f>
        <v>2230.05</v>
      </c>
      <c r="M433" s="2" t="str">
        <f aca="false">IFERROR(INDEX(LR_Flag,MATCH(G433,LR_Key,0)),"")</f>
        <v>none</v>
      </c>
      <c r="N433" s="2" t="str">
        <f aca="false">IFERROR(INDEX(MW_Check,MATCH(G433,MW_Key,0)),"")</f>
        <v>OK</v>
      </c>
      <c r="O433" s="0" t="str">
        <f aca="false">IF(NOT(ISNUMBER(H433)),"LABOR QUOTE NEEDED – total incomplete",IF(N433="BELOW FLOOR","CHECK: typical labor below wage floor – payout and customer labor raised to floor",IF(M433&lt;&gt;"none","Labor rate flagged: "&amp;M433,"OK")))</f>
        <v>OK</v>
      </c>
      <c r="P433" s="0" t="s">
        <v>1662</v>
      </c>
      <c r="Q433" s="8" t="s">
        <v>1663</v>
      </c>
      <c r="R433" s="2" t="str">
        <f aca="false">IF(OR(M433="regulated",COUNTIFS(Tasks_TaskID,A433,Tasks_Tier,D433,Tasks_Review,"base")&gt;0),"PENDING REVIEW – priced, not bookable until human approval",IF(COUNTIFS(Tasks_TaskID,A433,Tasks_Tier,D433,Tasks_Review,"as-needed")&gt;0,"Bookable (re-evaluate if regulated as-needed line selected)","Bookable"))</f>
        <v>Bookable</v>
      </c>
    </row>
    <row r="434" customFormat="false" ht="17.15" hidden="false" customHeight="false" outlineLevel="0" collapsed="false">
      <c r="A434" s="2" t="s">
        <v>1703</v>
      </c>
      <c r="B434" s="2" t="s">
        <v>939</v>
      </c>
      <c r="C434" s="2" t="s">
        <v>1704</v>
      </c>
      <c r="D434" s="2" t="s">
        <v>1659</v>
      </c>
      <c r="E434" s="2" t="s">
        <v>1895</v>
      </c>
      <c r="F434" s="3" t="n">
        <f aca="false">INDEX(Sum_Base,MATCH(A434,Sum_BaseTasks,0),MATCH(D434,Sum_BaseTiers,0))</f>
        <v>234.975</v>
      </c>
      <c r="G434" s="2" t="str">
        <f aca="false">IF(ISNUMBER(MATCH(A434&amp;"|"&amp;D434,LR_Key,0)),A434&amp;"|"&amp;D434,A434&amp;"|All")</f>
        <v>FIXX-CLN-002|≤60 m²</v>
      </c>
      <c r="H434" s="3" t="n">
        <f aca="false">IFERROR(INDEX(LR_TypLabor,MATCH(G434,LR_Key,0)),"")</f>
        <v>1565.02</v>
      </c>
      <c r="I434" s="12" t="n">
        <f aca="false">INDEX(Urg_Mult,MATCH(E434,Urg_Levels,0))</f>
        <v>1</v>
      </c>
      <c r="J434" s="3" t="n">
        <f aca="false">IF(ISNUMBER(H434),MAX(H434,IFERROR(INDEX(MW_Floor,MATCH(G434,MW_Key,0)),0))*I434,"")</f>
        <v>1565.02</v>
      </c>
      <c r="K434" s="3" t="n">
        <f aca="false">IF(ISNUMBER(J434),F434+J434,"")</f>
        <v>1799.995</v>
      </c>
      <c r="L434" s="3" t="n">
        <f aca="false">IF(ISNUMBER(H434),MAX(H434,IFERROR(INDEX(MW_Floor,MATCH(G434,MW_Key,0)),0))*I434,"")</f>
        <v>1565.02</v>
      </c>
      <c r="M434" s="2" t="str">
        <f aca="false">IFERROR(INDEX(LR_Flag,MATCH(G434,LR_Key,0)),"")</f>
        <v>none</v>
      </c>
      <c r="N434" s="2" t="str">
        <f aca="false">IFERROR(INDEX(MW_Check,MATCH(G434,MW_Key,0)),"")</f>
        <v>OK</v>
      </c>
      <c r="O434" s="0" t="str">
        <f aca="false">IF(NOT(ISNUMBER(H434)),"LABOR QUOTE NEEDED – total incomplete",IF(N434="BELOW FLOOR","CHECK: typical labor below wage floor – payout and customer labor raised to floor",IF(M434&lt;&gt;"none","Labor rate flagged: "&amp;M434,"OK")))</f>
        <v>OK</v>
      </c>
      <c r="P434" s="0" t="s">
        <v>1706</v>
      </c>
      <c r="Q434" s="8" t="s">
        <v>1707</v>
      </c>
      <c r="R434" s="2" t="str">
        <f aca="false">IF(OR(M434="regulated",COUNTIFS(Tasks_TaskID,A434,Tasks_Tier,D434,Tasks_Review,"base")&gt;0),"PENDING REVIEW – priced, not bookable until human approval",IF(COUNTIFS(Tasks_TaskID,A434,Tasks_Tier,D434,Tasks_Review,"as-needed")&gt;0,"Bookable (re-evaluate if regulated as-needed line selected)","Bookable"))</f>
        <v>Bookable (re-evaluate if regulated as-needed line selected)</v>
      </c>
    </row>
    <row r="435" customFormat="false" ht="17.15" hidden="false" customHeight="false" outlineLevel="0" collapsed="false">
      <c r="A435" s="2" t="s">
        <v>1703</v>
      </c>
      <c r="B435" s="2" t="s">
        <v>939</v>
      </c>
      <c r="C435" s="2" t="s">
        <v>1704</v>
      </c>
      <c r="D435" s="2" t="s">
        <v>1659</v>
      </c>
      <c r="E435" s="2" t="s">
        <v>1896</v>
      </c>
      <c r="F435" s="3" t="n">
        <f aca="false">INDEX(Sum_Base,MATCH(A435,Sum_BaseTasks,0),MATCH(D435,Sum_BaseTiers,0))</f>
        <v>234.975</v>
      </c>
      <c r="G435" s="2" t="str">
        <f aca="false">IF(ISNUMBER(MATCH(A435&amp;"|"&amp;D435,LR_Key,0)),A435&amp;"|"&amp;D435,A435&amp;"|All")</f>
        <v>FIXX-CLN-002|≤60 m²</v>
      </c>
      <c r="H435" s="3" t="n">
        <f aca="false">IFERROR(INDEX(LR_TypLabor,MATCH(G435,LR_Key,0)),"")</f>
        <v>1565.02</v>
      </c>
      <c r="I435" s="12" t="n">
        <f aca="false">INDEX(Urg_Mult,MATCH(E435,Urg_Levels,0))</f>
        <v>1.15</v>
      </c>
      <c r="J435" s="3" t="n">
        <f aca="false">IF(ISNUMBER(H435),MAX(H435,IFERROR(INDEX(MW_Floor,MATCH(G435,MW_Key,0)),0))*I435,"")</f>
        <v>1799.773</v>
      </c>
      <c r="K435" s="3" t="n">
        <f aca="false">IF(ISNUMBER(J435),F435+J435,"")</f>
        <v>2034.748</v>
      </c>
      <c r="L435" s="3" t="n">
        <f aca="false">IF(ISNUMBER(H435),MAX(H435,IFERROR(INDEX(MW_Floor,MATCH(G435,MW_Key,0)),0))*I435,"")</f>
        <v>1799.773</v>
      </c>
      <c r="M435" s="2" t="str">
        <f aca="false">IFERROR(INDEX(LR_Flag,MATCH(G435,LR_Key,0)),"")</f>
        <v>none</v>
      </c>
      <c r="N435" s="2" t="str">
        <f aca="false">IFERROR(INDEX(MW_Check,MATCH(G435,MW_Key,0)),"")</f>
        <v>OK</v>
      </c>
      <c r="O435" s="0" t="str">
        <f aca="false">IF(NOT(ISNUMBER(H435)),"LABOR QUOTE NEEDED – total incomplete",IF(N435="BELOW FLOOR","CHECK: typical labor below wage floor – payout and customer labor raised to floor",IF(M435&lt;&gt;"none","Labor rate flagged: "&amp;M435,"OK")))</f>
        <v>OK</v>
      </c>
      <c r="P435" s="0" t="s">
        <v>1706</v>
      </c>
      <c r="Q435" s="8" t="s">
        <v>1707</v>
      </c>
      <c r="R435" s="2" t="str">
        <f aca="false">IF(OR(M435="regulated",COUNTIFS(Tasks_TaskID,A435,Tasks_Tier,D435,Tasks_Review,"base")&gt;0),"PENDING REVIEW – priced, not bookable until human approval",IF(COUNTIFS(Tasks_TaskID,A435,Tasks_Tier,D435,Tasks_Review,"as-needed")&gt;0,"Bookable (re-evaluate if regulated as-needed line selected)","Bookable"))</f>
        <v>Bookable (re-evaluate if regulated as-needed line selected)</v>
      </c>
    </row>
    <row r="436" customFormat="false" ht="17.15" hidden="false" customHeight="false" outlineLevel="0" collapsed="false">
      <c r="A436" s="2" t="s">
        <v>1703</v>
      </c>
      <c r="B436" s="2" t="s">
        <v>939</v>
      </c>
      <c r="C436" s="2" t="s">
        <v>1704</v>
      </c>
      <c r="D436" s="2" t="s">
        <v>1659</v>
      </c>
      <c r="E436" s="2" t="s">
        <v>1897</v>
      </c>
      <c r="F436" s="3" t="n">
        <f aca="false">INDEX(Sum_Base,MATCH(A436,Sum_BaseTasks,0),MATCH(D436,Sum_BaseTiers,0))</f>
        <v>234.975</v>
      </c>
      <c r="G436" s="2" t="str">
        <f aca="false">IF(ISNUMBER(MATCH(A436&amp;"|"&amp;D436,LR_Key,0)),A436&amp;"|"&amp;D436,A436&amp;"|All")</f>
        <v>FIXX-CLN-002|≤60 m²</v>
      </c>
      <c r="H436" s="3" t="n">
        <f aca="false">IFERROR(INDEX(LR_TypLabor,MATCH(G436,LR_Key,0)),"")</f>
        <v>1565.02</v>
      </c>
      <c r="I436" s="12" t="n">
        <f aca="false">INDEX(Urg_Mult,MATCH(E436,Urg_Levels,0))</f>
        <v>1.3</v>
      </c>
      <c r="J436" s="3" t="n">
        <f aca="false">IF(ISNUMBER(H436),MAX(H436,IFERROR(INDEX(MW_Floor,MATCH(G436,MW_Key,0)),0))*I436,"")</f>
        <v>2034.526</v>
      </c>
      <c r="K436" s="3" t="n">
        <f aca="false">IF(ISNUMBER(J436),F436+J436,"")</f>
        <v>2269.501</v>
      </c>
      <c r="L436" s="3" t="n">
        <f aca="false">IF(ISNUMBER(H436),MAX(H436,IFERROR(INDEX(MW_Floor,MATCH(G436,MW_Key,0)),0))*I436,"")</f>
        <v>2034.526</v>
      </c>
      <c r="M436" s="2" t="str">
        <f aca="false">IFERROR(INDEX(LR_Flag,MATCH(G436,LR_Key,0)),"")</f>
        <v>none</v>
      </c>
      <c r="N436" s="2" t="str">
        <f aca="false">IFERROR(INDEX(MW_Check,MATCH(G436,MW_Key,0)),"")</f>
        <v>OK</v>
      </c>
      <c r="O436" s="0" t="str">
        <f aca="false">IF(NOT(ISNUMBER(H436)),"LABOR QUOTE NEEDED – total incomplete",IF(N436="BELOW FLOOR","CHECK: typical labor below wage floor – payout and customer labor raised to floor",IF(M436&lt;&gt;"none","Labor rate flagged: "&amp;M436,"OK")))</f>
        <v>OK</v>
      </c>
      <c r="P436" s="0" t="s">
        <v>1706</v>
      </c>
      <c r="Q436" s="8" t="s">
        <v>1707</v>
      </c>
      <c r="R436" s="2" t="str">
        <f aca="false">IF(OR(M436="regulated",COUNTIFS(Tasks_TaskID,A436,Tasks_Tier,D436,Tasks_Review,"base")&gt;0),"PENDING REVIEW – priced, not bookable until human approval",IF(COUNTIFS(Tasks_TaskID,A436,Tasks_Tier,D436,Tasks_Review,"as-needed")&gt;0,"Bookable (re-evaluate if regulated as-needed line selected)","Bookable"))</f>
        <v>Bookable (re-evaluate if regulated as-needed line selected)</v>
      </c>
    </row>
    <row r="437" customFormat="false" ht="17.15" hidden="false" customHeight="false" outlineLevel="0" collapsed="false">
      <c r="A437" s="2" t="s">
        <v>1703</v>
      </c>
      <c r="B437" s="2" t="s">
        <v>939</v>
      </c>
      <c r="C437" s="2" t="s">
        <v>1704</v>
      </c>
      <c r="D437" s="2" t="s">
        <v>1659</v>
      </c>
      <c r="E437" s="2" t="s">
        <v>1898</v>
      </c>
      <c r="F437" s="3" t="n">
        <f aca="false">INDEX(Sum_Base,MATCH(A437,Sum_BaseTasks,0),MATCH(D437,Sum_BaseTiers,0))</f>
        <v>234.975</v>
      </c>
      <c r="G437" s="2" t="str">
        <f aca="false">IF(ISNUMBER(MATCH(A437&amp;"|"&amp;D437,LR_Key,0)),A437&amp;"|"&amp;D437,A437&amp;"|All")</f>
        <v>FIXX-CLN-002|≤60 m²</v>
      </c>
      <c r="H437" s="3" t="n">
        <f aca="false">IFERROR(INDEX(LR_TypLabor,MATCH(G437,LR_Key,0)),"")</f>
        <v>1565.02</v>
      </c>
      <c r="I437" s="12" t="n">
        <f aca="false">INDEX(Urg_Mult,MATCH(E437,Urg_Levels,0))</f>
        <v>1.5</v>
      </c>
      <c r="J437" s="3" t="n">
        <f aca="false">IF(ISNUMBER(H437),MAX(H437,IFERROR(INDEX(MW_Floor,MATCH(G437,MW_Key,0)),0))*I437,"")</f>
        <v>2347.53</v>
      </c>
      <c r="K437" s="3" t="n">
        <f aca="false">IF(ISNUMBER(J437),F437+J437,"")</f>
        <v>2582.505</v>
      </c>
      <c r="L437" s="3" t="n">
        <f aca="false">IF(ISNUMBER(H437),MAX(H437,IFERROR(INDEX(MW_Floor,MATCH(G437,MW_Key,0)),0))*I437,"")</f>
        <v>2347.53</v>
      </c>
      <c r="M437" s="2" t="str">
        <f aca="false">IFERROR(INDEX(LR_Flag,MATCH(G437,LR_Key,0)),"")</f>
        <v>none</v>
      </c>
      <c r="N437" s="2" t="str">
        <f aca="false">IFERROR(INDEX(MW_Check,MATCH(G437,MW_Key,0)),"")</f>
        <v>OK</v>
      </c>
      <c r="O437" s="0" t="str">
        <f aca="false">IF(NOT(ISNUMBER(H437)),"LABOR QUOTE NEEDED – total incomplete",IF(N437="BELOW FLOOR","CHECK: typical labor below wage floor – payout and customer labor raised to floor",IF(M437&lt;&gt;"none","Labor rate flagged: "&amp;M437,"OK")))</f>
        <v>OK</v>
      </c>
      <c r="P437" s="0" t="s">
        <v>1706</v>
      </c>
      <c r="Q437" s="8" t="s">
        <v>1707</v>
      </c>
      <c r="R437" s="2" t="str">
        <f aca="false">IF(OR(M437="regulated",COUNTIFS(Tasks_TaskID,A437,Tasks_Tier,D437,Tasks_Review,"base")&gt;0),"PENDING REVIEW – priced, not bookable until human approval",IF(COUNTIFS(Tasks_TaskID,A437,Tasks_Tier,D437,Tasks_Review,"as-needed")&gt;0,"Bookable (re-evaluate if regulated as-needed line selected)","Bookable"))</f>
        <v>Bookable (re-evaluate if regulated as-needed line selected)</v>
      </c>
    </row>
    <row r="438" customFormat="false" ht="17.15" hidden="false" customHeight="false" outlineLevel="0" collapsed="false">
      <c r="A438" s="2" t="s">
        <v>1703</v>
      </c>
      <c r="B438" s="2" t="s">
        <v>939</v>
      </c>
      <c r="C438" s="2" t="s">
        <v>1704</v>
      </c>
      <c r="D438" s="2" t="s">
        <v>1679</v>
      </c>
      <c r="E438" s="2" t="s">
        <v>1895</v>
      </c>
      <c r="F438" s="3" t="n">
        <f aca="false">INDEX(Sum_Base,MATCH(A438,Sum_BaseTasks,0),MATCH(D438,Sum_BaseTiers,0))</f>
        <v>352.4625</v>
      </c>
      <c r="G438" s="2" t="str">
        <f aca="false">IF(ISNUMBER(MATCH(A438&amp;"|"&amp;D438,LR_Key,0)),A438&amp;"|"&amp;D438,A438&amp;"|All")</f>
        <v>FIXX-CLN-002|61–100 m²</v>
      </c>
      <c r="H438" s="3" t="n">
        <f aca="false">IFERROR(INDEX(LR_TypLabor,MATCH(G438,LR_Key,0)),"")</f>
        <v>2147.54</v>
      </c>
      <c r="I438" s="12" t="n">
        <f aca="false">INDEX(Urg_Mult,MATCH(E438,Urg_Levels,0))</f>
        <v>1</v>
      </c>
      <c r="J438" s="3" t="n">
        <f aca="false">IF(ISNUMBER(H438),MAX(H438,IFERROR(INDEX(MW_Floor,MATCH(G438,MW_Key,0)),0))*I438,"")</f>
        <v>2147.54</v>
      </c>
      <c r="K438" s="3" t="n">
        <f aca="false">IF(ISNUMBER(J438),F438+J438,"")</f>
        <v>2500.0025</v>
      </c>
      <c r="L438" s="3" t="n">
        <f aca="false">IF(ISNUMBER(H438),MAX(H438,IFERROR(INDEX(MW_Floor,MATCH(G438,MW_Key,0)),0))*I438,"")</f>
        <v>2147.54</v>
      </c>
      <c r="M438" s="2" t="str">
        <f aca="false">IFERROR(INDEX(LR_Flag,MATCH(G438,LR_Key,0)),"")</f>
        <v>none</v>
      </c>
      <c r="N438" s="2" t="str">
        <f aca="false">IFERROR(INDEX(MW_Check,MATCH(G438,MW_Key,0)),"")</f>
        <v>OK</v>
      </c>
      <c r="O438" s="0" t="str">
        <f aca="false">IF(NOT(ISNUMBER(H438)),"LABOR QUOTE NEEDED – total incomplete",IF(N438="BELOW FLOOR","CHECK: typical labor below wage floor – payout and customer labor raised to floor",IF(M438&lt;&gt;"none","Labor rate flagged: "&amp;M438,"OK")))</f>
        <v>OK</v>
      </c>
      <c r="P438" s="0" t="s">
        <v>1706</v>
      </c>
      <c r="Q438" s="8" t="s">
        <v>1707</v>
      </c>
      <c r="R438" s="2" t="str">
        <f aca="false">IF(OR(M438="regulated",COUNTIFS(Tasks_TaskID,A438,Tasks_Tier,D438,Tasks_Review,"base")&gt;0),"PENDING REVIEW – priced, not bookable until human approval",IF(COUNTIFS(Tasks_TaskID,A438,Tasks_Tier,D438,Tasks_Review,"as-needed")&gt;0,"Bookable (re-evaluate if regulated as-needed line selected)","Bookable"))</f>
        <v>Bookable (re-evaluate if regulated as-needed line selected)</v>
      </c>
    </row>
    <row r="439" customFormat="false" ht="17.15" hidden="false" customHeight="false" outlineLevel="0" collapsed="false">
      <c r="A439" s="2" t="s">
        <v>1703</v>
      </c>
      <c r="B439" s="2" t="s">
        <v>939</v>
      </c>
      <c r="C439" s="2" t="s">
        <v>1704</v>
      </c>
      <c r="D439" s="2" t="s">
        <v>1679</v>
      </c>
      <c r="E439" s="2" t="s">
        <v>1896</v>
      </c>
      <c r="F439" s="3" t="n">
        <f aca="false">INDEX(Sum_Base,MATCH(A439,Sum_BaseTasks,0),MATCH(D439,Sum_BaseTiers,0))</f>
        <v>352.4625</v>
      </c>
      <c r="G439" s="2" t="str">
        <f aca="false">IF(ISNUMBER(MATCH(A439&amp;"|"&amp;D439,LR_Key,0)),A439&amp;"|"&amp;D439,A439&amp;"|All")</f>
        <v>FIXX-CLN-002|61–100 m²</v>
      </c>
      <c r="H439" s="3" t="n">
        <f aca="false">IFERROR(INDEX(LR_TypLabor,MATCH(G439,LR_Key,0)),"")</f>
        <v>2147.54</v>
      </c>
      <c r="I439" s="12" t="n">
        <f aca="false">INDEX(Urg_Mult,MATCH(E439,Urg_Levels,0))</f>
        <v>1.15</v>
      </c>
      <c r="J439" s="3" t="n">
        <f aca="false">IF(ISNUMBER(H439),MAX(H439,IFERROR(INDEX(MW_Floor,MATCH(G439,MW_Key,0)),0))*I439,"")</f>
        <v>2469.671</v>
      </c>
      <c r="K439" s="3" t="n">
        <f aca="false">IF(ISNUMBER(J439),F439+J439,"")</f>
        <v>2822.1335</v>
      </c>
      <c r="L439" s="3" t="n">
        <f aca="false">IF(ISNUMBER(H439),MAX(H439,IFERROR(INDEX(MW_Floor,MATCH(G439,MW_Key,0)),0))*I439,"")</f>
        <v>2469.671</v>
      </c>
      <c r="M439" s="2" t="str">
        <f aca="false">IFERROR(INDEX(LR_Flag,MATCH(G439,LR_Key,0)),"")</f>
        <v>none</v>
      </c>
      <c r="N439" s="2" t="str">
        <f aca="false">IFERROR(INDEX(MW_Check,MATCH(G439,MW_Key,0)),"")</f>
        <v>OK</v>
      </c>
      <c r="O439" s="0" t="str">
        <f aca="false">IF(NOT(ISNUMBER(H439)),"LABOR QUOTE NEEDED – total incomplete",IF(N439="BELOW FLOOR","CHECK: typical labor below wage floor – payout and customer labor raised to floor",IF(M439&lt;&gt;"none","Labor rate flagged: "&amp;M439,"OK")))</f>
        <v>OK</v>
      </c>
      <c r="P439" s="0" t="s">
        <v>1706</v>
      </c>
      <c r="Q439" s="8" t="s">
        <v>1707</v>
      </c>
      <c r="R439" s="2" t="str">
        <f aca="false">IF(OR(M439="regulated",COUNTIFS(Tasks_TaskID,A439,Tasks_Tier,D439,Tasks_Review,"base")&gt;0),"PENDING REVIEW – priced, not bookable until human approval",IF(COUNTIFS(Tasks_TaskID,A439,Tasks_Tier,D439,Tasks_Review,"as-needed")&gt;0,"Bookable (re-evaluate if regulated as-needed line selected)","Bookable"))</f>
        <v>Bookable (re-evaluate if regulated as-needed line selected)</v>
      </c>
    </row>
    <row r="440" customFormat="false" ht="17.15" hidden="false" customHeight="false" outlineLevel="0" collapsed="false">
      <c r="A440" s="2" t="s">
        <v>1703</v>
      </c>
      <c r="B440" s="2" t="s">
        <v>939</v>
      </c>
      <c r="C440" s="2" t="s">
        <v>1704</v>
      </c>
      <c r="D440" s="2" t="s">
        <v>1679</v>
      </c>
      <c r="E440" s="2" t="s">
        <v>1897</v>
      </c>
      <c r="F440" s="3" t="n">
        <f aca="false">INDEX(Sum_Base,MATCH(A440,Sum_BaseTasks,0),MATCH(D440,Sum_BaseTiers,0))</f>
        <v>352.4625</v>
      </c>
      <c r="G440" s="2" t="str">
        <f aca="false">IF(ISNUMBER(MATCH(A440&amp;"|"&amp;D440,LR_Key,0)),A440&amp;"|"&amp;D440,A440&amp;"|All")</f>
        <v>FIXX-CLN-002|61–100 m²</v>
      </c>
      <c r="H440" s="3" t="n">
        <f aca="false">IFERROR(INDEX(LR_TypLabor,MATCH(G440,LR_Key,0)),"")</f>
        <v>2147.54</v>
      </c>
      <c r="I440" s="12" t="n">
        <f aca="false">INDEX(Urg_Mult,MATCH(E440,Urg_Levels,0))</f>
        <v>1.3</v>
      </c>
      <c r="J440" s="3" t="n">
        <f aca="false">IF(ISNUMBER(H440),MAX(H440,IFERROR(INDEX(MW_Floor,MATCH(G440,MW_Key,0)),0))*I440,"")</f>
        <v>2791.802</v>
      </c>
      <c r="K440" s="3" t="n">
        <f aca="false">IF(ISNUMBER(J440),F440+J440,"")</f>
        <v>3144.2645</v>
      </c>
      <c r="L440" s="3" t="n">
        <f aca="false">IF(ISNUMBER(H440),MAX(H440,IFERROR(INDEX(MW_Floor,MATCH(G440,MW_Key,0)),0))*I440,"")</f>
        <v>2791.802</v>
      </c>
      <c r="M440" s="2" t="str">
        <f aca="false">IFERROR(INDEX(LR_Flag,MATCH(G440,LR_Key,0)),"")</f>
        <v>none</v>
      </c>
      <c r="N440" s="2" t="str">
        <f aca="false">IFERROR(INDEX(MW_Check,MATCH(G440,MW_Key,0)),"")</f>
        <v>OK</v>
      </c>
      <c r="O440" s="0" t="str">
        <f aca="false">IF(NOT(ISNUMBER(H440)),"LABOR QUOTE NEEDED – total incomplete",IF(N440="BELOW FLOOR","CHECK: typical labor below wage floor – payout and customer labor raised to floor",IF(M440&lt;&gt;"none","Labor rate flagged: "&amp;M440,"OK")))</f>
        <v>OK</v>
      </c>
      <c r="P440" s="0" t="s">
        <v>1706</v>
      </c>
      <c r="Q440" s="8" t="s">
        <v>1707</v>
      </c>
      <c r="R440" s="2" t="str">
        <f aca="false">IF(OR(M440="regulated",COUNTIFS(Tasks_TaskID,A440,Tasks_Tier,D440,Tasks_Review,"base")&gt;0),"PENDING REVIEW – priced, not bookable until human approval",IF(COUNTIFS(Tasks_TaskID,A440,Tasks_Tier,D440,Tasks_Review,"as-needed")&gt;0,"Bookable (re-evaluate if regulated as-needed line selected)","Bookable"))</f>
        <v>Bookable (re-evaluate if regulated as-needed line selected)</v>
      </c>
    </row>
    <row r="441" customFormat="false" ht="17.15" hidden="false" customHeight="false" outlineLevel="0" collapsed="false">
      <c r="A441" s="2" t="s">
        <v>1703</v>
      </c>
      <c r="B441" s="2" t="s">
        <v>939</v>
      </c>
      <c r="C441" s="2" t="s">
        <v>1704</v>
      </c>
      <c r="D441" s="2" t="s">
        <v>1679</v>
      </c>
      <c r="E441" s="2" t="s">
        <v>1898</v>
      </c>
      <c r="F441" s="3" t="n">
        <f aca="false">INDEX(Sum_Base,MATCH(A441,Sum_BaseTasks,0),MATCH(D441,Sum_BaseTiers,0))</f>
        <v>352.4625</v>
      </c>
      <c r="G441" s="2" t="str">
        <f aca="false">IF(ISNUMBER(MATCH(A441&amp;"|"&amp;D441,LR_Key,0)),A441&amp;"|"&amp;D441,A441&amp;"|All")</f>
        <v>FIXX-CLN-002|61–100 m²</v>
      </c>
      <c r="H441" s="3" t="n">
        <f aca="false">IFERROR(INDEX(LR_TypLabor,MATCH(G441,LR_Key,0)),"")</f>
        <v>2147.54</v>
      </c>
      <c r="I441" s="12" t="n">
        <f aca="false">INDEX(Urg_Mult,MATCH(E441,Urg_Levels,0))</f>
        <v>1.5</v>
      </c>
      <c r="J441" s="3" t="n">
        <f aca="false">IF(ISNUMBER(H441),MAX(H441,IFERROR(INDEX(MW_Floor,MATCH(G441,MW_Key,0)),0))*I441,"")</f>
        <v>3221.31</v>
      </c>
      <c r="K441" s="3" t="n">
        <f aca="false">IF(ISNUMBER(J441),F441+J441,"")</f>
        <v>3573.7725</v>
      </c>
      <c r="L441" s="3" t="n">
        <f aca="false">IF(ISNUMBER(H441),MAX(H441,IFERROR(INDEX(MW_Floor,MATCH(G441,MW_Key,0)),0))*I441,"")</f>
        <v>3221.31</v>
      </c>
      <c r="M441" s="2" t="str">
        <f aca="false">IFERROR(INDEX(LR_Flag,MATCH(G441,LR_Key,0)),"")</f>
        <v>none</v>
      </c>
      <c r="N441" s="2" t="str">
        <f aca="false">IFERROR(INDEX(MW_Check,MATCH(G441,MW_Key,0)),"")</f>
        <v>OK</v>
      </c>
      <c r="O441" s="0" t="str">
        <f aca="false">IF(NOT(ISNUMBER(H441)),"LABOR QUOTE NEEDED – total incomplete",IF(N441="BELOW FLOOR","CHECK: typical labor below wage floor – payout and customer labor raised to floor",IF(M441&lt;&gt;"none","Labor rate flagged: "&amp;M441,"OK")))</f>
        <v>OK</v>
      </c>
      <c r="P441" s="0" t="s">
        <v>1706</v>
      </c>
      <c r="Q441" s="8" t="s">
        <v>1707</v>
      </c>
      <c r="R441" s="2" t="str">
        <f aca="false">IF(OR(M441="regulated",COUNTIFS(Tasks_TaskID,A441,Tasks_Tier,D441,Tasks_Review,"base")&gt;0),"PENDING REVIEW – priced, not bookable until human approval",IF(COUNTIFS(Tasks_TaskID,A441,Tasks_Tier,D441,Tasks_Review,"as-needed")&gt;0,"Bookable (re-evaluate if regulated as-needed line selected)","Bookable"))</f>
        <v>Bookable (re-evaluate if regulated as-needed line selected)</v>
      </c>
    </row>
    <row r="442" customFormat="false" ht="17.15" hidden="false" customHeight="false" outlineLevel="0" collapsed="false">
      <c r="A442" s="2" t="s">
        <v>1703</v>
      </c>
      <c r="B442" s="2" t="s">
        <v>939</v>
      </c>
      <c r="C442" s="2" t="s">
        <v>1704</v>
      </c>
      <c r="D442" s="2" t="s">
        <v>1691</v>
      </c>
      <c r="E442" s="2" t="s">
        <v>1895</v>
      </c>
      <c r="F442" s="3" t="n">
        <f aca="false">INDEX(Sum_Base,MATCH(A442,Sum_BaseTasks,0),MATCH(D442,Sum_BaseTiers,0))</f>
        <v>469.95</v>
      </c>
      <c r="G442" s="2" t="str">
        <f aca="false">IF(ISNUMBER(MATCH(A442&amp;"|"&amp;D442,LR_Key,0)),A442&amp;"|"&amp;D442,A442&amp;"|All")</f>
        <v>FIXX-CLN-002|101–150 m²</v>
      </c>
      <c r="H442" s="3" t="n">
        <f aca="false">IFERROR(INDEX(LR_TypLabor,MATCH(G442,LR_Key,0)),"")</f>
        <v>2830.05</v>
      </c>
      <c r="I442" s="12" t="n">
        <f aca="false">INDEX(Urg_Mult,MATCH(E442,Urg_Levels,0))</f>
        <v>1</v>
      </c>
      <c r="J442" s="3" t="n">
        <f aca="false">IF(ISNUMBER(H442),MAX(H442,IFERROR(INDEX(MW_Floor,MATCH(G442,MW_Key,0)),0))*I442,"")</f>
        <v>2830.05</v>
      </c>
      <c r="K442" s="3" t="n">
        <f aca="false">IF(ISNUMBER(J442),F442+J442,"")</f>
        <v>3300</v>
      </c>
      <c r="L442" s="3" t="n">
        <f aca="false">IF(ISNUMBER(H442),MAX(H442,IFERROR(INDEX(MW_Floor,MATCH(G442,MW_Key,0)),0))*I442,"")</f>
        <v>2830.05</v>
      </c>
      <c r="M442" s="2" t="str">
        <f aca="false">IFERROR(INDEX(LR_Flag,MATCH(G442,LR_Key,0)),"")</f>
        <v>none</v>
      </c>
      <c r="N442" s="2" t="str">
        <f aca="false">IFERROR(INDEX(MW_Check,MATCH(G442,MW_Key,0)),"")</f>
        <v>OK</v>
      </c>
      <c r="O442" s="0" t="str">
        <f aca="false">IF(NOT(ISNUMBER(H442)),"LABOR QUOTE NEEDED – total incomplete",IF(N442="BELOW FLOOR","CHECK: typical labor below wage floor – payout and customer labor raised to floor",IF(M442&lt;&gt;"none","Labor rate flagged: "&amp;M442,"OK")))</f>
        <v>OK</v>
      </c>
      <c r="P442" s="0" t="s">
        <v>1706</v>
      </c>
      <c r="Q442" s="8" t="s">
        <v>1707</v>
      </c>
      <c r="R442" s="2" t="str">
        <f aca="false">IF(OR(M442="regulated",COUNTIFS(Tasks_TaskID,A442,Tasks_Tier,D442,Tasks_Review,"base")&gt;0),"PENDING REVIEW – priced, not bookable until human approval",IF(COUNTIFS(Tasks_TaskID,A442,Tasks_Tier,D442,Tasks_Review,"as-needed")&gt;0,"Bookable (re-evaluate if regulated as-needed line selected)","Bookable"))</f>
        <v>Bookable (re-evaluate if regulated as-needed line selected)</v>
      </c>
    </row>
    <row r="443" customFormat="false" ht="17.15" hidden="false" customHeight="false" outlineLevel="0" collapsed="false">
      <c r="A443" s="2" t="s">
        <v>1703</v>
      </c>
      <c r="B443" s="2" t="s">
        <v>939</v>
      </c>
      <c r="C443" s="2" t="s">
        <v>1704</v>
      </c>
      <c r="D443" s="2" t="s">
        <v>1691</v>
      </c>
      <c r="E443" s="2" t="s">
        <v>1896</v>
      </c>
      <c r="F443" s="3" t="n">
        <f aca="false">INDEX(Sum_Base,MATCH(A443,Sum_BaseTasks,0),MATCH(D443,Sum_BaseTiers,0))</f>
        <v>469.95</v>
      </c>
      <c r="G443" s="2" t="str">
        <f aca="false">IF(ISNUMBER(MATCH(A443&amp;"|"&amp;D443,LR_Key,0)),A443&amp;"|"&amp;D443,A443&amp;"|All")</f>
        <v>FIXX-CLN-002|101–150 m²</v>
      </c>
      <c r="H443" s="3" t="n">
        <f aca="false">IFERROR(INDEX(LR_TypLabor,MATCH(G443,LR_Key,0)),"")</f>
        <v>2830.05</v>
      </c>
      <c r="I443" s="12" t="n">
        <f aca="false">INDEX(Urg_Mult,MATCH(E443,Urg_Levels,0))</f>
        <v>1.15</v>
      </c>
      <c r="J443" s="3" t="n">
        <f aca="false">IF(ISNUMBER(H443),MAX(H443,IFERROR(INDEX(MW_Floor,MATCH(G443,MW_Key,0)),0))*I443,"")</f>
        <v>3254.5575</v>
      </c>
      <c r="K443" s="3" t="n">
        <f aca="false">IF(ISNUMBER(J443),F443+J443,"")</f>
        <v>3724.5075</v>
      </c>
      <c r="L443" s="3" t="n">
        <f aca="false">IF(ISNUMBER(H443),MAX(H443,IFERROR(INDEX(MW_Floor,MATCH(G443,MW_Key,0)),0))*I443,"")</f>
        <v>3254.5575</v>
      </c>
      <c r="M443" s="2" t="str">
        <f aca="false">IFERROR(INDEX(LR_Flag,MATCH(G443,LR_Key,0)),"")</f>
        <v>none</v>
      </c>
      <c r="N443" s="2" t="str">
        <f aca="false">IFERROR(INDEX(MW_Check,MATCH(G443,MW_Key,0)),"")</f>
        <v>OK</v>
      </c>
      <c r="O443" s="0" t="str">
        <f aca="false">IF(NOT(ISNUMBER(H443)),"LABOR QUOTE NEEDED – total incomplete",IF(N443="BELOW FLOOR","CHECK: typical labor below wage floor – payout and customer labor raised to floor",IF(M443&lt;&gt;"none","Labor rate flagged: "&amp;M443,"OK")))</f>
        <v>OK</v>
      </c>
      <c r="P443" s="0" t="s">
        <v>1706</v>
      </c>
      <c r="Q443" s="8" t="s">
        <v>1707</v>
      </c>
      <c r="R443" s="2" t="str">
        <f aca="false">IF(OR(M443="regulated",COUNTIFS(Tasks_TaskID,A443,Tasks_Tier,D443,Tasks_Review,"base")&gt;0),"PENDING REVIEW – priced, not bookable until human approval",IF(COUNTIFS(Tasks_TaskID,A443,Tasks_Tier,D443,Tasks_Review,"as-needed")&gt;0,"Bookable (re-evaluate if regulated as-needed line selected)","Bookable"))</f>
        <v>Bookable (re-evaluate if regulated as-needed line selected)</v>
      </c>
    </row>
    <row r="444" customFormat="false" ht="17.15" hidden="false" customHeight="false" outlineLevel="0" collapsed="false">
      <c r="A444" s="2" t="s">
        <v>1703</v>
      </c>
      <c r="B444" s="2" t="s">
        <v>939</v>
      </c>
      <c r="C444" s="2" t="s">
        <v>1704</v>
      </c>
      <c r="D444" s="2" t="s">
        <v>1691</v>
      </c>
      <c r="E444" s="2" t="s">
        <v>1897</v>
      </c>
      <c r="F444" s="3" t="n">
        <f aca="false">INDEX(Sum_Base,MATCH(A444,Sum_BaseTasks,0),MATCH(D444,Sum_BaseTiers,0))</f>
        <v>469.95</v>
      </c>
      <c r="G444" s="2" t="str">
        <f aca="false">IF(ISNUMBER(MATCH(A444&amp;"|"&amp;D444,LR_Key,0)),A444&amp;"|"&amp;D444,A444&amp;"|All")</f>
        <v>FIXX-CLN-002|101–150 m²</v>
      </c>
      <c r="H444" s="3" t="n">
        <f aca="false">IFERROR(INDEX(LR_TypLabor,MATCH(G444,LR_Key,0)),"")</f>
        <v>2830.05</v>
      </c>
      <c r="I444" s="12" t="n">
        <f aca="false">INDEX(Urg_Mult,MATCH(E444,Urg_Levels,0))</f>
        <v>1.3</v>
      </c>
      <c r="J444" s="3" t="n">
        <f aca="false">IF(ISNUMBER(H444),MAX(H444,IFERROR(INDEX(MW_Floor,MATCH(G444,MW_Key,0)),0))*I444,"")</f>
        <v>3679.065</v>
      </c>
      <c r="K444" s="3" t="n">
        <f aca="false">IF(ISNUMBER(J444),F444+J444,"")</f>
        <v>4149.015</v>
      </c>
      <c r="L444" s="3" t="n">
        <f aca="false">IF(ISNUMBER(H444),MAX(H444,IFERROR(INDEX(MW_Floor,MATCH(G444,MW_Key,0)),0))*I444,"")</f>
        <v>3679.065</v>
      </c>
      <c r="M444" s="2" t="str">
        <f aca="false">IFERROR(INDEX(LR_Flag,MATCH(G444,LR_Key,0)),"")</f>
        <v>none</v>
      </c>
      <c r="N444" s="2" t="str">
        <f aca="false">IFERROR(INDEX(MW_Check,MATCH(G444,MW_Key,0)),"")</f>
        <v>OK</v>
      </c>
      <c r="O444" s="0" t="str">
        <f aca="false">IF(NOT(ISNUMBER(H444)),"LABOR QUOTE NEEDED – total incomplete",IF(N444="BELOW FLOOR","CHECK: typical labor below wage floor – payout and customer labor raised to floor",IF(M444&lt;&gt;"none","Labor rate flagged: "&amp;M444,"OK")))</f>
        <v>OK</v>
      </c>
      <c r="P444" s="0" t="s">
        <v>1706</v>
      </c>
      <c r="Q444" s="8" t="s">
        <v>1707</v>
      </c>
      <c r="R444" s="2" t="str">
        <f aca="false">IF(OR(M444="regulated",COUNTIFS(Tasks_TaskID,A444,Tasks_Tier,D444,Tasks_Review,"base")&gt;0),"PENDING REVIEW – priced, not bookable until human approval",IF(COUNTIFS(Tasks_TaskID,A444,Tasks_Tier,D444,Tasks_Review,"as-needed")&gt;0,"Bookable (re-evaluate if regulated as-needed line selected)","Bookable"))</f>
        <v>Bookable (re-evaluate if regulated as-needed line selected)</v>
      </c>
    </row>
    <row r="445" customFormat="false" ht="17.15" hidden="false" customHeight="false" outlineLevel="0" collapsed="false">
      <c r="A445" s="2" t="s">
        <v>1703</v>
      </c>
      <c r="B445" s="2" t="s">
        <v>939</v>
      </c>
      <c r="C445" s="2" t="s">
        <v>1704</v>
      </c>
      <c r="D445" s="2" t="s">
        <v>1691</v>
      </c>
      <c r="E445" s="2" t="s">
        <v>1898</v>
      </c>
      <c r="F445" s="3" t="n">
        <f aca="false">INDEX(Sum_Base,MATCH(A445,Sum_BaseTasks,0),MATCH(D445,Sum_BaseTiers,0))</f>
        <v>469.95</v>
      </c>
      <c r="G445" s="2" t="str">
        <f aca="false">IF(ISNUMBER(MATCH(A445&amp;"|"&amp;D445,LR_Key,0)),A445&amp;"|"&amp;D445,A445&amp;"|All")</f>
        <v>FIXX-CLN-002|101–150 m²</v>
      </c>
      <c r="H445" s="3" t="n">
        <f aca="false">IFERROR(INDEX(LR_TypLabor,MATCH(G445,LR_Key,0)),"")</f>
        <v>2830.05</v>
      </c>
      <c r="I445" s="12" t="n">
        <f aca="false">INDEX(Urg_Mult,MATCH(E445,Urg_Levels,0))</f>
        <v>1.5</v>
      </c>
      <c r="J445" s="3" t="n">
        <f aca="false">IF(ISNUMBER(H445),MAX(H445,IFERROR(INDEX(MW_Floor,MATCH(G445,MW_Key,0)),0))*I445,"")</f>
        <v>4245.075</v>
      </c>
      <c r="K445" s="3" t="n">
        <f aca="false">IF(ISNUMBER(J445),F445+J445,"")</f>
        <v>4715.025</v>
      </c>
      <c r="L445" s="3" t="n">
        <f aca="false">IF(ISNUMBER(H445),MAX(H445,IFERROR(INDEX(MW_Floor,MATCH(G445,MW_Key,0)),0))*I445,"")</f>
        <v>4245.075</v>
      </c>
      <c r="M445" s="2" t="str">
        <f aca="false">IFERROR(INDEX(LR_Flag,MATCH(G445,LR_Key,0)),"")</f>
        <v>none</v>
      </c>
      <c r="N445" s="2" t="str">
        <f aca="false">IFERROR(INDEX(MW_Check,MATCH(G445,MW_Key,0)),"")</f>
        <v>OK</v>
      </c>
      <c r="O445" s="0" t="str">
        <f aca="false">IF(NOT(ISNUMBER(H445)),"LABOR QUOTE NEEDED – total incomplete",IF(N445="BELOW FLOOR","CHECK: typical labor below wage floor – payout and customer labor raised to floor",IF(M445&lt;&gt;"none","Labor rate flagged: "&amp;M445,"OK")))</f>
        <v>OK</v>
      </c>
      <c r="P445" s="0" t="s">
        <v>1706</v>
      </c>
      <c r="Q445" s="8" t="s">
        <v>1707</v>
      </c>
      <c r="R445" s="2" t="str">
        <f aca="false">IF(OR(M445="regulated",COUNTIFS(Tasks_TaskID,A445,Tasks_Tier,D445,Tasks_Review,"base")&gt;0),"PENDING REVIEW – priced, not bookable until human approval",IF(COUNTIFS(Tasks_TaskID,A445,Tasks_Tier,D445,Tasks_Review,"as-needed")&gt;0,"Bookable (re-evaluate if regulated as-needed line selected)","Bookable"))</f>
        <v>Bookable (re-evaluate if regulated as-needed line selected)</v>
      </c>
    </row>
    <row r="446" customFormat="false" ht="17.15" hidden="false" customHeight="false" outlineLevel="0" collapsed="false">
      <c r="A446" s="2" t="s">
        <v>1745</v>
      </c>
      <c r="B446" s="2" t="s">
        <v>939</v>
      </c>
      <c r="C446" s="2" t="s">
        <v>1746</v>
      </c>
      <c r="D446" s="2" t="s">
        <v>1659</v>
      </c>
      <c r="E446" s="2" t="s">
        <v>1895</v>
      </c>
      <c r="F446" s="3" t="n">
        <f aca="false">INDEX(Sum_Base,MATCH(A446,Sum_BaseTasks,0),MATCH(D446,Sum_BaseTiers,0))</f>
        <v>234.975</v>
      </c>
      <c r="G446" s="2" t="str">
        <f aca="false">IF(ISNUMBER(MATCH(A446&amp;"|"&amp;D446,LR_Key,0)),A446&amp;"|"&amp;D446,A446&amp;"|All")</f>
        <v>FIXX-CLN-003|≤60 m²</v>
      </c>
      <c r="H446" s="3" t="n">
        <f aca="false">IFERROR(INDEX(LR_TypLabor,MATCH(G446,LR_Key,0)),"")</f>
        <v>1265.02</v>
      </c>
      <c r="I446" s="12" t="n">
        <f aca="false">INDEX(Urg_Mult,MATCH(E446,Urg_Levels,0))</f>
        <v>1</v>
      </c>
      <c r="J446" s="3" t="n">
        <f aca="false">IF(ISNUMBER(H446),MAX(H446,IFERROR(INDEX(MW_Floor,MATCH(G446,MW_Key,0)),0))*I446,"")</f>
        <v>1265.02</v>
      </c>
      <c r="K446" s="3" t="n">
        <f aca="false">IF(ISNUMBER(J446),F446+J446,"")</f>
        <v>1499.995</v>
      </c>
      <c r="L446" s="3" t="n">
        <f aca="false">IF(ISNUMBER(H446),MAX(H446,IFERROR(INDEX(MW_Floor,MATCH(G446,MW_Key,0)),0))*I446,"")</f>
        <v>1265.02</v>
      </c>
      <c r="M446" s="2" t="str">
        <f aca="false">IFERROR(INDEX(LR_Flag,MATCH(G446,LR_Key,0)),"")</f>
        <v>none</v>
      </c>
      <c r="N446" s="2" t="str">
        <f aca="false">IFERROR(INDEX(MW_Check,MATCH(G446,MW_Key,0)),"")</f>
        <v>OK</v>
      </c>
      <c r="O446" s="0" t="str">
        <f aca="false">IF(NOT(ISNUMBER(H446)),"LABOR QUOTE NEEDED – total incomplete",IF(N446="BELOW FLOOR","CHECK: typical labor below wage floor – payout and customer labor raised to floor",IF(M446&lt;&gt;"none","Labor rate flagged: "&amp;M446,"OK")))</f>
        <v>OK</v>
      </c>
      <c r="P446" s="0" t="s">
        <v>1747</v>
      </c>
      <c r="Q446" s="8" t="s">
        <v>1748</v>
      </c>
      <c r="R446" s="2" t="str">
        <f aca="false">IF(OR(M446="regulated",COUNTIFS(Tasks_TaskID,A446,Tasks_Tier,D446,Tasks_Review,"base")&gt;0),"PENDING REVIEW – priced, not bookable until human approval",IF(COUNTIFS(Tasks_TaskID,A446,Tasks_Tier,D446,Tasks_Review,"as-needed")&gt;0,"Bookable (re-evaluate if regulated as-needed line selected)","Bookable"))</f>
        <v>Bookable (re-evaluate if regulated as-needed line selected)</v>
      </c>
    </row>
    <row r="447" customFormat="false" ht="17.15" hidden="false" customHeight="false" outlineLevel="0" collapsed="false">
      <c r="A447" s="2" t="s">
        <v>1745</v>
      </c>
      <c r="B447" s="2" t="s">
        <v>939</v>
      </c>
      <c r="C447" s="2" t="s">
        <v>1746</v>
      </c>
      <c r="D447" s="2" t="s">
        <v>1659</v>
      </c>
      <c r="E447" s="2" t="s">
        <v>1896</v>
      </c>
      <c r="F447" s="3" t="n">
        <f aca="false">INDEX(Sum_Base,MATCH(A447,Sum_BaseTasks,0),MATCH(D447,Sum_BaseTiers,0))</f>
        <v>234.975</v>
      </c>
      <c r="G447" s="2" t="str">
        <f aca="false">IF(ISNUMBER(MATCH(A447&amp;"|"&amp;D447,LR_Key,0)),A447&amp;"|"&amp;D447,A447&amp;"|All")</f>
        <v>FIXX-CLN-003|≤60 m²</v>
      </c>
      <c r="H447" s="3" t="n">
        <f aca="false">IFERROR(INDEX(LR_TypLabor,MATCH(G447,LR_Key,0)),"")</f>
        <v>1265.02</v>
      </c>
      <c r="I447" s="12" t="n">
        <f aca="false">INDEX(Urg_Mult,MATCH(E447,Urg_Levels,0))</f>
        <v>1.15</v>
      </c>
      <c r="J447" s="3" t="n">
        <f aca="false">IF(ISNUMBER(H447),MAX(H447,IFERROR(INDEX(MW_Floor,MATCH(G447,MW_Key,0)),0))*I447,"")</f>
        <v>1454.773</v>
      </c>
      <c r="K447" s="3" t="n">
        <f aca="false">IF(ISNUMBER(J447),F447+J447,"")</f>
        <v>1689.748</v>
      </c>
      <c r="L447" s="3" t="n">
        <f aca="false">IF(ISNUMBER(H447),MAX(H447,IFERROR(INDEX(MW_Floor,MATCH(G447,MW_Key,0)),0))*I447,"")</f>
        <v>1454.773</v>
      </c>
      <c r="M447" s="2" t="str">
        <f aca="false">IFERROR(INDEX(LR_Flag,MATCH(G447,LR_Key,0)),"")</f>
        <v>none</v>
      </c>
      <c r="N447" s="2" t="str">
        <f aca="false">IFERROR(INDEX(MW_Check,MATCH(G447,MW_Key,0)),"")</f>
        <v>OK</v>
      </c>
      <c r="O447" s="0" t="str">
        <f aca="false">IF(NOT(ISNUMBER(H447)),"LABOR QUOTE NEEDED – total incomplete",IF(N447="BELOW FLOOR","CHECK: typical labor below wage floor – payout and customer labor raised to floor",IF(M447&lt;&gt;"none","Labor rate flagged: "&amp;M447,"OK")))</f>
        <v>OK</v>
      </c>
      <c r="P447" s="0" t="s">
        <v>1747</v>
      </c>
      <c r="Q447" s="8" t="s">
        <v>1748</v>
      </c>
      <c r="R447" s="2" t="str">
        <f aca="false">IF(OR(M447="regulated",COUNTIFS(Tasks_TaskID,A447,Tasks_Tier,D447,Tasks_Review,"base")&gt;0),"PENDING REVIEW – priced, not bookable until human approval",IF(COUNTIFS(Tasks_TaskID,A447,Tasks_Tier,D447,Tasks_Review,"as-needed")&gt;0,"Bookable (re-evaluate if regulated as-needed line selected)","Bookable"))</f>
        <v>Bookable (re-evaluate if regulated as-needed line selected)</v>
      </c>
    </row>
    <row r="448" customFormat="false" ht="17.15" hidden="false" customHeight="false" outlineLevel="0" collapsed="false">
      <c r="A448" s="2" t="s">
        <v>1745</v>
      </c>
      <c r="B448" s="2" t="s">
        <v>939</v>
      </c>
      <c r="C448" s="2" t="s">
        <v>1746</v>
      </c>
      <c r="D448" s="2" t="s">
        <v>1659</v>
      </c>
      <c r="E448" s="2" t="s">
        <v>1897</v>
      </c>
      <c r="F448" s="3" t="n">
        <f aca="false">INDEX(Sum_Base,MATCH(A448,Sum_BaseTasks,0),MATCH(D448,Sum_BaseTiers,0))</f>
        <v>234.975</v>
      </c>
      <c r="G448" s="2" t="str">
        <f aca="false">IF(ISNUMBER(MATCH(A448&amp;"|"&amp;D448,LR_Key,0)),A448&amp;"|"&amp;D448,A448&amp;"|All")</f>
        <v>FIXX-CLN-003|≤60 m²</v>
      </c>
      <c r="H448" s="3" t="n">
        <f aca="false">IFERROR(INDEX(LR_TypLabor,MATCH(G448,LR_Key,0)),"")</f>
        <v>1265.02</v>
      </c>
      <c r="I448" s="12" t="n">
        <f aca="false">INDEX(Urg_Mult,MATCH(E448,Urg_Levels,0))</f>
        <v>1.3</v>
      </c>
      <c r="J448" s="3" t="n">
        <f aca="false">IF(ISNUMBER(H448),MAX(H448,IFERROR(INDEX(MW_Floor,MATCH(G448,MW_Key,0)),0))*I448,"")</f>
        <v>1644.526</v>
      </c>
      <c r="K448" s="3" t="n">
        <f aca="false">IF(ISNUMBER(J448),F448+J448,"")</f>
        <v>1879.501</v>
      </c>
      <c r="L448" s="3" t="n">
        <f aca="false">IF(ISNUMBER(H448),MAX(H448,IFERROR(INDEX(MW_Floor,MATCH(G448,MW_Key,0)),0))*I448,"")</f>
        <v>1644.526</v>
      </c>
      <c r="M448" s="2" t="str">
        <f aca="false">IFERROR(INDEX(LR_Flag,MATCH(G448,LR_Key,0)),"")</f>
        <v>none</v>
      </c>
      <c r="N448" s="2" t="str">
        <f aca="false">IFERROR(INDEX(MW_Check,MATCH(G448,MW_Key,0)),"")</f>
        <v>OK</v>
      </c>
      <c r="O448" s="0" t="str">
        <f aca="false">IF(NOT(ISNUMBER(H448)),"LABOR QUOTE NEEDED – total incomplete",IF(N448="BELOW FLOOR","CHECK: typical labor below wage floor – payout and customer labor raised to floor",IF(M448&lt;&gt;"none","Labor rate flagged: "&amp;M448,"OK")))</f>
        <v>OK</v>
      </c>
      <c r="P448" s="0" t="s">
        <v>1747</v>
      </c>
      <c r="Q448" s="8" t="s">
        <v>1748</v>
      </c>
      <c r="R448" s="2" t="str">
        <f aca="false">IF(OR(M448="regulated",COUNTIFS(Tasks_TaskID,A448,Tasks_Tier,D448,Tasks_Review,"base")&gt;0),"PENDING REVIEW – priced, not bookable until human approval",IF(COUNTIFS(Tasks_TaskID,A448,Tasks_Tier,D448,Tasks_Review,"as-needed")&gt;0,"Bookable (re-evaluate if regulated as-needed line selected)","Bookable"))</f>
        <v>Bookable (re-evaluate if regulated as-needed line selected)</v>
      </c>
    </row>
    <row r="449" customFormat="false" ht="17.15" hidden="false" customHeight="false" outlineLevel="0" collapsed="false">
      <c r="A449" s="2" t="s">
        <v>1745</v>
      </c>
      <c r="B449" s="2" t="s">
        <v>939</v>
      </c>
      <c r="C449" s="2" t="s">
        <v>1746</v>
      </c>
      <c r="D449" s="2" t="s">
        <v>1659</v>
      </c>
      <c r="E449" s="2" t="s">
        <v>1898</v>
      </c>
      <c r="F449" s="3" t="n">
        <f aca="false">INDEX(Sum_Base,MATCH(A449,Sum_BaseTasks,0),MATCH(D449,Sum_BaseTiers,0))</f>
        <v>234.975</v>
      </c>
      <c r="G449" s="2" t="str">
        <f aca="false">IF(ISNUMBER(MATCH(A449&amp;"|"&amp;D449,LR_Key,0)),A449&amp;"|"&amp;D449,A449&amp;"|All")</f>
        <v>FIXX-CLN-003|≤60 m²</v>
      </c>
      <c r="H449" s="3" t="n">
        <f aca="false">IFERROR(INDEX(LR_TypLabor,MATCH(G449,LR_Key,0)),"")</f>
        <v>1265.02</v>
      </c>
      <c r="I449" s="12" t="n">
        <f aca="false">INDEX(Urg_Mult,MATCH(E449,Urg_Levels,0))</f>
        <v>1.5</v>
      </c>
      <c r="J449" s="3" t="n">
        <f aca="false">IF(ISNUMBER(H449),MAX(H449,IFERROR(INDEX(MW_Floor,MATCH(G449,MW_Key,0)),0))*I449,"")</f>
        <v>1897.53</v>
      </c>
      <c r="K449" s="3" t="n">
        <f aca="false">IF(ISNUMBER(J449),F449+J449,"")</f>
        <v>2132.505</v>
      </c>
      <c r="L449" s="3" t="n">
        <f aca="false">IF(ISNUMBER(H449),MAX(H449,IFERROR(INDEX(MW_Floor,MATCH(G449,MW_Key,0)),0))*I449,"")</f>
        <v>1897.53</v>
      </c>
      <c r="M449" s="2" t="str">
        <f aca="false">IFERROR(INDEX(LR_Flag,MATCH(G449,LR_Key,0)),"")</f>
        <v>none</v>
      </c>
      <c r="N449" s="2" t="str">
        <f aca="false">IFERROR(INDEX(MW_Check,MATCH(G449,MW_Key,0)),"")</f>
        <v>OK</v>
      </c>
      <c r="O449" s="0" t="str">
        <f aca="false">IF(NOT(ISNUMBER(H449)),"LABOR QUOTE NEEDED – total incomplete",IF(N449="BELOW FLOOR","CHECK: typical labor below wage floor – payout and customer labor raised to floor",IF(M449&lt;&gt;"none","Labor rate flagged: "&amp;M449,"OK")))</f>
        <v>OK</v>
      </c>
      <c r="P449" s="0" t="s">
        <v>1747</v>
      </c>
      <c r="Q449" s="8" t="s">
        <v>1748</v>
      </c>
      <c r="R449" s="2" t="str">
        <f aca="false">IF(OR(M449="regulated",COUNTIFS(Tasks_TaskID,A449,Tasks_Tier,D449,Tasks_Review,"base")&gt;0),"PENDING REVIEW – priced, not bookable until human approval",IF(COUNTIFS(Tasks_TaskID,A449,Tasks_Tier,D449,Tasks_Review,"as-needed")&gt;0,"Bookable (re-evaluate if regulated as-needed line selected)","Bookable"))</f>
        <v>Bookable (re-evaluate if regulated as-needed line selected)</v>
      </c>
    </row>
    <row r="450" customFormat="false" ht="17.15" hidden="false" customHeight="false" outlineLevel="0" collapsed="false">
      <c r="A450" s="2" t="s">
        <v>1745</v>
      </c>
      <c r="B450" s="2" t="s">
        <v>939</v>
      </c>
      <c r="C450" s="2" t="s">
        <v>1746</v>
      </c>
      <c r="D450" s="2" t="s">
        <v>1679</v>
      </c>
      <c r="E450" s="2" t="s">
        <v>1895</v>
      </c>
      <c r="F450" s="3" t="n">
        <f aca="false">INDEX(Sum_Base,MATCH(A450,Sum_BaseTasks,0),MATCH(D450,Sum_BaseTiers,0))</f>
        <v>352.4625</v>
      </c>
      <c r="G450" s="2" t="str">
        <f aca="false">IF(ISNUMBER(MATCH(A450&amp;"|"&amp;D450,LR_Key,0)),A450&amp;"|"&amp;D450,A450&amp;"|All")</f>
        <v>FIXX-CLN-003|61–100 m²</v>
      </c>
      <c r="H450" s="3" t="n">
        <f aca="false">IFERROR(INDEX(LR_TypLabor,MATCH(G450,LR_Key,0)),"")</f>
        <v>1847.54</v>
      </c>
      <c r="I450" s="12" t="n">
        <f aca="false">INDEX(Urg_Mult,MATCH(E450,Urg_Levels,0))</f>
        <v>1</v>
      </c>
      <c r="J450" s="3" t="n">
        <f aca="false">IF(ISNUMBER(H450),MAX(H450,IFERROR(INDEX(MW_Floor,MATCH(G450,MW_Key,0)),0))*I450,"")</f>
        <v>1847.54</v>
      </c>
      <c r="K450" s="3" t="n">
        <f aca="false">IF(ISNUMBER(J450),F450+J450,"")</f>
        <v>2200.0025</v>
      </c>
      <c r="L450" s="3" t="n">
        <f aca="false">IF(ISNUMBER(H450),MAX(H450,IFERROR(INDEX(MW_Floor,MATCH(G450,MW_Key,0)),0))*I450,"")</f>
        <v>1847.54</v>
      </c>
      <c r="M450" s="2" t="str">
        <f aca="false">IFERROR(INDEX(LR_Flag,MATCH(G450,LR_Key,0)),"")</f>
        <v>none</v>
      </c>
      <c r="N450" s="2" t="str">
        <f aca="false">IFERROR(INDEX(MW_Check,MATCH(G450,MW_Key,0)),"")</f>
        <v>OK</v>
      </c>
      <c r="O450" s="0" t="str">
        <f aca="false">IF(NOT(ISNUMBER(H450)),"LABOR QUOTE NEEDED – total incomplete",IF(N450="BELOW FLOOR","CHECK: typical labor below wage floor – payout and customer labor raised to floor",IF(M450&lt;&gt;"none","Labor rate flagged: "&amp;M450,"OK")))</f>
        <v>OK</v>
      </c>
      <c r="P450" s="0" t="s">
        <v>1747</v>
      </c>
      <c r="Q450" s="8" t="s">
        <v>1748</v>
      </c>
      <c r="R450" s="2" t="str">
        <f aca="false">IF(OR(M450="regulated",COUNTIFS(Tasks_TaskID,A450,Tasks_Tier,D450,Tasks_Review,"base")&gt;0),"PENDING REVIEW – priced, not bookable until human approval",IF(COUNTIFS(Tasks_TaskID,A450,Tasks_Tier,D450,Tasks_Review,"as-needed")&gt;0,"Bookable (re-evaluate if regulated as-needed line selected)","Bookable"))</f>
        <v>Bookable (re-evaluate if regulated as-needed line selected)</v>
      </c>
    </row>
    <row r="451" customFormat="false" ht="17.15" hidden="false" customHeight="false" outlineLevel="0" collapsed="false">
      <c r="A451" s="2" t="s">
        <v>1745</v>
      </c>
      <c r="B451" s="2" t="s">
        <v>939</v>
      </c>
      <c r="C451" s="2" t="s">
        <v>1746</v>
      </c>
      <c r="D451" s="2" t="s">
        <v>1679</v>
      </c>
      <c r="E451" s="2" t="s">
        <v>1896</v>
      </c>
      <c r="F451" s="3" t="n">
        <f aca="false">INDEX(Sum_Base,MATCH(A451,Sum_BaseTasks,0),MATCH(D451,Sum_BaseTiers,0))</f>
        <v>352.4625</v>
      </c>
      <c r="G451" s="2" t="str">
        <f aca="false">IF(ISNUMBER(MATCH(A451&amp;"|"&amp;D451,LR_Key,0)),A451&amp;"|"&amp;D451,A451&amp;"|All")</f>
        <v>FIXX-CLN-003|61–100 m²</v>
      </c>
      <c r="H451" s="3" t="n">
        <f aca="false">IFERROR(INDEX(LR_TypLabor,MATCH(G451,LR_Key,0)),"")</f>
        <v>1847.54</v>
      </c>
      <c r="I451" s="12" t="n">
        <f aca="false">INDEX(Urg_Mult,MATCH(E451,Urg_Levels,0))</f>
        <v>1.15</v>
      </c>
      <c r="J451" s="3" t="n">
        <f aca="false">IF(ISNUMBER(H451),MAX(H451,IFERROR(INDEX(MW_Floor,MATCH(G451,MW_Key,0)),0))*I451,"")</f>
        <v>2124.671</v>
      </c>
      <c r="K451" s="3" t="n">
        <f aca="false">IF(ISNUMBER(J451),F451+J451,"")</f>
        <v>2477.1335</v>
      </c>
      <c r="L451" s="3" t="n">
        <f aca="false">IF(ISNUMBER(H451),MAX(H451,IFERROR(INDEX(MW_Floor,MATCH(G451,MW_Key,0)),0))*I451,"")</f>
        <v>2124.671</v>
      </c>
      <c r="M451" s="2" t="str">
        <f aca="false">IFERROR(INDEX(LR_Flag,MATCH(G451,LR_Key,0)),"")</f>
        <v>none</v>
      </c>
      <c r="N451" s="2" t="str">
        <f aca="false">IFERROR(INDEX(MW_Check,MATCH(G451,MW_Key,0)),"")</f>
        <v>OK</v>
      </c>
      <c r="O451" s="0" t="str">
        <f aca="false">IF(NOT(ISNUMBER(H451)),"LABOR QUOTE NEEDED – total incomplete",IF(N451="BELOW FLOOR","CHECK: typical labor below wage floor – payout and customer labor raised to floor",IF(M451&lt;&gt;"none","Labor rate flagged: "&amp;M451,"OK")))</f>
        <v>OK</v>
      </c>
      <c r="P451" s="0" t="s">
        <v>1747</v>
      </c>
      <c r="Q451" s="8" t="s">
        <v>1748</v>
      </c>
      <c r="R451" s="2" t="str">
        <f aca="false">IF(OR(M451="regulated",COUNTIFS(Tasks_TaskID,A451,Tasks_Tier,D451,Tasks_Review,"base")&gt;0),"PENDING REVIEW – priced, not bookable until human approval",IF(COUNTIFS(Tasks_TaskID,A451,Tasks_Tier,D451,Tasks_Review,"as-needed")&gt;0,"Bookable (re-evaluate if regulated as-needed line selected)","Bookable"))</f>
        <v>Bookable (re-evaluate if regulated as-needed line selected)</v>
      </c>
    </row>
    <row r="452" customFormat="false" ht="17.15" hidden="false" customHeight="false" outlineLevel="0" collapsed="false">
      <c r="A452" s="2" t="s">
        <v>1745</v>
      </c>
      <c r="B452" s="2" t="s">
        <v>939</v>
      </c>
      <c r="C452" s="2" t="s">
        <v>1746</v>
      </c>
      <c r="D452" s="2" t="s">
        <v>1679</v>
      </c>
      <c r="E452" s="2" t="s">
        <v>1897</v>
      </c>
      <c r="F452" s="3" t="n">
        <f aca="false">INDEX(Sum_Base,MATCH(A452,Sum_BaseTasks,0),MATCH(D452,Sum_BaseTiers,0))</f>
        <v>352.4625</v>
      </c>
      <c r="G452" s="2" t="str">
        <f aca="false">IF(ISNUMBER(MATCH(A452&amp;"|"&amp;D452,LR_Key,0)),A452&amp;"|"&amp;D452,A452&amp;"|All")</f>
        <v>FIXX-CLN-003|61–100 m²</v>
      </c>
      <c r="H452" s="3" t="n">
        <f aca="false">IFERROR(INDEX(LR_TypLabor,MATCH(G452,LR_Key,0)),"")</f>
        <v>1847.54</v>
      </c>
      <c r="I452" s="12" t="n">
        <f aca="false">INDEX(Urg_Mult,MATCH(E452,Urg_Levels,0))</f>
        <v>1.3</v>
      </c>
      <c r="J452" s="3" t="n">
        <f aca="false">IF(ISNUMBER(H452),MAX(H452,IFERROR(INDEX(MW_Floor,MATCH(G452,MW_Key,0)),0))*I452,"")</f>
        <v>2401.802</v>
      </c>
      <c r="K452" s="3" t="n">
        <f aca="false">IF(ISNUMBER(J452),F452+J452,"")</f>
        <v>2754.2645</v>
      </c>
      <c r="L452" s="3" t="n">
        <f aca="false">IF(ISNUMBER(H452),MAX(H452,IFERROR(INDEX(MW_Floor,MATCH(G452,MW_Key,0)),0))*I452,"")</f>
        <v>2401.802</v>
      </c>
      <c r="M452" s="2" t="str">
        <f aca="false">IFERROR(INDEX(LR_Flag,MATCH(G452,LR_Key,0)),"")</f>
        <v>none</v>
      </c>
      <c r="N452" s="2" t="str">
        <f aca="false">IFERROR(INDEX(MW_Check,MATCH(G452,MW_Key,0)),"")</f>
        <v>OK</v>
      </c>
      <c r="O452" s="0" t="str">
        <f aca="false">IF(NOT(ISNUMBER(H452)),"LABOR QUOTE NEEDED – total incomplete",IF(N452="BELOW FLOOR","CHECK: typical labor below wage floor – payout and customer labor raised to floor",IF(M452&lt;&gt;"none","Labor rate flagged: "&amp;M452,"OK")))</f>
        <v>OK</v>
      </c>
      <c r="P452" s="0" t="s">
        <v>1747</v>
      </c>
      <c r="Q452" s="8" t="s">
        <v>1748</v>
      </c>
      <c r="R452" s="2" t="str">
        <f aca="false">IF(OR(M452="regulated",COUNTIFS(Tasks_TaskID,A452,Tasks_Tier,D452,Tasks_Review,"base")&gt;0),"PENDING REVIEW – priced, not bookable until human approval",IF(COUNTIFS(Tasks_TaskID,A452,Tasks_Tier,D452,Tasks_Review,"as-needed")&gt;0,"Bookable (re-evaluate if regulated as-needed line selected)","Bookable"))</f>
        <v>Bookable (re-evaluate if regulated as-needed line selected)</v>
      </c>
    </row>
    <row r="453" customFormat="false" ht="17.15" hidden="false" customHeight="false" outlineLevel="0" collapsed="false">
      <c r="A453" s="2" t="s">
        <v>1745</v>
      </c>
      <c r="B453" s="2" t="s">
        <v>939</v>
      </c>
      <c r="C453" s="2" t="s">
        <v>1746</v>
      </c>
      <c r="D453" s="2" t="s">
        <v>1679</v>
      </c>
      <c r="E453" s="2" t="s">
        <v>1898</v>
      </c>
      <c r="F453" s="3" t="n">
        <f aca="false">INDEX(Sum_Base,MATCH(A453,Sum_BaseTasks,0),MATCH(D453,Sum_BaseTiers,0))</f>
        <v>352.4625</v>
      </c>
      <c r="G453" s="2" t="str">
        <f aca="false">IF(ISNUMBER(MATCH(A453&amp;"|"&amp;D453,LR_Key,0)),A453&amp;"|"&amp;D453,A453&amp;"|All")</f>
        <v>FIXX-CLN-003|61–100 m²</v>
      </c>
      <c r="H453" s="3" t="n">
        <f aca="false">IFERROR(INDEX(LR_TypLabor,MATCH(G453,LR_Key,0)),"")</f>
        <v>1847.54</v>
      </c>
      <c r="I453" s="12" t="n">
        <f aca="false">INDEX(Urg_Mult,MATCH(E453,Urg_Levels,0))</f>
        <v>1.5</v>
      </c>
      <c r="J453" s="3" t="n">
        <f aca="false">IF(ISNUMBER(H453),MAX(H453,IFERROR(INDEX(MW_Floor,MATCH(G453,MW_Key,0)),0))*I453,"")</f>
        <v>2771.31</v>
      </c>
      <c r="K453" s="3" t="n">
        <f aca="false">IF(ISNUMBER(J453),F453+J453,"")</f>
        <v>3123.7725</v>
      </c>
      <c r="L453" s="3" t="n">
        <f aca="false">IF(ISNUMBER(H453),MAX(H453,IFERROR(INDEX(MW_Floor,MATCH(G453,MW_Key,0)),0))*I453,"")</f>
        <v>2771.31</v>
      </c>
      <c r="M453" s="2" t="str">
        <f aca="false">IFERROR(INDEX(LR_Flag,MATCH(G453,LR_Key,0)),"")</f>
        <v>none</v>
      </c>
      <c r="N453" s="2" t="str">
        <f aca="false">IFERROR(INDEX(MW_Check,MATCH(G453,MW_Key,0)),"")</f>
        <v>OK</v>
      </c>
      <c r="O453" s="0" t="str">
        <f aca="false">IF(NOT(ISNUMBER(H453)),"LABOR QUOTE NEEDED – total incomplete",IF(N453="BELOW FLOOR","CHECK: typical labor below wage floor – payout and customer labor raised to floor",IF(M453&lt;&gt;"none","Labor rate flagged: "&amp;M453,"OK")))</f>
        <v>OK</v>
      </c>
      <c r="P453" s="0" t="s">
        <v>1747</v>
      </c>
      <c r="Q453" s="8" t="s">
        <v>1748</v>
      </c>
      <c r="R453" s="2" t="str">
        <f aca="false">IF(OR(M453="regulated",COUNTIFS(Tasks_TaskID,A453,Tasks_Tier,D453,Tasks_Review,"base")&gt;0),"PENDING REVIEW – priced, not bookable until human approval",IF(COUNTIFS(Tasks_TaskID,A453,Tasks_Tier,D453,Tasks_Review,"as-needed")&gt;0,"Bookable (re-evaluate if regulated as-needed line selected)","Bookable"))</f>
        <v>Bookable (re-evaluate if regulated as-needed line selected)</v>
      </c>
    </row>
    <row r="454" customFormat="false" ht="17.15" hidden="false" customHeight="false" outlineLevel="0" collapsed="false">
      <c r="A454" s="2" t="s">
        <v>1745</v>
      </c>
      <c r="B454" s="2" t="s">
        <v>939</v>
      </c>
      <c r="C454" s="2" t="s">
        <v>1746</v>
      </c>
      <c r="D454" s="2" t="s">
        <v>1691</v>
      </c>
      <c r="E454" s="2" t="s">
        <v>1895</v>
      </c>
      <c r="F454" s="3" t="n">
        <f aca="false">INDEX(Sum_Base,MATCH(A454,Sum_BaseTasks,0),MATCH(D454,Sum_BaseTiers,0))</f>
        <v>469.95</v>
      </c>
      <c r="G454" s="2" t="str">
        <f aca="false">IF(ISNUMBER(MATCH(A454&amp;"|"&amp;D454,LR_Key,0)),A454&amp;"|"&amp;D454,A454&amp;"|All")</f>
        <v>FIXX-CLN-003|101–150 m²</v>
      </c>
      <c r="H454" s="3" t="n">
        <f aca="false">IFERROR(INDEX(LR_TypLabor,MATCH(G454,LR_Key,0)),"")</f>
        <v>2530.05</v>
      </c>
      <c r="I454" s="12" t="n">
        <f aca="false">INDEX(Urg_Mult,MATCH(E454,Urg_Levels,0))</f>
        <v>1</v>
      </c>
      <c r="J454" s="3" t="n">
        <f aca="false">IF(ISNUMBER(H454),MAX(H454,IFERROR(INDEX(MW_Floor,MATCH(G454,MW_Key,0)),0))*I454,"")</f>
        <v>2530.05</v>
      </c>
      <c r="K454" s="3" t="n">
        <f aca="false">IF(ISNUMBER(J454),F454+J454,"")</f>
        <v>3000</v>
      </c>
      <c r="L454" s="3" t="n">
        <f aca="false">IF(ISNUMBER(H454),MAX(H454,IFERROR(INDEX(MW_Floor,MATCH(G454,MW_Key,0)),0))*I454,"")</f>
        <v>2530.05</v>
      </c>
      <c r="M454" s="2" t="str">
        <f aca="false">IFERROR(INDEX(LR_Flag,MATCH(G454,LR_Key,0)),"")</f>
        <v>none</v>
      </c>
      <c r="N454" s="2" t="str">
        <f aca="false">IFERROR(INDEX(MW_Check,MATCH(G454,MW_Key,0)),"")</f>
        <v>OK</v>
      </c>
      <c r="O454" s="0" t="str">
        <f aca="false">IF(NOT(ISNUMBER(H454)),"LABOR QUOTE NEEDED – total incomplete",IF(N454="BELOW FLOOR","CHECK: typical labor below wage floor – payout and customer labor raised to floor",IF(M454&lt;&gt;"none","Labor rate flagged: "&amp;M454,"OK")))</f>
        <v>OK</v>
      </c>
      <c r="P454" s="0" t="s">
        <v>1747</v>
      </c>
      <c r="Q454" s="8" t="s">
        <v>1748</v>
      </c>
      <c r="R454" s="2" t="str">
        <f aca="false">IF(OR(M454="regulated",COUNTIFS(Tasks_TaskID,A454,Tasks_Tier,D454,Tasks_Review,"base")&gt;0),"PENDING REVIEW – priced, not bookable until human approval",IF(COUNTIFS(Tasks_TaskID,A454,Tasks_Tier,D454,Tasks_Review,"as-needed")&gt;0,"Bookable (re-evaluate if regulated as-needed line selected)","Bookable"))</f>
        <v>Bookable (re-evaluate if regulated as-needed line selected)</v>
      </c>
    </row>
    <row r="455" customFormat="false" ht="17.15" hidden="false" customHeight="false" outlineLevel="0" collapsed="false">
      <c r="A455" s="2" t="s">
        <v>1745</v>
      </c>
      <c r="B455" s="2" t="s">
        <v>939</v>
      </c>
      <c r="C455" s="2" t="s">
        <v>1746</v>
      </c>
      <c r="D455" s="2" t="s">
        <v>1691</v>
      </c>
      <c r="E455" s="2" t="s">
        <v>1896</v>
      </c>
      <c r="F455" s="3" t="n">
        <f aca="false">INDEX(Sum_Base,MATCH(A455,Sum_BaseTasks,0),MATCH(D455,Sum_BaseTiers,0))</f>
        <v>469.95</v>
      </c>
      <c r="G455" s="2" t="str">
        <f aca="false">IF(ISNUMBER(MATCH(A455&amp;"|"&amp;D455,LR_Key,0)),A455&amp;"|"&amp;D455,A455&amp;"|All")</f>
        <v>FIXX-CLN-003|101–150 m²</v>
      </c>
      <c r="H455" s="3" t="n">
        <f aca="false">IFERROR(INDEX(LR_TypLabor,MATCH(G455,LR_Key,0)),"")</f>
        <v>2530.05</v>
      </c>
      <c r="I455" s="12" t="n">
        <f aca="false">INDEX(Urg_Mult,MATCH(E455,Urg_Levels,0))</f>
        <v>1.15</v>
      </c>
      <c r="J455" s="3" t="n">
        <f aca="false">IF(ISNUMBER(H455),MAX(H455,IFERROR(INDEX(MW_Floor,MATCH(G455,MW_Key,0)),0))*I455,"")</f>
        <v>2909.5575</v>
      </c>
      <c r="K455" s="3" t="n">
        <f aca="false">IF(ISNUMBER(J455),F455+J455,"")</f>
        <v>3379.5075</v>
      </c>
      <c r="L455" s="3" t="n">
        <f aca="false">IF(ISNUMBER(H455),MAX(H455,IFERROR(INDEX(MW_Floor,MATCH(G455,MW_Key,0)),0))*I455,"")</f>
        <v>2909.5575</v>
      </c>
      <c r="M455" s="2" t="str">
        <f aca="false">IFERROR(INDEX(LR_Flag,MATCH(G455,LR_Key,0)),"")</f>
        <v>none</v>
      </c>
      <c r="N455" s="2" t="str">
        <f aca="false">IFERROR(INDEX(MW_Check,MATCH(G455,MW_Key,0)),"")</f>
        <v>OK</v>
      </c>
      <c r="O455" s="0" t="str">
        <f aca="false">IF(NOT(ISNUMBER(H455)),"LABOR QUOTE NEEDED – total incomplete",IF(N455="BELOW FLOOR","CHECK: typical labor below wage floor – payout and customer labor raised to floor",IF(M455&lt;&gt;"none","Labor rate flagged: "&amp;M455,"OK")))</f>
        <v>OK</v>
      </c>
      <c r="P455" s="0" t="s">
        <v>1747</v>
      </c>
      <c r="Q455" s="8" t="s">
        <v>1748</v>
      </c>
      <c r="R455" s="2" t="str">
        <f aca="false">IF(OR(M455="regulated",COUNTIFS(Tasks_TaskID,A455,Tasks_Tier,D455,Tasks_Review,"base")&gt;0),"PENDING REVIEW – priced, not bookable until human approval",IF(COUNTIFS(Tasks_TaskID,A455,Tasks_Tier,D455,Tasks_Review,"as-needed")&gt;0,"Bookable (re-evaluate if regulated as-needed line selected)","Bookable"))</f>
        <v>Bookable (re-evaluate if regulated as-needed line selected)</v>
      </c>
    </row>
    <row r="456" customFormat="false" ht="17.15" hidden="false" customHeight="false" outlineLevel="0" collapsed="false">
      <c r="A456" s="2" t="s">
        <v>1745</v>
      </c>
      <c r="B456" s="2" t="s">
        <v>939</v>
      </c>
      <c r="C456" s="2" t="s">
        <v>1746</v>
      </c>
      <c r="D456" s="2" t="s">
        <v>1691</v>
      </c>
      <c r="E456" s="2" t="s">
        <v>1897</v>
      </c>
      <c r="F456" s="3" t="n">
        <f aca="false">INDEX(Sum_Base,MATCH(A456,Sum_BaseTasks,0),MATCH(D456,Sum_BaseTiers,0))</f>
        <v>469.95</v>
      </c>
      <c r="G456" s="2" t="str">
        <f aca="false">IF(ISNUMBER(MATCH(A456&amp;"|"&amp;D456,LR_Key,0)),A456&amp;"|"&amp;D456,A456&amp;"|All")</f>
        <v>FIXX-CLN-003|101–150 m²</v>
      </c>
      <c r="H456" s="3" t="n">
        <f aca="false">IFERROR(INDEX(LR_TypLabor,MATCH(G456,LR_Key,0)),"")</f>
        <v>2530.05</v>
      </c>
      <c r="I456" s="12" t="n">
        <f aca="false">INDEX(Urg_Mult,MATCH(E456,Urg_Levels,0))</f>
        <v>1.3</v>
      </c>
      <c r="J456" s="3" t="n">
        <f aca="false">IF(ISNUMBER(H456),MAX(H456,IFERROR(INDEX(MW_Floor,MATCH(G456,MW_Key,0)),0))*I456,"")</f>
        <v>3289.065</v>
      </c>
      <c r="K456" s="3" t="n">
        <f aca="false">IF(ISNUMBER(J456),F456+J456,"")</f>
        <v>3759.015</v>
      </c>
      <c r="L456" s="3" t="n">
        <f aca="false">IF(ISNUMBER(H456),MAX(H456,IFERROR(INDEX(MW_Floor,MATCH(G456,MW_Key,0)),0))*I456,"")</f>
        <v>3289.065</v>
      </c>
      <c r="M456" s="2" t="str">
        <f aca="false">IFERROR(INDEX(LR_Flag,MATCH(G456,LR_Key,0)),"")</f>
        <v>none</v>
      </c>
      <c r="N456" s="2" t="str">
        <f aca="false">IFERROR(INDEX(MW_Check,MATCH(G456,MW_Key,0)),"")</f>
        <v>OK</v>
      </c>
      <c r="O456" s="0" t="str">
        <f aca="false">IF(NOT(ISNUMBER(H456)),"LABOR QUOTE NEEDED – total incomplete",IF(N456="BELOW FLOOR","CHECK: typical labor below wage floor – payout and customer labor raised to floor",IF(M456&lt;&gt;"none","Labor rate flagged: "&amp;M456,"OK")))</f>
        <v>OK</v>
      </c>
      <c r="P456" s="0" t="s">
        <v>1747</v>
      </c>
      <c r="Q456" s="8" t="s">
        <v>1748</v>
      </c>
      <c r="R456" s="2" t="str">
        <f aca="false">IF(OR(M456="regulated",COUNTIFS(Tasks_TaskID,A456,Tasks_Tier,D456,Tasks_Review,"base")&gt;0),"PENDING REVIEW – priced, not bookable until human approval",IF(COUNTIFS(Tasks_TaskID,A456,Tasks_Tier,D456,Tasks_Review,"as-needed")&gt;0,"Bookable (re-evaluate if regulated as-needed line selected)","Bookable"))</f>
        <v>Bookable (re-evaluate if regulated as-needed line selected)</v>
      </c>
    </row>
    <row r="457" customFormat="false" ht="17.15" hidden="false" customHeight="false" outlineLevel="0" collapsed="false">
      <c r="A457" s="2" t="s">
        <v>1745</v>
      </c>
      <c r="B457" s="2" t="s">
        <v>939</v>
      </c>
      <c r="C457" s="2" t="s">
        <v>1746</v>
      </c>
      <c r="D457" s="2" t="s">
        <v>1691</v>
      </c>
      <c r="E457" s="2" t="s">
        <v>1898</v>
      </c>
      <c r="F457" s="3" t="n">
        <f aca="false">INDEX(Sum_Base,MATCH(A457,Sum_BaseTasks,0),MATCH(D457,Sum_BaseTiers,0))</f>
        <v>469.95</v>
      </c>
      <c r="G457" s="2" t="str">
        <f aca="false">IF(ISNUMBER(MATCH(A457&amp;"|"&amp;D457,LR_Key,0)),A457&amp;"|"&amp;D457,A457&amp;"|All")</f>
        <v>FIXX-CLN-003|101–150 m²</v>
      </c>
      <c r="H457" s="3" t="n">
        <f aca="false">IFERROR(INDEX(LR_TypLabor,MATCH(G457,LR_Key,0)),"")</f>
        <v>2530.05</v>
      </c>
      <c r="I457" s="12" t="n">
        <f aca="false">INDEX(Urg_Mult,MATCH(E457,Urg_Levels,0))</f>
        <v>1.5</v>
      </c>
      <c r="J457" s="3" t="n">
        <f aca="false">IF(ISNUMBER(H457),MAX(H457,IFERROR(INDEX(MW_Floor,MATCH(G457,MW_Key,0)),0))*I457,"")</f>
        <v>3795.075</v>
      </c>
      <c r="K457" s="3" t="n">
        <f aca="false">IF(ISNUMBER(J457),F457+J457,"")</f>
        <v>4265.025</v>
      </c>
      <c r="L457" s="3" t="n">
        <f aca="false">IF(ISNUMBER(H457),MAX(H457,IFERROR(INDEX(MW_Floor,MATCH(G457,MW_Key,0)),0))*I457,"")</f>
        <v>3795.075</v>
      </c>
      <c r="M457" s="2" t="str">
        <f aca="false">IFERROR(INDEX(LR_Flag,MATCH(G457,LR_Key,0)),"")</f>
        <v>none</v>
      </c>
      <c r="N457" s="2" t="str">
        <f aca="false">IFERROR(INDEX(MW_Check,MATCH(G457,MW_Key,0)),"")</f>
        <v>OK</v>
      </c>
      <c r="O457" s="0" t="str">
        <f aca="false">IF(NOT(ISNUMBER(H457)),"LABOR QUOTE NEEDED – total incomplete",IF(N457="BELOW FLOOR","CHECK: typical labor below wage floor – payout and customer labor raised to floor",IF(M457&lt;&gt;"none","Labor rate flagged: "&amp;M457,"OK")))</f>
        <v>OK</v>
      </c>
      <c r="P457" s="0" t="s">
        <v>1747</v>
      </c>
      <c r="Q457" s="8" t="s">
        <v>1748</v>
      </c>
      <c r="R457" s="2" t="str">
        <f aca="false">IF(OR(M457="regulated",COUNTIFS(Tasks_TaskID,A457,Tasks_Tier,D457,Tasks_Review,"base")&gt;0),"PENDING REVIEW – priced, not bookable until human approval",IF(COUNTIFS(Tasks_TaskID,A457,Tasks_Tier,D457,Tasks_Review,"as-needed")&gt;0,"Bookable (re-evaluate if regulated as-needed line selected)","Bookable"))</f>
        <v>Bookable (re-evaluate if regulated as-needed line selected)</v>
      </c>
    </row>
    <row r="458" customFormat="false" ht="17.15" hidden="false" customHeight="false" outlineLevel="0" collapsed="false">
      <c r="A458" s="2" t="s">
        <v>1782</v>
      </c>
      <c r="B458" s="2" t="s">
        <v>939</v>
      </c>
      <c r="C458" s="2" t="s">
        <v>1783</v>
      </c>
      <c r="D458" s="2" t="s">
        <v>1659</v>
      </c>
      <c r="E458" s="2" t="s">
        <v>1895</v>
      </c>
      <c r="F458" s="3" t="n">
        <f aca="false">INDEX(Sum_Base,MATCH(A458,Sum_BaseTasks,0),MATCH(D458,Sum_BaseTiers,0))</f>
        <v>313.3</v>
      </c>
      <c r="G458" s="2" t="str">
        <f aca="false">IF(ISNUMBER(MATCH(A458&amp;"|"&amp;D458,LR_Key,0)),A458&amp;"|"&amp;D458,A458&amp;"|All")</f>
        <v>FIXX-CLN-004|≤60 m²</v>
      </c>
      <c r="H458" s="3" t="n">
        <f aca="false">IFERROR(INDEX(LR_TypLabor,MATCH(G458,LR_Key,0)),"")</f>
        <v>2086.7</v>
      </c>
      <c r="I458" s="12" t="n">
        <f aca="false">INDEX(Urg_Mult,MATCH(E458,Urg_Levels,0))</f>
        <v>1</v>
      </c>
      <c r="J458" s="3" t="n">
        <f aca="false">IF(ISNUMBER(H458),MAX(H458,IFERROR(INDEX(MW_Floor,MATCH(G458,MW_Key,0)),0))*I458,"")</f>
        <v>2086.7</v>
      </c>
      <c r="K458" s="3" t="n">
        <f aca="false">IF(ISNUMBER(J458),F458+J458,"")</f>
        <v>2400</v>
      </c>
      <c r="L458" s="3" t="n">
        <f aca="false">IF(ISNUMBER(H458),MAX(H458,IFERROR(INDEX(MW_Floor,MATCH(G458,MW_Key,0)),0))*I458,"")</f>
        <v>2086.7</v>
      </c>
      <c r="M458" s="2" t="str">
        <f aca="false">IFERROR(INDEX(LR_Flag,MATCH(G458,LR_Key,0)),"")</f>
        <v>none</v>
      </c>
      <c r="N458" s="2" t="str">
        <f aca="false">IFERROR(INDEX(MW_Check,MATCH(G458,MW_Key,0)),"")</f>
        <v>OK</v>
      </c>
      <c r="O458" s="0" t="str">
        <f aca="false">IF(NOT(ISNUMBER(H458)),"LABOR QUOTE NEEDED – total incomplete",IF(N458="BELOW FLOOR","CHECK: typical labor below wage floor – payout and customer labor raised to floor",IF(M458&lt;&gt;"none","Labor rate flagged: "&amp;M458,"OK")))</f>
        <v>OK</v>
      </c>
      <c r="P458" s="0" t="s">
        <v>1785</v>
      </c>
      <c r="Q458" s="8" t="s">
        <v>1786</v>
      </c>
      <c r="R458" s="2" t="str">
        <f aca="false">IF(OR(M458="regulated",COUNTIFS(Tasks_TaskID,A458,Tasks_Tier,D458,Tasks_Review,"base")&gt;0),"PENDING REVIEW – priced, not bookable until human approval",IF(COUNTIFS(Tasks_TaskID,A458,Tasks_Tier,D458,Tasks_Review,"as-needed")&gt;0,"Bookable (re-evaluate if regulated as-needed line selected)","Bookable"))</f>
        <v>Bookable (re-evaluate if regulated as-needed line selected)</v>
      </c>
    </row>
    <row r="459" customFormat="false" ht="17.15" hidden="false" customHeight="false" outlineLevel="0" collapsed="false">
      <c r="A459" s="2" t="s">
        <v>1782</v>
      </c>
      <c r="B459" s="2" t="s">
        <v>939</v>
      </c>
      <c r="C459" s="2" t="s">
        <v>1783</v>
      </c>
      <c r="D459" s="2" t="s">
        <v>1659</v>
      </c>
      <c r="E459" s="2" t="s">
        <v>1896</v>
      </c>
      <c r="F459" s="3" t="n">
        <f aca="false">INDEX(Sum_Base,MATCH(A459,Sum_BaseTasks,0),MATCH(D459,Sum_BaseTiers,0))</f>
        <v>313.3</v>
      </c>
      <c r="G459" s="2" t="str">
        <f aca="false">IF(ISNUMBER(MATCH(A459&amp;"|"&amp;D459,LR_Key,0)),A459&amp;"|"&amp;D459,A459&amp;"|All")</f>
        <v>FIXX-CLN-004|≤60 m²</v>
      </c>
      <c r="H459" s="3" t="n">
        <f aca="false">IFERROR(INDEX(LR_TypLabor,MATCH(G459,LR_Key,0)),"")</f>
        <v>2086.7</v>
      </c>
      <c r="I459" s="12" t="n">
        <f aca="false">INDEX(Urg_Mult,MATCH(E459,Urg_Levels,0))</f>
        <v>1.15</v>
      </c>
      <c r="J459" s="3" t="n">
        <f aca="false">IF(ISNUMBER(H459),MAX(H459,IFERROR(INDEX(MW_Floor,MATCH(G459,MW_Key,0)),0))*I459,"")</f>
        <v>2399.705</v>
      </c>
      <c r="K459" s="3" t="n">
        <f aca="false">IF(ISNUMBER(J459),F459+J459,"")</f>
        <v>2713.005</v>
      </c>
      <c r="L459" s="3" t="n">
        <f aca="false">IF(ISNUMBER(H459),MAX(H459,IFERROR(INDEX(MW_Floor,MATCH(G459,MW_Key,0)),0))*I459,"")</f>
        <v>2399.705</v>
      </c>
      <c r="M459" s="2" t="str">
        <f aca="false">IFERROR(INDEX(LR_Flag,MATCH(G459,LR_Key,0)),"")</f>
        <v>none</v>
      </c>
      <c r="N459" s="2" t="str">
        <f aca="false">IFERROR(INDEX(MW_Check,MATCH(G459,MW_Key,0)),"")</f>
        <v>OK</v>
      </c>
      <c r="O459" s="0" t="str">
        <f aca="false">IF(NOT(ISNUMBER(H459)),"LABOR QUOTE NEEDED – total incomplete",IF(N459="BELOW FLOOR","CHECK: typical labor below wage floor – payout and customer labor raised to floor",IF(M459&lt;&gt;"none","Labor rate flagged: "&amp;M459,"OK")))</f>
        <v>OK</v>
      </c>
      <c r="P459" s="0" t="s">
        <v>1785</v>
      </c>
      <c r="Q459" s="8" t="s">
        <v>1786</v>
      </c>
      <c r="R459" s="2" t="str">
        <f aca="false">IF(OR(M459="regulated",COUNTIFS(Tasks_TaskID,A459,Tasks_Tier,D459,Tasks_Review,"base")&gt;0),"PENDING REVIEW – priced, not bookable until human approval",IF(COUNTIFS(Tasks_TaskID,A459,Tasks_Tier,D459,Tasks_Review,"as-needed")&gt;0,"Bookable (re-evaluate if regulated as-needed line selected)","Bookable"))</f>
        <v>Bookable (re-evaluate if regulated as-needed line selected)</v>
      </c>
    </row>
    <row r="460" customFormat="false" ht="17.15" hidden="false" customHeight="false" outlineLevel="0" collapsed="false">
      <c r="A460" s="2" t="s">
        <v>1782</v>
      </c>
      <c r="B460" s="2" t="s">
        <v>939</v>
      </c>
      <c r="C460" s="2" t="s">
        <v>1783</v>
      </c>
      <c r="D460" s="2" t="s">
        <v>1659</v>
      </c>
      <c r="E460" s="2" t="s">
        <v>1897</v>
      </c>
      <c r="F460" s="3" t="n">
        <f aca="false">INDEX(Sum_Base,MATCH(A460,Sum_BaseTasks,0),MATCH(D460,Sum_BaseTiers,0))</f>
        <v>313.3</v>
      </c>
      <c r="G460" s="2" t="str">
        <f aca="false">IF(ISNUMBER(MATCH(A460&amp;"|"&amp;D460,LR_Key,0)),A460&amp;"|"&amp;D460,A460&amp;"|All")</f>
        <v>FIXX-CLN-004|≤60 m²</v>
      </c>
      <c r="H460" s="3" t="n">
        <f aca="false">IFERROR(INDEX(LR_TypLabor,MATCH(G460,LR_Key,0)),"")</f>
        <v>2086.7</v>
      </c>
      <c r="I460" s="12" t="n">
        <f aca="false">INDEX(Urg_Mult,MATCH(E460,Urg_Levels,0))</f>
        <v>1.3</v>
      </c>
      <c r="J460" s="3" t="n">
        <f aca="false">IF(ISNUMBER(H460),MAX(H460,IFERROR(INDEX(MW_Floor,MATCH(G460,MW_Key,0)),0))*I460,"")</f>
        <v>2712.71</v>
      </c>
      <c r="K460" s="3" t="n">
        <f aca="false">IF(ISNUMBER(J460),F460+J460,"")</f>
        <v>3026.01</v>
      </c>
      <c r="L460" s="3" t="n">
        <f aca="false">IF(ISNUMBER(H460),MAX(H460,IFERROR(INDEX(MW_Floor,MATCH(G460,MW_Key,0)),0))*I460,"")</f>
        <v>2712.71</v>
      </c>
      <c r="M460" s="2" t="str">
        <f aca="false">IFERROR(INDEX(LR_Flag,MATCH(G460,LR_Key,0)),"")</f>
        <v>none</v>
      </c>
      <c r="N460" s="2" t="str">
        <f aca="false">IFERROR(INDEX(MW_Check,MATCH(G460,MW_Key,0)),"")</f>
        <v>OK</v>
      </c>
      <c r="O460" s="0" t="str">
        <f aca="false">IF(NOT(ISNUMBER(H460)),"LABOR QUOTE NEEDED – total incomplete",IF(N460="BELOW FLOOR","CHECK: typical labor below wage floor – payout and customer labor raised to floor",IF(M460&lt;&gt;"none","Labor rate flagged: "&amp;M460,"OK")))</f>
        <v>OK</v>
      </c>
      <c r="P460" s="0" t="s">
        <v>1785</v>
      </c>
      <c r="Q460" s="8" t="s">
        <v>1786</v>
      </c>
      <c r="R460" s="2" t="str">
        <f aca="false">IF(OR(M460="regulated",COUNTIFS(Tasks_TaskID,A460,Tasks_Tier,D460,Tasks_Review,"base")&gt;0),"PENDING REVIEW – priced, not bookable until human approval",IF(COUNTIFS(Tasks_TaskID,A460,Tasks_Tier,D460,Tasks_Review,"as-needed")&gt;0,"Bookable (re-evaluate if regulated as-needed line selected)","Bookable"))</f>
        <v>Bookable (re-evaluate if regulated as-needed line selected)</v>
      </c>
    </row>
    <row r="461" customFormat="false" ht="17.15" hidden="false" customHeight="false" outlineLevel="0" collapsed="false">
      <c r="A461" s="2" t="s">
        <v>1782</v>
      </c>
      <c r="B461" s="2" t="s">
        <v>939</v>
      </c>
      <c r="C461" s="2" t="s">
        <v>1783</v>
      </c>
      <c r="D461" s="2" t="s">
        <v>1659</v>
      </c>
      <c r="E461" s="2" t="s">
        <v>1898</v>
      </c>
      <c r="F461" s="3" t="n">
        <f aca="false">INDEX(Sum_Base,MATCH(A461,Sum_BaseTasks,0),MATCH(D461,Sum_BaseTiers,0))</f>
        <v>313.3</v>
      </c>
      <c r="G461" s="2" t="str">
        <f aca="false">IF(ISNUMBER(MATCH(A461&amp;"|"&amp;D461,LR_Key,0)),A461&amp;"|"&amp;D461,A461&amp;"|All")</f>
        <v>FIXX-CLN-004|≤60 m²</v>
      </c>
      <c r="H461" s="3" t="n">
        <f aca="false">IFERROR(INDEX(LR_TypLabor,MATCH(G461,LR_Key,0)),"")</f>
        <v>2086.7</v>
      </c>
      <c r="I461" s="12" t="n">
        <f aca="false">INDEX(Urg_Mult,MATCH(E461,Urg_Levels,0))</f>
        <v>1.5</v>
      </c>
      <c r="J461" s="3" t="n">
        <f aca="false">IF(ISNUMBER(H461),MAX(H461,IFERROR(INDEX(MW_Floor,MATCH(G461,MW_Key,0)),0))*I461,"")</f>
        <v>3130.05</v>
      </c>
      <c r="K461" s="3" t="n">
        <f aca="false">IF(ISNUMBER(J461),F461+J461,"")</f>
        <v>3443.35</v>
      </c>
      <c r="L461" s="3" t="n">
        <f aca="false">IF(ISNUMBER(H461),MAX(H461,IFERROR(INDEX(MW_Floor,MATCH(G461,MW_Key,0)),0))*I461,"")</f>
        <v>3130.05</v>
      </c>
      <c r="M461" s="2" t="str">
        <f aca="false">IFERROR(INDEX(LR_Flag,MATCH(G461,LR_Key,0)),"")</f>
        <v>none</v>
      </c>
      <c r="N461" s="2" t="str">
        <f aca="false">IFERROR(INDEX(MW_Check,MATCH(G461,MW_Key,0)),"")</f>
        <v>OK</v>
      </c>
      <c r="O461" s="0" t="str">
        <f aca="false">IF(NOT(ISNUMBER(H461)),"LABOR QUOTE NEEDED – total incomplete",IF(N461="BELOW FLOOR","CHECK: typical labor below wage floor – payout and customer labor raised to floor",IF(M461&lt;&gt;"none","Labor rate flagged: "&amp;M461,"OK")))</f>
        <v>OK</v>
      </c>
      <c r="P461" s="0" t="s">
        <v>1785</v>
      </c>
      <c r="Q461" s="8" t="s">
        <v>1786</v>
      </c>
      <c r="R461" s="2" t="str">
        <f aca="false">IF(OR(M461="regulated",COUNTIFS(Tasks_TaskID,A461,Tasks_Tier,D461,Tasks_Review,"base")&gt;0),"PENDING REVIEW – priced, not bookable until human approval",IF(COUNTIFS(Tasks_TaskID,A461,Tasks_Tier,D461,Tasks_Review,"as-needed")&gt;0,"Bookable (re-evaluate if regulated as-needed line selected)","Bookable"))</f>
        <v>Bookable (re-evaluate if regulated as-needed line selected)</v>
      </c>
    </row>
    <row r="462" customFormat="false" ht="17.15" hidden="false" customHeight="false" outlineLevel="0" collapsed="false">
      <c r="A462" s="2" t="s">
        <v>1782</v>
      </c>
      <c r="B462" s="2" t="s">
        <v>939</v>
      </c>
      <c r="C462" s="2" t="s">
        <v>1783</v>
      </c>
      <c r="D462" s="2" t="s">
        <v>1679</v>
      </c>
      <c r="E462" s="2" t="s">
        <v>1895</v>
      </c>
      <c r="F462" s="3" t="n">
        <f aca="false">INDEX(Sum_Base,MATCH(A462,Sum_BaseTasks,0),MATCH(D462,Sum_BaseTiers,0))</f>
        <v>469.95</v>
      </c>
      <c r="G462" s="2" t="str">
        <f aca="false">IF(ISNUMBER(MATCH(A462&amp;"|"&amp;D462,LR_Key,0)),A462&amp;"|"&amp;D462,A462&amp;"|All")</f>
        <v>FIXX-CLN-004|61–100 m²</v>
      </c>
      <c r="H462" s="3" t="n">
        <f aca="false">IFERROR(INDEX(LR_TypLabor,MATCH(G462,LR_Key,0)),"")</f>
        <v>3530.05</v>
      </c>
      <c r="I462" s="12" t="n">
        <f aca="false">INDEX(Urg_Mult,MATCH(E462,Urg_Levels,0))</f>
        <v>1</v>
      </c>
      <c r="J462" s="3" t="n">
        <f aca="false">IF(ISNUMBER(H462),MAX(H462,IFERROR(INDEX(MW_Floor,MATCH(G462,MW_Key,0)),0))*I462,"")</f>
        <v>3530.05</v>
      </c>
      <c r="K462" s="3" t="n">
        <f aca="false">IF(ISNUMBER(J462),F462+J462,"")</f>
        <v>4000</v>
      </c>
      <c r="L462" s="3" t="n">
        <f aca="false">IF(ISNUMBER(H462),MAX(H462,IFERROR(INDEX(MW_Floor,MATCH(G462,MW_Key,0)),0))*I462,"")</f>
        <v>3530.05</v>
      </c>
      <c r="M462" s="2" t="str">
        <f aca="false">IFERROR(INDEX(LR_Flag,MATCH(G462,LR_Key,0)),"")</f>
        <v>none</v>
      </c>
      <c r="N462" s="2" t="str">
        <f aca="false">IFERROR(INDEX(MW_Check,MATCH(G462,MW_Key,0)),"")</f>
        <v>OK</v>
      </c>
      <c r="O462" s="0" t="str">
        <f aca="false">IF(NOT(ISNUMBER(H462)),"LABOR QUOTE NEEDED – total incomplete",IF(N462="BELOW FLOOR","CHECK: typical labor below wage floor – payout and customer labor raised to floor",IF(M462&lt;&gt;"none","Labor rate flagged: "&amp;M462,"OK")))</f>
        <v>OK</v>
      </c>
      <c r="P462" s="0" t="s">
        <v>1785</v>
      </c>
      <c r="Q462" s="8" t="s">
        <v>1786</v>
      </c>
      <c r="R462" s="2" t="str">
        <f aca="false">IF(OR(M462="regulated",COUNTIFS(Tasks_TaskID,A462,Tasks_Tier,D462,Tasks_Review,"base")&gt;0),"PENDING REVIEW – priced, not bookable until human approval",IF(COUNTIFS(Tasks_TaskID,A462,Tasks_Tier,D462,Tasks_Review,"as-needed")&gt;0,"Bookable (re-evaluate if regulated as-needed line selected)","Bookable"))</f>
        <v>Bookable (re-evaluate if regulated as-needed line selected)</v>
      </c>
    </row>
    <row r="463" customFormat="false" ht="17.15" hidden="false" customHeight="false" outlineLevel="0" collapsed="false">
      <c r="A463" s="2" t="s">
        <v>1782</v>
      </c>
      <c r="B463" s="2" t="s">
        <v>939</v>
      </c>
      <c r="C463" s="2" t="s">
        <v>1783</v>
      </c>
      <c r="D463" s="2" t="s">
        <v>1679</v>
      </c>
      <c r="E463" s="2" t="s">
        <v>1896</v>
      </c>
      <c r="F463" s="3" t="n">
        <f aca="false">INDEX(Sum_Base,MATCH(A463,Sum_BaseTasks,0),MATCH(D463,Sum_BaseTiers,0))</f>
        <v>469.95</v>
      </c>
      <c r="G463" s="2" t="str">
        <f aca="false">IF(ISNUMBER(MATCH(A463&amp;"|"&amp;D463,LR_Key,0)),A463&amp;"|"&amp;D463,A463&amp;"|All")</f>
        <v>FIXX-CLN-004|61–100 m²</v>
      </c>
      <c r="H463" s="3" t="n">
        <f aca="false">IFERROR(INDEX(LR_TypLabor,MATCH(G463,LR_Key,0)),"")</f>
        <v>3530.05</v>
      </c>
      <c r="I463" s="12" t="n">
        <f aca="false">INDEX(Urg_Mult,MATCH(E463,Urg_Levels,0))</f>
        <v>1.15</v>
      </c>
      <c r="J463" s="3" t="n">
        <f aca="false">IF(ISNUMBER(H463),MAX(H463,IFERROR(INDEX(MW_Floor,MATCH(G463,MW_Key,0)),0))*I463,"")</f>
        <v>4059.5575</v>
      </c>
      <c r="K463" s="3" t="n">
        <f aca="false">IF(ISNUMBER(J463),F463+J463,"")</f>
        <v>4529.5075</v>
      </c>
      <c r="L463" s="3" t="n">
        <f aca="false">IF(ISNUMBER(H463),MAX(H463,IFERROR(INDEX(MW_Floor,MATCH(G463,MW_Key,0)),0))*I463,"")</f>
        <v>4059.5575</v>
      </c>
      <c r="M463" s="2" t="str">
        <f aca="false">IFERROR(INDEX(LR_Flag,MATCH(G463,LR_Key,0)),"")</f>
        <v>none</v>
      </c>
      <c r="N463" s="2" t="str">
        <f aca="false">IFERROR(INDEX(MW_Check,MATCH(G463,MW_Key,0)),"")</f>
        <v>OK</v>
      </c>
      <c r="O463" s="0" t="str">
        <f aca="false">IF(NOT(ISNUMBER(H463)),"LABOR QUOTE NEEDED – total incomplete",IF(N463="BELOW FLOOR","CHECK: typical labor below wage floor – payout and customer labor raised to floor",IF(M463&lt;&gt;"none","Labor rate flagged: "&amp;M463,"OK")))</f>
        <v>OK</v>
      </c>
      <c r="P463" s="0" t="s">
        <v>1785</v>
      </c>
      <c r="Q463" s="8" t="s">
        <v>1786</v>
      </c>
      <c r="R463" s="2" t="str">
        <f aca="false">IF(OR(M463="regulated",COUNTIFS(Tasks_TaskID,A463,Tasks_Tier,D463,Tasks_Review,"base")&gt;0),"PENDING REVIEW – priced, not bookable until human approval",IF(COUNTIFS(Tasks_TaskID,A463,Tasks_Tier,D463,Tasks_Review,"as-needed")&gt;0,"Bookable (re-evaluate if regulated as-needed line selected)","Bookable"))</f>
        <v>Bookable (re-evaluate if regulated as-needed line selected)</v>
      </c>
    </row>
    <row r="464" customFormat="false" ht="17.15" hidden="false" customHeight="false" outlineLevel="0" collapsed="false">
      <c r="A464" s="2" t="s">
        <v>1782</v>
      </c>
      <c r="B464" s="2" t="s">
        <v>939</v>
      </c>
      <c r="C464" s="2" t="s">
        <v>1783</v>
      </c>
      <c r="D464" s="2" t="s">
        <v>1679</v>
      </c>
      <c r="E464" s="2" t="s">
        <v>1897</v>
      </c>
      <c r="F464" s="3" t="n">
        <f aca="false">INDEX(Sum_Base,MATCH(A464,Sum_BaseTasks,0),MATCH(D464,Sum_BaseTiers,0))</f>
        <v>469.95</v>
      </c>
      <c r="G464" s="2" t="str">
        <f aca="false">IF(ISNUMBER(MATCH(A464&amp;"|"&amp;D464,LR_Key,0)),A464&amp;"|"&amp;D464,A464&amp;"|All")</f>
        <v>FIXX-CLN-004|61–100 m²</v>
      </c>
      <c r="H464" s="3" t="n">
        <f aca="false">IFERROR(INDEX(LR_TypLabor,MATCH(G464,LR_Key,0)),"")</f>
        <v>3530.05</v>
      </c>
      <c r="I464" s="12" t="n">
        <f aca="false">INDEX(Urg_Mult,MATCH(E464,Urg_Levels,0))</f>
        <v>1.3</v>
      </c>
      <c r="J464" s="3" t="n">
        <f aca="false">IF(ISNUMBER(H464),MAX(H464,IFERROR(INDEX(MW_Floor,MATCH(G464,MW_Key,0)),0))*I464,"")</f>
        <v>4589.065</v>
      </c>
      <c r="K464" s="3" t="n">
        <f aca="false">IF(ISNUMBER(J464),F464+J464,"")</f>
        <v>5059.015</v>
      </c>
      <c r="L464" s="3" t="n">
        <f aca="false">IF(ISNUMBER(H464),MAX(H464,IFERROR(INDEX(MW_Floor,MATCH(G464,MW_Key,0)),0))*I464,"")</f>
        <v>4589.065</v>
      </c>
      <c r="M464" s="2" t="str">
        <f aca="false">IFERROR(INDEX(LR_Flag,MATCH(G464,LR_Key,0)),"")</f>
        <v>none</v>
      </c>
      <c r="N464" s="2" t="str">
        <f aca="false">IFERROR(INDEX(MW_Check,MATCH(G464,MW_Key,0)),"")</f>
        <v>OK</v>
      </c>
      <c r="O464" s="0" t="str">
        <f aca="false">IF(NOT(ISNUMBER(H464)),"LABOR QUOTE NEEDED – total incomplete",IF(N464="BELOW FLOOR","CHECK: typical labor below wage floor – payout and customer labor raised to floor",IF(M464&lt;&gt;"none","Labor rate flagged: "&amp;M464,"OK")))</f>
        <v>OK</v>
      </c>
      <c r="P464" s="0" t="s">
        <v>1785</v>
      </c>
      <c r="Q464" s="8" t="s">
        <v>1786</v>
      </c>
      <c r="R464" s="2" t="str">
        <f aca="false">IF(OR(M464="regulated",COUNTIFS(Tasks_TaskID,A464,Tasks_Tier,D464,Tasks_Review,"base")&gt;0),"PENDING REVIEW – priced, not bookable until human approval",IF(COUNTIFS(Tasks_TaskID,A464,Tasks_Tier,D464,Tasks_Review,"as-needed")&gt;0,"Bookable (re-evaluate if regulated as-needed line selected)","Bookable"))</f>
        <v>Bookable (re-evaluate if regulated as-needed line selected)</v>
      </c>
    </row>
    <row r="465" customFormat="false" ht="17.15" hidden="false" customHeight="false" outlineLevel="0" collapsed="false">
      <c r="A465" s="2" t="s">
        <v>1782</v>
      </c>
      <c r="B465" s="2" t="s">
        <v>939</v>
      </c>
      <c r="C465" s="2" t="s">
        <v>1783</v>
      </c>
      <c r="D465" s="2" t="s">
        <v>1679</v>
      </c>
      <c r="E465" s="2" t="s">
        <v>1898</v>
      </c>
      <c r="F465" s="3" t="n">
        <f aca="false">INDEX(Sum_Base,MATCH(A465,Sum_BaseTasks,0),MATCH(D465,Sum_BaseTiers,0))</f>
        <v>469.95</v>
      </c>
      <c r="G465" s="2" t="str">
        <f aca="false">IF(ISNUMBER(MATCH(A465&amp;"|"&amp;D465,LR_Key,0)),A465&amp;"|"&amp;D465,A465&amp;"|All")</f>
        <v>FIXX-CLN-004|61–100 m²</v>
      </c>
      <c r="H465" s="3" t="n">
        <f aca="false">IFERROR(INDEX(LR_TypLabor,MATCH(G465,LR_Key,0)),"")</f>
        <v>3530.05</v>
      </c>
      <c r="I465" s="12" t="n">
        <f aca="false">INDEX(Urg_Mult,MATCH(E465,Urg_Levels,0))</f>
        <v>1.5</v>
      </c>
      <c r="J465" s="3" t="n">
        <f aca="false">IF(ISNUMBER(H465),MAX(H465,IFERROR(INDEX(MW_Floor,MATCH(G465,MW_Key,0)),0))*I465,"")</f>
        <v>5295.075</v>
      </c>
      <c r="K465" s="3" t="n">
        <f aca="false">IF(ISNUMBER(J465),F465+J465,"")</f>
        <v>5765.025</v>
      </c>
      <c r="L465" s="3" t="n">
        <f aca="false">IF(ISNUMBER(H465),MAX(H465,IFERROR(INDEX(MW_Floor,MATCH(G465,MW_Key,0)),0))*I465,"")</f>
        <v>5295.075</v>
      </c>
      <c r="M465" s="2" t="str">
        <f aca="false">IFERROR(INDEX(LR_Flag,MATCH(G465,LR_Key,0)),"")</f>
        <v>none</v>
      </c>
      <c r="N465" s="2" t="str">
        <f aca="false">IFERROR(INDEX(MW_Check,MATCH(G465,MW_Key,0)),"")</f>
        <v>OK</v>
      </c>
      <c r="O465" s="0" t="str">
        <f aca="false">IF(NOT(ISNUMBER(H465)),"LABOR QUOTE NEEDED – total incomplete",IF(N465="BELOW FLOOR","CHECK: typical labor below wage floor – payout and customer labor raised to floor",IF(M465&lt;&gt;"none","Labor rate flagged: "&amp;M465,"OK")))</f>
        <v>OK</v>
      </c>
      <c r="P465" s="0" t="s">
        <v>1785</v>
      </c>
      <c r="Q465" s="8" t="s">
        <v>1786</v>
      </c>
      <c r="R465" s="2" t="str">
        <f aca="false">IF(OR(M465="regulated",COUNTIFS(Tasks_TaskID,A465,Tasks_Tier,D465,Tasks_Review,"base")&gt;0),"PENDING REVIEW – priced, not bookable until human approval",IF(COUNTIFS(Tasks_TaskID,A465,Tasks_Tier,D465,Tasks_Review,"as-needed")&gt;0,"Bookable (re-evaluate if regulated as-needed line selected)","Bookable"))</f>
        <v>Bookable (re-evaluate if regulated as-needed line selected)</v>
      </c>
    </row>
    <row r="466" customFormat="false" ht="17.15" hidden="false" customHeight="false" outlineLevel="0" collapsed="false">
      <c r="A466" s="2" t="s">
        <v>1782</v>
      </c>
      <c r="B466" s="2" t="s">
        <v>939</v>
      </c>
      <c r="C466" s="2" t="s">
        <v>1783</v>
      </c>
      <c r="D466" s="2" t="s">
        <v>1691</v>
      </c>
      <c r="E466" s="2" t="s">
        <v>1895</v>
      </c>
      <c r="F466" s="3" t="n">
        <f aca="false">INDEX(Sum_Base,MATCH(A466,Sum_BaseTasks,0),MATCH(D466,Sum_BaseTiers,0))</f>
        <v>626.6</v>
      </c>
      <c r="G466" s="2" t="str">
        <f aca="false">IF(ISNUMBER(MATCH(A466&amp;"|"&amp;D466,LR_Key,0)),A466&amp;"|"&amp;D466,A466&amp;"|All")</f>
        <v>FIXX-CLN-004|101–150 m²</v>
      </c>
      <c r="H466" s="3" t="n">
        <f aca="false">IFERROR(INDEX(LR_TypLabor,MATCH(G466,LR_Key,0)),"")</f>
        <v>5373.4</v>
      </c>
      <c r="I466" s="12" t="n">
        <f aca="false">INDEX(Urg_Mult,MATCH(E466,Urg_Levels,0))</f>
        <v>1</v>
      </c>
      <c r="J466" s="3" t="n">
        <f aca="false">IF(ISNUMBER(H466),MAX(H466,IFERROR(INDEX(MW_Floor,MATCH(G466,MW_Key,0)),0))*I466,"")</f>
        <v>5373.4</v>
      </c>
      <c r="K466" s="3" t="n">
        <f aca="false">IF(ISNUMBER(J466),F466+J466,"")</f>
        <v>6000</v>
      </c>
      <c r="L466" s="3" t="n">
        <f aca="false">IF(ISNUMBER(H466),MAX(H466,IFERROR(INDEX(MW_Floor,MATCH(G466,MW_Key,0)),0))*I466,"")</f>
        <v>5373.4</v>
      </c>
      <c r="M466" s="2" t="str">
        <f aca="false">IFERROR(INDEX(LR_Flag,MATCH(G466,LR_Key,0)),"")</f>
        <v>none</v>
      </c>
      <c r="N466" s="2" t="str">
        <f aca="false">IFERROR(INDEX(MW_Check,MATCH(G466,MW_Key,0)),"")</f>
        <v>OK</v>
      </c>
      <c r="O466" s="0" t="str">
        <f aca="false">IF(NOT(ISNUMBER(H466)),"LABOR QUOTE NEEDED – total incomplete",IF(N466="BELOW FLOOR","CHECK: typical labor below wage floor – payout and customer labor raised to floor",IF(M466&lt;&gt;"none","Labor rate flagged: "&amp;M466,"OK")))</f>
        <v>OK</v>
      </c>
      <c r="P466" s="0" t="s">
        <v>1785</v>
      </c>
      <c r="Q466" s="8" t="s">
        <v>1786</v>
      </c>
      <c r="R466" s="2" t="str">
        <f aca="false">IF(OR(M466="regulated",COUNTIFS(Tasks_TaskID,A466,Tasks_Tier,D466,Tasks_Review,"base")&gt;0),"PENDING REVIEW – priced, not bookable until human approval",IF(COUNTIFS(Tasks_TaskID,A466,Tasks_Tier,D466,Tasks_Review,"as-needed")&gt;0,"Bookable (re-evaluate if regulated as-needed line selected)","Bookable"))</f>
        <v>Bookable (re-evaluate if regulated as-needed line selected)</v>
      </c>
    </row>
    <row r="467" customFormat="false" ht="17.15" hidden="false" customHeight="false" outlineLevel="0" collapsed="false">
      <c r="A467" s="2" t="s">
        <v>1782</v>
      </c>
      <c r="B467" s="2" t="s">
        <v>939</v>
      </c>
      <c r="C467" s="2" t="s">
        <v>1783</v>
      </c>
      <c r="D467" s="2" t="s">
        <v>1691</v>
      </c>
      <c r="E467" s="2" t="s">
        <v>1896</v>
      </c>
      <c r="F467" s="3" t="n">
        <f aca="false">INDEX(Sum_Base,MATCH(A467,Sum_BaseTasks,0),MATCH(D467,Sum_BaseTiers,0))</f>
        <v>626.6</v>
      </c>
      <c r="G467" s="2" t="str">
        <f aca="false">IF(ISNUMBER(MATCH(A467&amp;"|"&amp;D467,LR_Key,0)),A467&amp;"|"&amp;D467,A467&amp;"|All")</f>
        <v>FIXX-CLN-004|101–150 m²</v>
      </c>
      <c r="H467" s="3" t="n">
        <f aca="false">IFERROR(INDEX(LR_TypLabor,MATCH(G467,LR_Key,0)),"")</f>
        <v>5373.4</v>
      </c>
      <c r="I467" s="12" t="n">
        <f aca="false">INDEX(Urg_Mult,MATCH(E467,Urg_Levels,0))</f>
        <v>1.15</v>
      </c>
      <c r="J467" s="3" t="n">
        <f aca="false">IF(ISNUMBER(H467),MAX(H467,IFERROR(INDEX(MW_Floor,MATCH(G467,MW_Key,0)),0))*I467,"")</f>
        <v>6179.41</v>
      </c>
      <c r="K467" s="3" t="n">
        <f aca="false">IF(ISNUMBER(J467),F467+J467,"")</f>
        <v>6806.01</v>
      </c>
      <c r="L467" s="3" t="n">
        <f aca="false">IF(ISNUMBER(H467),MAX(H467,IFERROR(INDEX(MW_Floor,MATCH(G467,MW_Key,0)),0))*I467,"")</f>
        <v>6179.41</v>
      </c>
      <c r="M467" s="2" t="str">
        <f aca="false">IFERROR(INDEX(LR_Flag,MATCH(G467,LR_Key,0)),"")</f>
        <v>none</v>
      </c>
      <c r="N467" s="2" t="str">
        <f aca="false">IFERROR(INDEX(MW_Check,MATCH(G467,MW_Key,0)),"")</f>
        <v>OK</v>
      </c>
      <c r="O467" s="0" t="str">
        <f aca="false">IF(NOT(ISNUMBER(H467)),"LABOR QUOTE NEEDED – total incomplete",IF(N467="BELOW FLOOR","CHECK: typical labor below wage floor – payout and customer labor raised to floor",IF(M467&lt;&gt;"none","Labor rate flagged: "&amp;M467,"OK")))</f>
        <v>OK</v>
      </c>
      <c r="P467" s="0" t="s">
        <v>1785</v>
      </c>
      <c r="Q467" s="8" t="s">
        <v>1786</v>
      </c>
      <c r="R467" s="2" t="str">
        <f aca="false">IF(OR(M467="regulated",COUNTIFS(Tasks_TaskID,A467,Tasks_Tier,D467,Tasks_Review,"base")&gt;0),"PENDING REVIEW – priced, not bookable until human approval",IF(COUNTIFS(Tasks_TaskID,A467,Tasks_Tier,D467,Tasks_Review,"as-needed")&gt;0,"Bookable (re-evaluate if regulated as-needed line selected)","Bookable"))</f>
        <v>Bookable (re-evaluate if regulated as-needed line selected)</v>
      </c>
    </row>
    <row r="468" customFormat="false" ht="17.15" hidden="false" customHeight="false" outlineLevel="0" collapsed="false">
      <c r="A468" s="2" t="s">
        <v>1782</v>
      </c>
      <c r="B468" s="2" t="s">
        <v>939</v>
      </c>
      <c r="C468" s="2" t="s">
        <v>1783</v>
      </c>
      <c r="D468" s="2" t="s">
        <v>1691</v>
      </c>
      <c r="E468" s="2" t="s">
        <v>1897</v>
      </c>
      <c r="F468" s="3" t="n">
        <f aca="false">INDEX(Sum_Base,MATCH(A468,Sum_BaseTasks,0),MATCH(D468,Sum_BaseTiers,0))</f>
        <v>626.6</v>
      </c>
      <c r="G468" s="2" t="str">
        <f aca="false">IF(ISNUMBER(MATCH(A468&amp;"|"&amp;D468,LR_Key,0)),A468&amp;"|"&amp;D468,A468&amp;"|All")</f>
        <v>FIXX-CLN-004|101–150 m²</v>
      </c>
      <c r="H468" s="3" t="n">
        <f aca="false">IFERROR(INDEX(LR_TypLabor,MATCH(G468,LR_Key,0)),"")</f>
        <v>5373.4</v>
      </c>
      <c r="I468" s="12" t="n">
        <f aca="false">INDEX(Urg_Mult,MATCH(E468,Urg_Levels,0))</f>
        <v>1.3</v>
      </c>
      <c r="J468" s="3" t="n">
        <f aca="false">IF(ISNUMBER(H468),MAX(H468,IFERROR(INDEX(MW_Floor,MATCH(G468,MW_Key,0)),0))*I468,"")</f>
        <v>6985.42</v>
      </c>
      <c r="K468" s="3" t="n">
        <f aca="false">IF(ISNUMBER(J468),F468+J468,"")</f>
        <v>7612.02</v>
      </c>
      <c r="L468" s="3" t="n">
        <f aca="false">IF(ISNUMBER(H468),MAX(H468,IFERROR(INDEX(MW_Floor,MATCH(G468,MW_Key,0)),0))*I468,"")</f>
        <v>6985.42</v>
      </c>
      <c r="M468" s="2" t="str">
        <f aca="false">IFERROR(INDEX(LR_Flag,MATCH(G468,LR_Key,0)),"")</f>
        <v>none</v>
      </c>
      <c r="N468" s="2" t="str">
        <f aca="false">IFERROR(INDEX(MW_Check,MATCH(G468,MW_Key,0)),"")</f>
        <v>OK</v>
      </c>
      <c r="O468" s="0" t="str">
        <f aca="false">IF(NOT(ISNUMBER(H468)),"LABOR QUOTE NEEDED – total incomplete",IF(N468="BELOW FLOOR","CHECK: typical labor below wage floor – payout and customer labor raised to floor",IF(M468&lt;&gt;"none","Labor rate flagged: "&amp;M468,"OK")))</f>
        <v>OK</v>
      </c>
      <c r="P468" s="0" t="s">
        <v>1785</v>
      </c>
      <c r="Q468" s="8" t="s">
        <v>1786</v>
      </c>
      <c r="R468" s="2" t="str">
        <f aca="false">IF(OR(M468="regulated",COUNTIFS(Tasks_TaskID,A468,Tasks_Tier,D468,Tasks_Review,"base")&gt;0),"PENDING REVIEW – priced, not bookable until human approval",IF(COUNTIFS(Tasks_TaskID,A468,Tasks_Tier,D468,Tasks_Review,"as-needed")&gt;0,"Bookable (re-evaluate if regulated as-needed line selected)","Bookable"))</f>
        <v>Bookable (re-evaluate if regulated as-needed line selected)</v>
      </c>
    </row>
    <row r="469" customFormat="false" ht="17.15" hidden="false" customHeight="false" outlineLevel="0" collapsed="false">
      <c r="A469" s="2" t="s">
        <v>1782</v>
      </c>
      <c r="B469" s="2" t="s">
        <v>939</v>
      </c>
      <c r="C469" s="2" t="s">
        <v>1783</v>
      </c>
      <c r="D469" s="2" t="s">
        <v>1691</v>
      </c>
      <c r="E469" s="2" t="s">
        <v>1898</v>
      </c>
      <c r="F469" s="3" t="n">
        <f aca="false">INDEX(Sum_Base,MATCH(A469,Sum_BaseTasks,0),MATCH(D469,Sum_BaseTiers,0))</f>
        <v>626.6</v>
      </c>
      <c r="G469" s="2" t="str">
        <f aca="false">IF(ISNUMBER(MATCH(A469&amp;"|"&amp;D469,LR_Key,0)),A469&amp;"|"&amp;D469,A469&amp;"|All")</f>
        <v>FIXX-CLN-004|101–150 m²</v>
      </c>
      <c r="H469" s="3" t="n">
        <f aca="false">IFERROR(INDEX(LR_TypLabor,MATCH(G469,LR_Key,0)),"")</f>
        <v>5373.4</v>
      </c>
      <c r="I469" s="12" t="n">
        <f aca="false">INDEX(Urg_Mult,MATCH(E469,Urg_Levels,0))</f>
        <v>1.5</v>
      </c>
      <c r="J469" s="3" t="n">
        <f aca="false">IF(ISNUMBER(H469),MAX(H469,IFERROR(INDEX(MW_Floor,MATCH(G469,MW_Key,0)),0))*I469,"")</f>
        <v>8060.1</v>
      </c>
      <c r="K469" s="3" t="n">
        <f aca="false">IF(ISNUMBER(J469),F469+J469,"")</f>
        <v>8686.7</v>
      </c>
      <c r="L469" s="3" t="n">
        <f aca="false">IF(ISNUMBER(H469),MAX(H469,IFERROR(INDEX(MW_Floor,MATCH(G469,MW_Key,0)),0))*I469,"")</f>
        <v>8060.1</v>
      </c>
      <c r="M469" s="2" t="str">
        <f aca="false">IFERROR(INDEX(LR_Flag,MATCH(G469,LR_Key,0)),"")</f>
        <v>none</v>
      </c>
      <c r="N469" s="2" t="str">
        <f aca="false">IFERROR(INDEX(MW_Check,MATCH(G469,MW_Key,0)),"")</f>
        <v>OK</v>
      </c>
      <c r="O469" s="0" t="str">
        <f aca="false">IF(NOT(ISNUMBER(H469)),"LABOR QUOTE NEEDED – total incomplete",IF(N469="BELOW FLOOR","CHECK: typical labor below wage floor – payout and customer labor raised to floor",IF(M469&lt;&gt;"none","Labor rate flagged: "&amp;M469,"OK")))</f>
        <v>OK</v>
      </c>
      <c r="P469" s="0" t="s">
        <v>1785</v>
      </c>
      <c r="Q469" s="8" t="s">
        <v>1786</v>
      </c>
      <c r="R469" s="2" t="str">
        <f aca="false">IF(OR(M469="regulated",COUNTIFS(Tasks_TaskID,A469,Tasks_Tier,D469,Tasks_Review,"base")&gt;0),"PENDING REVIEW – priced, not bookable until human approval",IF(COUNTIFS(Tasks_TaskID,A469,Tasks_Tier,D469,Tasks_Review,"as-needed")&gt;0,"Bookable (re-evaluate if regulated as-needed line selected)","Bookable"))</f>
        <v>Bookable (re-evaluate if regulated as-needed line selected)</v>
      </c>
    </row>
    <row r="470" customFormat="false" ht="17.15" hidden="false" customHeight="false" outlineLevel="0" collapsed="false">
      <c r="A470" s="2" t="s">
        <v>1810</v>
      </c>
      <c r="B470" s="2" t="s">
        <v>939</v>
      </c>
      <c r="C470" s="2" t="s">
        <v>1811</v>
      </c>
      <c r="D470" s="2" t="s">
        <v>1042</v>
      </c>
      <c r="E470" s="2" t="s">
        <v>1895</v>
      </c>
      <c r="F470" s="3" t="n">
        <f aca="false">INDEX(Sum_Base,MATCH(A470,Sum_BaseTasks,0),MATCH(D470,Sum_BaseTiers,0))</f>
        <v>35.9625</v>
      </c>
      <c r="G470" s="2" t="str">
        <f aca="false">IF(ISNUMBER(MATCH(A470&amp;"|"&amp;D470,LR_Key,0)),A470&amp;"|"&amp;D470,A470&amp;"|All")</f>
        <v>FIXX-CLN-005|All</v>
      </c>
      <c r="H470" s="3" t="n">
        <f aca="false">IFERROR(INDEX(LR_TypLabor,MATCH(G470,LR_Key,0)),"")</f>
        <v>750</v>
      </c>
      <c r="I470" s="12" t="n">
        <f aca="false">INDEX(Urg_Mult,MATCH(E470,Urg_Levels,0))</f>
        <v>1</v>
      </c>
      <c r="J470" s="3" t="n">
        <f aca="false">IF(ISNUMBER(H470),MAX(H470,IFERROR(INDEX(MW_Floor,MATCH(G470,MW_Key,0)),0))*I470,"")</f>
        <v>750</v>
      </c>
      <c r="K470" s="3" t="n">
        <f aca="false">IF(ISNUMBER(J470),F470+J470,"")</f>
        <v>785.9625</v>
      </c>
      <c r="L470" s="3" t="n">
        <f aca="false">IF(ISNUMBER(H470),MAX(H470,IFERROR(INDEX(MW_Floor,MATCH(G470,MW_Key,0)),0))*I470,"")</f>
        <v>750</v>
      </c>
      <c r="M470" s="2" t="str">
        <f aca="false">IFERROR(INDEX(LR_Flag,MATCH(G470,LR_Key,0)),"")</f>
        <v>none</v>
      </c>
      <c r="N470" s="2" t="str">
        <f aca="false">IFERROR(INDEX(MW_Check,MATCH(G470,MW_Key,0)),"")</f>
        <v>OK</v>
      </c>
      <c r="O470" s="0" t="str">
        <f aca="false">IF(NOT(ISNUMBER(H470)),"LABOR QUOTE NEEDED – total incomplete",IF(N470="BELOW FLOOR","CHECK: typical labor below wage floor – payout and customer labor raised to floor",IF(M470&lt;&gt;"none","Labor rate flagged: "&amp;M470,"OK")))</f>
        <v>OK</v>
      </c>
      <c r="P470" s="0" t="s">
        <v>1814</v>
      </c>
      <c r="Q470" s="8" t="s">
        <v>1815</v>
      </c>
      <c r="R470" s="2" t="str">
        <f aca="false">IF(OR(M470="regulated",COUNTIFS(Tasks_TaskID,A470,Tasks_Tier,D470,Tasks_Review,"base")&gt;0),"PENDING REVIEW – priced, not bookable until human approval",IF(COUNTIFS(Tasks_TaskID,A470,Tasks_Tier,D470,Tasks_Review,"as-needed")&gt;0,"Bookable (re-evaluate if regulated as-needed line selected)","Bookable"))</f>
        <v>Bookable</v>
      </c>
    </row>
    <row r="471" customFormat="false" ht="17.15" hidden="false" customHeight="false" outlineLevel="0" collapsed="false">
      <c r="A471" s="2" t="s">
        <v>1810</v>
      </c>
      <c r="B471" s="2" t="s">
        <v>939</v>
      </c>
      <c r="C471" s="2" t="s">
        <v>1811</v>
      </c>
      <c r="D471" s="2" t="s">
        <v>1042</v>
      </c>
      <c r="E471" s="2" t="s">
        <v>1896</v>
      </c>
      <c r="F471" s="3" t="n">
        <f aca="false">INDEX(Sum_Base,MATCH(A471,Sum_BaseTasks,0),MATCH(D471,Sum_BaseTiers,0))</f>
        <v>35.9625</v>
      </c>
      <c r="G471" s="2" t="str">
        <f aca="false">IF(ISNUMBER(MATCH(A471&amp;"|"&amp;D471,LR_Key,0)),A471&amp;"|"&amp;D471,A471&amp;"|All")</f>
        <v>FIXX-CLN-005|All</v>
      </c>
      <c r="H471" s="3" t="n">
        <f aca="false">IFERROR(INDEX(LR_TypLabor,MATCH(G471,LR_Key,0)),"")</f>
        <v>750</v>
      </c>
      <c r="I471" s="12" t="n">
        <f aca="false">INDEX(Urg_Mult,MATCH(E471,Urg_Levels,0))</f>
        <v>1.15</v>
      </c>
      <c r="J471" s="3" t="n">
        <f aca="false">IF(ISNUMBER(H471),MAX(H471,IFERROR(INDEX(MW_Floor,MATCH(G471,MW_Key,0)),0))*I471,"")</f>
        <v>862.5</v>
      </c>
      <c r="K471" s="3" t="n">
        <f aca="false">IF(ISNUMBER(J471),F471+J471,"")</f>
        <v>898.4625</v>
      </c>
      <c r="L471" s="3" t="n">
        <f aca="false">IF(ISNUMBER(H471),MAX(H471,IFERROR(INDEX(MW_Floor,MATCH(G471,MW_Key,0)),0))*I471,"")</f>
        <v>862.5</v>
      </c>
      <c r="M471" s="2" t="str">
        <f aca="false">IFERROR(INDEX(LR_Flag,MATCH(G471,LR_Key,0)),"")</f>
        <v>none</v>
      </c>
      <c r="N471" s="2" t="str">
        <f aca="false">IFERROR(INDEX(MW_Check,MATCH(G471,MW_Key,0)),"")</f>
        <v>OK</v>
      </c>
      <c r="O471" s="0" t="str">
        <f aca="false">IF(NOT(ISNUMBER(H471)),"LABOR QUOTE NEEDED – total incomplete",IF(N471="BELOW FLOOR","CHECK: typical labor below wage floor – payout and customer labor raised to floor",IF(M471&lt;&gt;"none","Labor rate flagged: "&amp;M471,"OK")))</f>
        <v>OK</v>
      </c>
      <c r="P471" s="0" t="s">
        <v>1814</v>
      </c>
      <c r="Q471" s="8" t="s">
        <v>1815</v>
      </c>
      <c r="R471" s="2" t="str">
        <f aca="false">IF(OR(M471="regulated",COUNTIFS(Tasks_TaskID,A471,Tasks_Tier,D471,Tasks_Review,"base")&gt;0),"PENDING REVIEW – priced, not bookable until human approval",IF(COUNTIFS(Tasks_TaskID,A471,Tasks_Tier,D471,Tasks_Review,"as-needed")&gt;0,"Bookable (re-evaluate if regulated as-needed line selected)","Bookable"))</f>
        <v>Bookable</v>
      </c>
    </row>
    <row r="472" customFormat="false" ht="17.15" hidden="false" customHeight="false" outlineLevel="0" collapsed="false">
      <c r="A472" s="2" t="s">
        <v>1810</v>
      </c>
      <c r="B472" s="2" t="s">
        <v>939</v>
      </c>
      <c r="C472" s="2" t="s">
        <v>1811</v>
      </c>
      <c r="D472" s="2" t="s">
        <v>1042</v>
      </c>
      <c r="E472" s="2" t="s">
        <v>1897</v>
      </c>
      <c r="F472" s="3" t="n">
        <f aca="false">INDEX(Sum_Base,MATCH(A472,Sum_BaseTasks,0),MATCH(D472,Sum_BaseTiers,0))</f>
        <v>35.9625</v>
      </c>
      <c r="G472" s="2" t="str">
        <f aca="false">IF(ISNUMBER(MATCH(A472&amp;"|"&amp;D472,LR_Key,0)),A472&amp;"|"&amp;D472,A472&amp;"|All")</f>
        <v>FIXX-CLN-005|All</v>
      </c>
      <c r="H472" s="3" t="n">
        <f aca="false">IFERROR(INDEX(LR_TypLabor,MATCH(G472,LR_Key,0)),"")</f>
        <v>750</v>
      </c>
      <c r="I472" s="12" t="n">
        <f aca="false">INDEX(Urg_Mult,MATCH(E472,Urg_Levels,0))</f>
        <v>1.3</v>
      </c>
      <c r="J472" s="3" t="n">
        <f aca="false">IF(ISNUMBER(H472),MAX(H472,IFERROR(INDEX(MW_Floor,MATCH(G472,MW_Key,0)),0))*I472,"")</f>
        <v>975</v>
      </c>
      <c r="K472" s="3" t="n">
        <f aca="false">IF(ISNUMBER(J472),F472+J472,"")</f>
        <v>1010.9625</v>
      </c>
      <c r="L472" s="3" t="n">
        <f aca="false">IF(ISNUMBER(H472),MAX(H472,IFERROR(INDEX(MW_Floor,MATCH(G472,MW_Key,0)),0))*I472,"")</f>
        <v>975</v>
      </c>
      <c r="M472" s="2" t="str">
        <f aca="false">IFERROR(INDEX(LR_Flag,MATCH(G472,LR_Key,0)),"")</f>
        <v>none</v>
      </c>
      <c r="N472" s="2" t="str">
        <f aca="false">IFERROR(INDEX(MW_Check,MATCH(G472,MW_Key,0)),"")</f>
        <v>OK</v>
      </c>
      <c r="O472" s="0" t="str">
        <f aca="false">IF(NOT(ISNUMBER(H472)),"LABOR QUOTE NEEDED – total incomplete",IF(N472="BELOW FLOOR","CHECK: typical labor below wage floor – payout and customer labor raised to floor",IF(M472&lt;&gt;"none","Labor rate flagged: "&amp;M472,"OK")))</f>
        <v>OK</v>
      </c>
      <c r="P472" s="0" t="s">
        <v>1814</v>
      </c>
      <c r="Q472" s="8" t="s">
        <v>1815</v>
      </c>
      <c r="R472" s="2" t="str">
        <f aca="false">IF(OR(M472="regulated",COUNTIFS(Tasks_TaskID,A472,Tasks_Tier,D472,Tasks_Review,"base")&gt;0),"PENDING REVIEW – priced, not bookable until human approval",IF(COUNTIFS(Tasks_TaskID,A472,Tasks_Tier,D472,Tasks_Review,"as-needed")&gt;0,"Bookable (re-evaluate if regulated as-needed line selected)","Bookable"))</f>
        <v>Bookable</v>
      </c>
    </row>
    <row r="473" customFormat="false" ht="17.15" hidden="false" customHeight="false" outlineLevel="0" collapsed="false">
      <c r="A473" s="2" t="s">
        <v>1810</v>
      </c>
      <c r="B473" s="2" t="s">
        <v>939</v>
      </c>
      <c r="C473" s="2" t="s">
        <v>1811</v>
      </c>
      <c r="D473" s="2" t="s">
        <v>1042</v>
      </c>
      <c r="E473" s="2" t="s">
        <v>1898</v>
      </c>
      <c r="F473" s="3" t="n">
        <f aca="false">INDEX(Sum_Base,MATCH(A473,Sum_BaseTasks,0),MATCH(D473,Sum_BaseTiers,0))</f>
        <v>35.9625</v>
      </c>
      <c r="G473" s="2" t="str">
        <f aca="false">IF(ISNUMBER(MATCH(A473&amp;"|"&amp;D473,LR_Key,0)),A473&amp;"|"&amp;D473,A473&amp;"|All")</f>
        <v>FIXX-CLN-005|All</v>
      </c>
      <c r="H473" s="3" t="n">
        <f aca="false">IFERROR(INDEX(LR_TypLabor,MATCH(G473,LR_Key,0)),"")</f>
        <v>750</v>
      </c>
      <c r="I473" s="12" t="n">
        <f aca="false">INDEX(Urg_Mult,MATCH(E473,Urg_Levels,0))</f>
        <v>1.5</v>
      </c>
      <c r="J473" s="3" t="n">
        <f aca="false">IF(ISNUMBER(H473),MAX(H473,IFERROR(INDEX(MW_Floor,MATCH(G473,MW_Key,0)),0))*I473,"")</f>
        <v>1125</v>
      </c>
      <c r="K473" s="3" t="n">
        <f aca="false">IF(ISNUMBER(J473),F473+J473,"")</f>
        <v>1160.9625</v>
      </c>
      <c r="L473" s="3" t="n">
        <f aca="false">IF(ISNUMBER(H473),MAX(H473,IFERROR(INDEX(MW_Floor,MATCH(G473,MW_Key,0)),0))*I473,"")</f>
        <v>1125</v>
      </c>
      <c r="M473" s="2" t="str">
        <f aca="false">IFERROR(INDEX(LR_Flag,MATCH(G473,LR_Key,0)),"")</f>
        <v>none</v>
      </c>
      <c r="N473" s="2" t="str">
        <f aca="false">IFERROR(INDEX(MW_Check,MATCH(G473,MW_Key,0)),"")</f>
        <v>OK</v>
      </c>
      <c r="O473" s="0" t="str">
        <f aca="false">IF(NOT(ISNUMBER(H473)),"LABOR QUOTE NEEDED – total incomplete",IF(N473="BELOW FLOOR","CHECK: typical labor below wage floor – payout and customer labor raised to floor",IF(M473&lt;&gt;"none","Labor rate flagged: "&amp;M473,"OK")))</f>
        <v>OK</v>
      </c>
      <c r="P473" s="0" t="s">
        <v>1814</v>
      </c>
      <c r="Q473" s="8" t="s">
        <v>1815</v>
      </c>
      <c r="R473" s="2" t="str">
        <f aca="false">IF(OR(M473="regulated",COUNTIFS(Tasks_TaskID,A473,Tasks_Tier,D473,Tasks_Review,"base")&gt;0),"PENDING REVIEW – priced, not bookable until human approval",IF(COUNTIFS(Tasks_TaskID,A473,Tasks_Tier,D473,Tasks_Review,"as-needed")&gt;0,"Bookable (re-evaluate if regulated as-needed line selected)","Bookable"))</f>
        <v>Bookable</v>
      </c>
    </row>
    <row r="474" customFormat="false" ht="17.15" hidden="false" customHeight="false" outlineLevel="0" collapsed="false">
      <c r="A474" s="2" t="s">
        <v>1810</v>
      </c>
      <c r="B474" s="2" t="s">
        <v>939</v>
      </c>
      <c r="C474" s="2" t="s">
        <v>1811</v>
      </c>
      <c r="D474" s="2" t="s">
        <v>1049</v>
      </c>
      <c r="E474" s="2" t="s">
        <v>1895</v>
      </c>
      <c r="F474" s="3" t="n">
        <f aca="false">INDEX(Sum_Base,MATCH(A474,Sum_BaseTasks,0),MATCH(D474,Sum_BaseTiers,0))</f>
        <v>88.9375</v>
      </c>
      <c r="G474" s="2" t="str">
        <f aca="false">IF(ISNUMBER(MATCH(A474&amp;"|"&amp;D474,LR_Key,0)),A474&amp;"|"&amp;D474,A474&amp;"|All")</f>
        <v>FIXX-CLN-005|All</v>
      </c>
      <c r="H474" s="3" t="n">
        <f aca="false">IFERROR(INDEX(LR_TypLabor,MATCH(G474,LR_Key,0)),"")</f>
        <v>750</v>
      </c>
      <c r="I474" s="12" t="n">
        <f aca="false">INDEX(Urg_Mult,MATCH(E474,Urg_Levels,0))</f>
        <v>1</v>
      </c>
      <c r="J474" s="3" t="n">
        <f aca="false">IF(ISNUMBER(H474),MAX(H474,IFERROR(INDEX(MW_Floor,MATCH(G474,MW_Key,0)),0))*I474,"")</f>
        <v>750</v>
      </c>
      <c r="K474" s="3" t="n">
        <f aca="false">IF(ISNUMBER(J474),F474+J474,"")</f>
        <v>838.9375</v>
      </c>
      <c r="L474" s="3" t="n">
        <f aca="false">IF(ISNUMBER(H474),MAX(H474,IFERROR(INDEX(MW_Floor,MATCH(G474,MW_Key,0)),0))*I474,"")</f>
        <v>750</v>
      </c>
      <c r="M474" s="2" t="str">
        <f aca="false">IFERROR(INDEX(LR_Flag,MATCH(G474,LR_Key,0)),"")</f>
        <v>none</v>
      </c>
      <c r="N474" s="2" t="str">
        <f aca="false">IFERROR(INDEX(MW_Check,MATCH(G474,MW_Key,0)),"")</f>
        <v>OK</v>
      </c>
      <c r="O474" s="0" t="str">
        <f aca="false">IF(NOT(ISNUMBER(H474)),"LABOR QUOTE NEEDED – total incomplete",IF(N474="BELOW FLOOR","CHECK: typical labor below wage floor – payout and customer labor raised to floor",IF(M474&lt;&gt;"none","Labor rate flagged: "&amp;M474,"OK")))</f>
        <v>OK</v>
      </c>
      <c r="P474" s="0" t="s">
        <v>1814</v>
      </c>
      <c r="Q474" s="8" t="s">
        <v>1815</v>
      </c>
      <c r="R474" s="2" t="str">
        <f aca="false">IF(OR(M474="regulated",COUNTIFS(Tasks_TaskID,A474,Tasks_Tier,D474,Tasks_Review,"base")&gt;0),"PENDING REVIEW – priced, not bookable until human approval",IF(COUNTIFS(Tasks_TaskID,A474,Tasks_Tier,D474,Tasks_Review,"as-needed")&gt;0,"Bookable (re-evaluate if regulated as-needed line selected)","Bookable"))</f>
        <v>Bookable</v>
      </c>
    </row>
    <row r="475" customFormat="false" ht="17.15" hidden="false" customHeight="false" outlineLevel="0" collapsed="false">
      <c r="A475" s="2" t="s">
        <v>1810</v>
      </c>
      <c r="B475" s="2" t="s">
        <v>939</v>
      </c>
      <c r="C475" s="2" t="s">
        <v>1811</v>
      </c>
      <c r="D475" s="2" t="s">
        <v>1049</v>
      </c>
      <c r="E475" s="2" t="s">
        <v>1896</v>
      </c>
      <c r="F475" s="3" t="n">
        <f aca="false">INDEX(Sum_Base,MATCH(A475,Sum_BaseTasks,0),MATCH(D475,Sum_BaseTiers,0))</f>
        <v>88.9375</v>
      </c>
      <c r="G475" s="2" t="str">
        <f aca="false">IF(ISNUMBER(MATCH(A475&amp;"|"&amp;D475,LR_Key,0)),A475&amp;"|"&amp;D475,A475&amp;"|All")</f>
        <v>FIXX-CLN-005|All</v>
      </c>
      <c r="H475" s="3" t="n">
        <f aca="false">IFERROR(INDEX(LR_TypLabor,MATCH(G475,LR_Key,0)),"")</f>
        <v>750</v>
      </c>
      <c r="I475" s="12" t="n">
        <f aca="false">INDEX(Urg_Mult,MATCH(E475,Urg_Levels,0))</f>
        <v>1.15</v>
      </c>
      <c r="J475" s="3" t="n">
        <f aca="false">IF(ISNUMBER(H475),MAX(H475,IFERROR(INDEX(MW_Floor,MATCH(G475,MW_Key,0)),0))*I475,"")</f>
        <v>862.5</v>
      </c>
      <c r="K475" s="3" t="n">
        <f aca="false">IF(ISNUMBER(J475),F475+J475,"")</f>
        <v>951.4375</v>
      </c>
      <c r="L475" s="3" t="n">
        <f aca="false">IF(ISNUMBER(H475),MAX(H475,IFERROR(INDEX(MW_Floor,MATCH(G475,MW_Key,0)),0))*I475,"")</f>
        <v>862.5</v>
      </c>
      <c r="M475" s="2" t="str">
        <f aca="false">IFERROR(INDEX(LR_Flag,MATCH(G475,LR_Key,0)),"")</f>
        <v>none</v>
      </c>
      <c r="N475" s="2" t="str">
        <f aca="false">IFERROR(INDEX(MW_Check,MATCH(G475,MW_Key,0)),"")</f>
        <v>OK</v>
      </c>
      <c r="O475" s="0" t="str">
        <f aca="false">IF(NOT(ISNUMBER(H475)),"LABOR QUOTE NEEDED – total incomplete",IF(N475="BELOW FLOOR","CHECK: typical labor below wage floor – payout and customer labor raised to floor",IF(M475&lt;&gt;"none","Labor rate flagged: "&amp;M475,"OK")))</f>
        <v>OK</v>
      </c>
      <c r="P475" s="0" t="s">
        <v>1814</v>
      </c>
      <c r="Q475" s="8" t="s">
        <v>1815</v>
      </c>
      <c r="R475" s="2" t="str">
        <f aca="false">IF(OR(M475="regulated",COUNTIFS(Tasks_TaskID,A475,Tasks_Tier,D475,Tasks_Review,"base")&gt;0),"PENDING REVIEW – priced, not bookable until human approval",IF(COUNTIFS(Tasks_TaskID,A475,Tasks_Tier,D475,Tasks_Review,"as-needed")&gt;0,"Bookable (re-evaluate if regulated as-needed line selected)","Bookable"))</f>
        <v>Bookable</v>
      </c>
    </row>
    <row r="476" customFormat="false" ht="17.15" hidden="false" customHeight="false" outlineLevel="0" collapsed="false">
      <c r="A476" s="2" t="s">
        <v>1810</v>
      </c>
      <c r="B476" s="2" t="s">
        <v>939</v>
      </c>
      <c r="C476" s="2" t="s">
        <v>1811</v>
      </c>
      <c r="D476" s="2" t="s">
        <v>1049</v>
      </c>
      <c r="E476" s="2" t="s">
        <v>1897</v>
      </c>
      <c r="F476" s="3" t="n">
        <f aca="false">INDEX(Sum_Base,MATCH(A476,Sum_BaseTasks,0),MATCH(D476,Sum_BaseTiers,0))</f>
        <v>88.9375</v>
      </c>
      <c r="G476" s="2" t="str">
        <f aca="false">IF(ISNUMBER(MATCH(A476&amp;"|"&amp;D476,LR_Key,0)),A476&amp;"|"&amp;D476,A476&amp;"|All")</f>
        <v>FIXX-CLN-005|All</v>
      </c>
      <c r="H476" s="3" t="n">
        <f aca="false">IFERROR(INDEX(LR_TypLabor,MATCH(G476,LR_Key,0)),"")</f>
        <v>750</v>
      </c>
      <c r="I476" s="12" t="n">
        <f aca="false">INDEX(Urg_Mult,MATCH(E476,Urg_Levels,0))</f>
        <v>1.3</v>
      </c>
      <c r="J476" s="3" t="n">
        <f aca="false">IF(ISNUMBER(H476),MAX(H476,IFERROR(INDEX(MW_Floor,MATCH(G476,MW_Key,0)),0))*I476,"")</f>
        <v>975</v>
      </c>
      <c r="K476" s="3" t="n">
        <f aca="false">IF(ISNUMBER(J476),F476+J476,"")</f>
        <v>1063.9375</v>
      </c>
      <c r="L476" s="3" t="n">
        <f aca="false">IF(ISNUMBER(H476),MAX(H476,IFERROR(INDEX(MW_Floor,MATCH(G476,MW_Key,0)),0))*I476,"")</f>
        <v>975</v>
      </c>
      <c r="M476" s="2" t="str">
        <f aca="false">IFERROR(INDEX(LR_Flag,MATCH(G476,LR_Key,0)),"")</f>
        <v>none</v>
      </c>
      <c r="N476" s="2" t="str">
        <f aca="false">IFERROR(INDEX(MW_Check,MATCH(G476,MW_Key,0)),"")</f>
        <v>OK</v>
      </c>
      <c r="O476" s="0" t="str">
        <f aca="false">IF(NOT(ISNUMBER(H476)),"LABOR QUOTE NEEDED – total incomplete",IF(N476="BELOW FLOOR","CHECK: typical labor below wage floor – payout and customer labor raised to floor",IF(M476&lt;&gt;"none","Labor rate flagged: "&amp;M476,"OK")))</f>
        <v>OK</v>
      </c>
      <c r="P476" s="0" t="s">
        <v>1814</v>
      </c>
      <c r="Q476" s="8" t="s">
        <v>1815</v>
      </c>
      <c r="R476" s="2" t="str">
        <f aca="false">IF(OR(M476="regulated",COUNTIFS(Tasks_TaskID,A476,Tasks_Tier,D476,Tasks_Review,"base")&gt;0),"PENDING REVIEW – priced, not bookable until human approval",IF(COUNTIFS(Tasks_TaskID,A476,Tasks_Tier,D476,Tasks_Review,"as-needed")&gt;0,"Bookable (re-evaluate if regulated as-needed line selected)","Bookable"))</f>
        <v>Bookable</v>
      </c>
    </row>
    <row r="477" customFormat="false" ht="17.15" hidden="false" customHeight="false" outlineLevel="0" collapsed="false">
      <c r="A477" s="2" t="s">
        <v>1810</v>
      </c>
      <c r="B477" s="2" t="s">
        <v>939</v>
      </c>
      <c r="C477" s="2" t="s">
        <v>1811</v>
      </c>
      <c r="D477" s="2" t="s">
        <v>1049</v>
      </c>
      <c r="E477" s="2" t="s">
        <v>1898</v>
      </c>
      <c r="F477" s="3" t="n">
        <f aca="false">INDEX(Sum_Base,MATCH(A477,Sum_BaseTasks,0),MATCH(D477,Sum_BaseTiers,0))</f>
        <v>88.9375</v>
      </c>
      <c r="G477" s="2" t="str">
        <f aca="false">IF(ISNUMBER(MATCH(A477&amp;"|"&amp;D477,LR_Key,0)),A477&amp;"|"&amp;D477,A477&amp;"|All")</f>
        <v>FIXX-CLN-005|All</v>
      </c>
      <c r="H477" s="3" t="n">
        <f aca="false">IFERROR(INDEX(LR_TypLabor,MATCH(G477,LR_Key,0)),"")</f>
        <v>750</v>
      </c>
      <c r="I477" s="12" t="n">
        <f aca="false">INDEX(Urg_Mult,MATCH(E477,Urg_Levels,0))</f>
        <v>1.5</v>
      </c>
      <c r="J477" s="3" t="n">
        <f aca="false">IF(ISNUMBER(H477),MAX(H477,IFERROR(INDEX(MW_Floor,MATCH(G477,MW_Key,0)),0))*I477,"")</f>
        <v>1125</v>
      </c>
      <c r="K477" s="3" t="n">
        <f aca="false">IF(ISNUMBER(J477),F477+J477,"")</f>
        <v>1213.9375</v>
      </c>
      <c r="L477" s="3" t="n">
        <f aca="false">IF(ISNUMBER(H477),MAX(H477,IFERROR(INDEX(MW_Floor,MATCH(G477,MW_Key,0)),0))*I477,"")</f>
        <v>1125</v>
      </c>
      <c r="M477" s="2" t="str">
        <f aca="false">IFERROR(INDEX(LR_Flag,MATCH(G477,LR_Key,0)),"")</f>
        <v>none</v>
      </c>
      <c r="N477" s="2" t="str">
        <f aca="false">IFERROR(INDEX(MW_Check,MATCH(G477,MW_Key,0)),"")</f>
        <v>OK</v>
      </c>
      <c r="O477" s="0" t="str">
        <f aca="false">IF(NOT(ISNUMBER(H477)),"LABOR QUOTE NEEDED – total incomplete",IF(N477="BELOW FLOOR","CHECK: typical labor below wage floor – payout and customer labor raised to floor",IF(M477&lt;&gt;"none","Labor rate flagged: "&amp;M477,"OK")))</f>
        <v>OK</v>
      </c>
      <c r="P477" s="0" t="s">
        <v>1814</v>
      </c>
      <c r="Q477" s="8" t="s">
        <v>1815</v>
      </c>
      <c r="R477" s="2" t="str">
        <f aca="false">IF(OR(M477="regulated",COUNTIFS(Tasks_TaskID,A477,Tasks_Tier,D477,Tasks_Review,"base")&gt;0),"PENDING REVIEW – priced, not bookable until human approval",IF(COUNTIFS(Tasks_TaskID,A477,Tasks_Tier,D477,Tasks_Review,"as-needed")&gt;0,"Bookable (re-evaluate if regulated as-needed line selected)","Bookable"))</f>
        <v>Bookable</v>
      </c>
    </row>
    <row r="478" customFormat="false" ht="17.15" hidden="false" customHeight="false" outlineLevel="0" collapsed="false">
      <c r="A478" s="2" t="s">
        <v>1810</v>
      </c>
      <c r="B478" s="2" t="s">
        <v>939</v>
      </c>
      <c r="C478" s="2" t="s">
        <v>1811</v>
      </c>
      <c r="D478" s="2" t="s">
        <v>1051</v>
      </c>
      <c r="E478" s="2" t="s">
        <v>1895</v>
      </c>
      <c r="F478" s="3" t="n">
        <f aca="false">INDEX(Sum_Base,MATCH(A478,Sum_BaseTasks,0),MATCH(D478,Sum_BaseTiers,0))</f>
        <v>128.8875</v>
      </c>
      <c r="G478" s="2" t="str">
        <f aca="false">IF(ISNUMBER(MATCH(A478&amp;"|"&amp;D478,LR_Key,0)),A478&amp;"|"&amp;D478,A478&amp;"|All")</f>
        <v>FIXX-CLN-005|All</v>
      </c>
      <c r="H478" s="3" t="n">
        <f aca="false">IFERROR(INDEX(LR_TypLabor,MATCH(G478,LR_Key,0)),"")</f>
        <v>750</v>
      </c>
      <c r="I478" s="12" t="n">
        <f aca="false">INDEX(Urg_Mult,MATCH(E478,Urg_Levels,0))</f>
        <v>1</v>
      </c>
      <c r="J478" s="3" t="n">
        <f aca="false">IF(ISNUMBER(H478),MAX(H478,IFERROR(INDEX(MW_Floor,MATCH(G478,MW_Key,0)),0))*I478,"")</f>
        <v>750</v>
      </c>
      <c r="K478" s="3" t="n">
        <f aca="false">IF(ISNUMBER(J478),F478+J478,"")</f>
        <v>878.8875</v>
      </c>
      <c r="L478" s="3" t="n">
        <f aca="false">IF(ISNUMBER(H478),MAX(H478,IFERROR(INDEX(MW_Floor,MATCH(G478,MW_Key,0)),0))*I478,"")</f>
        <v>750</v>
      </c>
      <c r="M478" s="2" t="str">
        <f aca="false">IFERROR(INDEX(LR_Flag,MATCH(G478,LR_Key,0)),"")</f>
        <v>none</v>
      </c>
      <c r="N478" s="2" t="str">
        <f aca="false">IFERROR(INDEX(MW_Check,MATCH(G478,MW_Key,0)),"")</f>
        <v>OK</v>
      </c>
      <c r="O478" s="0" t="str">
        <f aca="false">IF(NOT(ISNUMBER(H478)),"LABOR QUOTE NEEDED – total incomplete",IF(N478="BELOW FLOOR","CHECK: typical labor below wage floor – payout and customer labor raised to floor",IF(M478&lt;&gt;"none","Labor rate flagged: "&amp;M478,"OK")))</f>
        <v>OK</v>
      </c>
      <c r="P478" s="0" t="s">
        <v>1814</v>
      </c>
      <c r="Q478" s="8" t="s">
        <v>1815</v>
      </c>
      <c r="R478" s="2" t="str">
        <f aca="false">IF(OR(M478="regulated",COUNTIFS(Tasks_TaskID,A478,Tasks_Tier,D478,Tasks_Review,"base")&gt;0),"PENDING REVIEW – priced, not bookable until human approval",IF(COUNTIFS(Tasks_TaskID,A478,Tasks_Tier,D478,Tasks_Review,"as-needed")&gt;0,"Bookable (re-evaluate if regulated as-needed line selected)","Bookable"))</f>
        <v>Bookable</v>
      </c>
    </row>
    <row r="479" customFormat="false" ht="17.15" hidden="false" customHeight="false" outlineLevel="0" collapsed="false">
      <c r="A479" s="2" t="s">
        <v>1810</v>
      </c>
      <c r="B479" s="2" t="s">
        <v>939</v>
      </c>
      <c r="C479" s="2" t="s">
        <v>1811</v>
      </c>
      <c r="D479" s="2" t="s">
        <v>1051</v>
      </c>
      <c r="E479" s="2" t="s">
        <v>1896</v>
      </c>
      <c r="F479" s="3" t="n">
        <f aca="false">INDEX(Sum_Base,MATCH(A479,Sum_BaseTasks,0),MATCH(D479,Sum_BaseTiers,0))</f>
        <v>128.8875</v>
      </c>
      <c r="G479" s="2" t="str">
        <f aca="false">IF(ISNUMBER(MATCH(A479&amp;"|"&amp;D479,LR_Key,0)),A479&amp;"|"&amp;D479,A479&amp;"|All")</f>
        <v>FIXX-CLN-005|All</v>
      </c>
      <c r="H479" s="3" t="n">
        <f aca="false">IFERROR(INDEX(LR_TypLabor,MATCH(G479,LR_Key,0)),"")</f>
        <v>750</v>
      </c>
      <c r="I479" s="12" t="n">
        <f aca="false">INDEX(Urg_Mult,MATCH(E479,Urg_Levels,0))</f>
        <v>1.15</v>
      </c>
      <c r="J479" s="3" t="n">
        <f aca="false">IF(ISNUMBER(H479),MAX(H479,IFERROR(INDEX(MW_Floor,MATCH(G479,MW_Key,0)),0))*I479,"")</f>
        <v>862.5</v>
      </c>
      <c r="K479" s="3" t="n">
        <f aca="false">IF(ISNUMBER(J479),F479+J479,"")</f>
        <v>991.3875</v>
      </c>
      <c r="L479" s="3" t="n">
        <f aca="false">IF(ISNUMBER(H479),MAX(H479,IFERROR(INDEX(MW_Floor,MATCH(G479,MW_Key,0)),0))*I479,"")</f>
        <v>862.5</v>
      </c>
      <c r="M479" s="2" t="str">
        <f aca="false">IFERROR(INDEX(LR_Flag,MATCH(G479,LR_Key,0)),"")</f>
        <v>none</v>
      </c>
      <c r="N479" s="2" t="str">
        <f aca="false">IFERROR(INDEX(MW_Check,MATCH(G479,MW_Key,0)),"")</f>
        <v>OK</v>
      </c>
      <c r="O479" s="0" t="str">
        <f aca="false">IF(NOT(ISNUMBER(H479)),"LABOR QUOTE NEEDED – total incomplete",IF(N479="BELOW FLOOR","CHECK: typical labor below wage floor – payout and customer labor raised to floor",IF(M479&lt;&gt;"none","Labor rate flagged: "&amp;M479,"OK")))</f>
        <v>OK</v>
      </c>
      <c r="P479" s="0" t="s">
        <v>1814</v>
      </c>
      <c r="Q479" s="8" t="s">
        <v>1815</v>
      </c>
      <c r="R479" s="2" t="str">
        <f aca="false">IF(OR(M479="regulated",COUNTIFS(Tasks_TaskID,A479,Tasks_Tier,D479,Tasks_Review,"base")&gt;0),"PENDING REVIEW – priced, not bookable until human approval",IF(COUNTIFS(Tasks_TaskID,A479,Tasks_Tier,D479,Tasks_Review,"as-needed")&gt;0,"Bookable (re-evaluate if regulated as-needed line selected)","Bookable"))</f>
        <v>Bookable</v>
      </c>
    </row>
    <row r="480" customFormat="false" ht="17.15" hidden="false" customHeight="false" outlineLevel="0" collapsed="false">
      <c r="A480" s="2" t="s">
        <v>1810</v>
      </c>
      <c r="B480" s="2" t="s">
        <v>939</v>
      </c>
      <c r="C480" s="2" t="s">
        <v>1811</v>
      </c>
      <c r="D480" s="2" t="s">
        <v>1051</v>
      </c>
      <c r="E480" s="2" t="s">
        <v>1897</v>
      </c>
      <c r="F480" s="3" t="n">
        <f aca="false">INDEX(Sum_Base,MATCH(A480,Sum_BaseTasks,0),MATCH(D480,Sum_BaseTiers,0))</f>
        <v>128.8875</v>
      </c>
      <c r="G480" s="2" t="str">
        <f aca="false">IF(ISNUMBER(MATCH(A480&amp;"|"&amp;D480,LR_Key,0)),A480&amp;"|"&amp;D480,A480&amp;"|All")</f>
        <v>FIXX-CLN-005|All</v>
      </c>
      <c r="H480" s="3" t="n">
        <f aca="false">IFERROR(INDEX(LR_TypLabor,MATCH(G480,LR_Key,0)),"")</f>
        <v>750</v>
      </c>
      <c r="I480" s="12" t="n">
        <f aca="false">INDEX(Urg_Mult,MATCH(E480,Urg_Levels,0))</f>
        <v>1.3</v>
      </c>
      <c r="J480" s="3" t="n">
        <f aca="false">IF(ISNUMBER(H480),MAX(H480,IFERROR(INDEX(MW_Floor,MATCH(G480,MW_Key,0)),0))*I480,"")</f>
        <v>975</v>
      </c>
      <c r="K480" s="3" t="n">
        <f aca="false">IF(ISNUMBER(J480),F480+J480,"")</f>
        <v>1103.8875</v>
      </c>
      <c r="L480" s="3" t="n">
        <f aca="false">IF(ISNUMBER(H480),MAX(H480,IFERROR(INDEX(MW_Floor,MATCH(G480,MW_Key,0)),0))*I480,"")</f>
        <v>975</v>
      </c>
      <c r="M480" s="2" t="str">
        <f aca="false">IFERROR(INDEX(LR_Flag,MATCH(G480,LR_Key,0)),"")</f>
        <v>none</v>
      </c>
      <c r="N480" s="2" t="str">
        <f aca="false">IFERROR(INDEX(MW_Check,MATCH(G480,MW_Key,0)),"")</f>
        <v>OK</v>
      </c>
      <c r="O480" s="0" t="str">
        <f aca="false">IF(NOT(ISNUMBER(H480)),"LABOR QUOTE NEEDED – total incomplete",IF(N480="BELOW FLOOR","CHECK: typical labor below wage floor – payout and customer labor raised to floor",IF(M480&lt;&gt;"none","Labor rate flagged: "&amp;M480,"OK")))</f>
        <v>OK</v>
      </c>
      <c r="P480" s="0" t="s">
        <v>1814</v>
      </c>
      <c r="Q480" s="8" t="s">
        <v>1815</v>
      </c>
      <c r="R480" s="2" t="str">
        <f aca="false">IF(OR(M480="regulated",COUNTIFS(Tasks_TaskID,A480,Tasks_Tier,D480,Tasks_Review,"base")&gt;0),"PENDING REVIEW – priced, not bookable until human approval",IF(COUNTIFS(Tasks_TaskID,A480,Tasks_Tier,D480,Tasks_Review,"as-needed")&gt;0,"Bookable (re-evaluate if regulated as-needed line selected)","Bookable"))</f>
        <v>Bookable</v>
      </c>
    </row>
    <row r="481" customFormat="false" ht="17.15" hidden="false" customHeight="false" outlineLevel="0" collapsed="false">
      <c r="A481" s="2" t="s">
        <v>1810</v>
      </c>
      <c r="B481" s="2" t="s">
        <v>939</v>
      </c>
      <c r="C481" s="2" t="s">
        <v>1811</v>
      </c>
      <c r="D481" s="2" t="s">
        <v>1051</v>
      </c>
      <c r="E481" s="2" t="s">
        <v>1898</v>
      </c>
      <c r="F481" s="3" t="n">
        <f aca="false">INDEX(Sum_Base,MATCH(A481,Sum_BaseTasks,0),MATCH(D481,Sum_BaseTiers,0))</f>
        <v>128.8875</v>
      </c>
      <c r="G481" s="2" t="str">
        <f aca="false">IF(ISNUMBER(MATCH(A481&amp;"|"&amp;D481,LR_Key,0)),A481&amp;"|"&amp;D481,A481&amp;"|All")</f>
        <v>FIXX-CLN-005|All</v>
      </c>
      <c r="H481" s="3" t="n">
        <f aca="false">IFERROR(INDEX(LR_TypLabor,MATCH(G481,LR_Key,0)),"")</f>
        <v>750</v>
      </c>
      <c r="I481" s="12" t="n">
        <f aca="false">INDEX(Urg_Mult,MATCH(E481,Urg_Levels,0))</f>
        <v>1.5</v>
      </c>
      <c r="J481" s="3" t="n">
        <f aca="false">IF(ISNUMBER(H481),MAX(H481,IFERROR(INDEX(MW_Floor,MATCH(G481,MW_Key,0)),0))*I481,"")</f>
        <v>1125</v>
      </c>
      <c r="K481" s="3" t="n">
        <f aca="false">IF(ISNUMBER(J481),F481+J481,"")</f>
        <v>1253.8875</v>
      </c>
      <c r="L481" s="3" t="n">
        <f aca="false">IF(ISNUMBER(H481),MAX(H481,IFERROR(INDEX(MW_Floor,MATCH(G481,MW_Key,0)),0))*I481,"")</f>
        <v>1125</v>
      </c>
      <c r="M481" s="2" t="str">
        <f aca="false">IFERROR(INDEX(LR_Flag,MATCH(G481,LR_Key,0)),"")</f>
        <v>none</v>
      </c>
      <c r="N481" s="2" t="str">
        <f aca="false">IFERROR(INDEX(MW_Check,MATCH(G481,MW_Key,0)),"")</f>
        <v>OK</v>
      </c>
      <c r="O481" s="0" t="str">
        <f aca="false">IF(NOT(ISNUMBER(H481)),"LABOR QUOTE NEEDED – total incomplete",IF(N481="BELOW FLOOR","CHECK: typical labor below wage floor – payout and customer labor raised to floor",IF(M481&lt;&gt;"none","Labor rate flagged: "&amp;M481,"OK")))</f>
        <v>OK</v>
      </c>
      <c r="P481" s="0" t="s">
        <v>1814</v>
      </c>
      <c r="Q481" s="8" t="s">
        <v>1815</v>
      </c>
      <c r="R481" s="2" t="str">
        <f aca="false">IF(OR(M481="regulated",COUNTIFS(Tasks_TaskID,A481,Tasks_Tier,D481,Tasks_Review,"base")&gt;0),"PENDING REVIEW – priced, not bookable until human approval",IF(COUNTIFS(Tasks_TaskID,A481,Tasks_Tier,D481,Tasks_Review,"as-needed")&gt;0,"Bookable (re-evaluate if regulated as-needed line selected)","Bookable"))</f>
        <v>Bookable</v>
      </c>
    </row>
    <row r="482" customFormat="false" ht="17.15" hidden="false" customHeight="false" outlineLevel="0" collapsed="false">
      <c r="A482" s="2" t="s">
        <v>1819</v>
      </c>
      <c r="B482" s="2" t="s">
        <v>939</v>
      </c>
      <c r="C482" s="2" t="s">
        <v>1820</v>
      </c>
      <c r="D482" s="2" t="s">
        <v>1042</v>
      </c>
      <c r="E482" s="2" t="s">
        <v>1895</v>
      </c>
      <c r="F482" s="3" t="n">
        <f aca="false">INDEX(Sum_Base,MATCH(A482,Sum_BaseTasks,0),MATCH(D482,Sum_BaseTiers,0))</f>
        <v>71.925</v>
      </c>
      <c r="G482" s="2" t="str">
        <f aca="false">IF(ISNUMBER(MATCH(A482&amp;"|"&amp;D482,LR_Key,0)),A482&amp;"|"&amp;D482,A482&amp;"|All")</f>
        <v>FIXX-CLN-006|All</v>
      </c>
      <c r="H482" s="3" t="n">
        <f aca="false">IFERROR(INDEX(LR_TypLabor,MATCH(G482,LR_Key,0)),"")</f>
        <v>800</v>
      </c>
      <c r="I482" s="12" t="n">
        <f aca="false">INDEX(Urg_Mult,MATCH(E482,Urg_Levels,0))</f>
        <v>1</v>
      </c>
      <c r="J482" s="3" t="n">
        <f aca="false">IF(ISNUMBER(H482),MAX(H482,IFERROR(INDEX(MW_Floor,MATCH(G482,MW_Key,0)),0))*I482,"")</f>
        <v>800</v>
      </c>
      <c r="K482" s="3" t="n">
        <f aca="false">IF(ISNUMBER(J482),F482+J482,"")</f>
        <v>871.925</v>
      </c>
      <c r="L482" s="3" t="n">
        <f aca="false">IF(ISNUMBER(H482),MAX(H482,IFERROR(INDEX(MW_Floor,MATCH(G482,MW_Key,0)),0))*I482,"")</f>
        <v>800</v>
      </c>
      <c r="M482" s="2" t="str">
        <f aca="false">IFERROR(INDEX(LR_Flag,MATCH(G482,LR_Key,0)),"")</f>
        <v>none</v>
      </c>
      <c r="N482" s="2" t="str">
        <f aca="false">IFERROR(INDEX(MW_Check,MATCH(G482,MW_Key,0)),"")</f>
        <v>OK</v>
      </c>
      <c r="O482" s="0" t="str">
        <f aca="false">IF(NOT(ISNUMBER(H482)),"LABOR QUOTE NEEDED – total incomplete",IF(N482="BELOW FLOOR","CHECK: typical labor below wage floor – payout and customer labor raised to floor",IF(M482&lt;&gt;"none","Labor rate flagged: "&amp;M482,"OK")))</f>
        <v>OK</v>
      </c>
      <c r="P482" s="0" t="s">
        <v>1823</v>
      </c>
      <c r="Q482" s="8" t="s">
        <v>1824</v>
      </c>
      <c r="R482" s="2" t="str">
        <f aca="false">IF(OR(M482="regulated",COUNTIFS(Tasks_TaskID,A482,Tasks_Tier,D482,Tasks_Review,"base")&gt;0),"PENDING REVIEW – priced, not bookable until human approval",IF(COUNTIFS(Tasks_TaskID,A482,Tasks_Tier,D482,Tasks_Review,"as-needed")&gt;0,"Bookable (re-evaluate if regulated as-needed line selected)","Bookable"))</f>
        <v>Bookable</v>
      </c>
    </row>
    <row r="483" customFormat="false" ht="17.15" hidden="false" customHeight="false" outlineLevel="0" collapsed="false">
      <c r="A483" s="2" t="s">
        <v>1819</v>
      </c>
      <c r="B483" s="2" t="s">
        <v>939</v>
      </c>
      <c r="C483" s="2" t="s">
        <v>1820</v>
      </c>
      <c r="D483" s="2" t="s">
        <v>1042</v>
      </c>
      <c r="E483" s="2" t="s">
        <v>1896</v>
      </c>
      <c r="F483" s="3" t="n">
        <f aca="false">INDEX(Sum_Base,MATCH(A483,Sum_BaseTasks,0),MATCH(D483,Sum_BaseTiers,0))</f>
        <v>71.925</v>
      </c>
      <c r="G483" s="2" t="str">
        <f aca="false">IF(ISNUMBER(MATCH(A483&amp;"|"&amp;D483,LR_Key,0)),A483&amp;"|"&amp;D483,A483&amp;"|All")</f>
        <v>FIXX-CLN-006|All</v>
      </c>
      <c r="H483" s="3" t="n">
        <f aca="false">IFERROR(INDEX(LR_TypLabor,MATCH(G483,LR_Key,0)),"")</f>
        <v>800</v>
      </c>
      <c r="I483" s="12" t="n">
        <f aca="false">INDEX(Urg_Mult,MATCH(E483,Urg_Levels,0))</f>
        <v>1.15</v>
      </c>
      <c r="J483" s="3" t="n">
        <f aca="false">IF(ISNUMBER(H483),MAX(H483,IFERROR(INDEX(MW_Floor,MATCH(G483,MW_Key,0)),0))*I483,"")</f>
        <v>920</v>
      </c>
      <c r="K483" s="3" t="n">
        <f aca="false">IF(ISNUMBER(J483),F483+J483,"")</f>
        <v>991.925</v>
      </c>
      <c r="L483" s="3" t="n">
        <f aca="false">IF(ISNUMBER(H483),MAX(H483,IFERROR(INDEX(MW_Floor,MATCH(G483,MW_Key,0)),0))*I483,"")</f>
        <v>920</v>
      </c>
      <c r="M483" s="2" t="str">
        <f aca="false">IFERROR(INDEX(LR_Flag,MATCH(G483,LR_Key,0)),"")</f>
        <v>none</v>
      </c>
      <c r="N483" s="2" t="str">
        <f aca="false">IFERROR(INDEX(MW_Check,MATCH(G483,MW_Key,0)),"")</f>
        <v>OK</v>
      </c>
      <c r="O483" s="0" t="str">
        <f aca="false">IF(NOT(ISNUMBER(H483)),"LABOR QUOTE NEEDED – total incomplete",IF(N483="BELOW FLOOR","CHECK: typical labor below wage floor – payout and customer labor raised to floor",IF(M483&lt;&gt;"none","Labor rate flagged: "&amp;M483,"OK")))</f>
        <v>OK</v>
      </c>
      <c r="P483" s="0" t="s">
        <v>1823</v>
      </c>
      <c r="Q483" s="8" t="s">
        <v>1824</v>
      </c>
      <c r="R483" s="2" t="str">
        <f aca="false">IF(OR(M483="regulated",COUNTIFS(Tasks_TaskID,A483,Tasks_Tier,D483,Tasks_Review,"base")&gt;0),"PENDING REVIEW – priced, not bookable until human approval",IF(COUNTIFS(Tasks_TaskID,A483,Tasks_Tier,D483,Tasks_Review,"as-needed")&gt;0,"Bookable (re-evaluate if regulated as-needed line selected)","Bookable"))</f>
        <v>Bookable</v>
      </c>
    </row>
    <row r="484" customFormat="false" ht="17.15" hidden="false" customHeight="false" outlineLevel="0" collapsed="false">
      <c r="A484" s="2" t="s">
        <v>1819</v>
      </c>
      <c r="B484" s="2" t="s">
        <v>939</v>
      </c>
      <c r="C484" s="2" t="s">
        <v>1820</v>
      </c>
      <c r="D484" s="2" t="s">
        <v>1042</v>
      </c>
      <c r="E484" s="2" t="s">
        <v>1897</v>
      </c>
      <c r="F484" s="3" t="n">
        <f aca="false">INDEX(Sum_Base,MATCH(A484,Sum_BaseTasks,0),MATCH(D484,Sum_BaseTiers,0))</f>
        <v>71.925</v>
      </c>
      <c r="G484" s="2" t="str">
        <f aca="false">IF(ISNUMBER(MATCH(A484&amp;"|"&amp;D484,LR_Key,0)),A484&amp;"|"&amp;D484,A484&amp;"|All")</f>
        <v>FIXX-CLN-006|All</v>
      </c>
      <c r="H484" s="3" t="n">
        <f aca="false">IFERROR(INDEX(LR_TypLabor,MATCH(G484,LR_Key,0)),"")</f>
        <v>800</v>
      </c>
      <c r="I484" s="12" t="n">
        <f aca="false">INDEX(Urg_Mult,MATCH(E484,Urg_Levels,0))</f>
        <v>1.3</v>
      </c>
      <c r="J484" s="3" t="n">
        <f aca="false">IF(ISNUMBER(H484),MAX(H484,IFERROR(INDEX(MW_Floor,MATCH(G484,MW_Key,0)),0))*I484,"")</f>
        <v>1040</v>
      </c>
      <c r="K484" s="3" t="n">
        <f aca="false">IF(ISNUMBER(J484),F484+J484,"")</f>
        <v>1111.925</v>
      </c>
      <c r="L484" s="3" t="n">
        <f aca="false">IF(ISNUMBER(H484),MAX(H484,IFERROR(INDEX(MW_Floor,MATCH(G484,MW_Key,0)),0))*I484,"")</f>
        <v>1040</v>
      </c>
      <c r="M484" s="2" t="str">
        <f aca="false">IFERROR(INDEX(LR_Flag,MATCH(G484,LR_Key,0)),"")</f>
        <v>none</v>
      </c>
      <c r="N484" s="2" t="str">
        <f aca="false">IFERROR(INDEX(MW_Check,MATCH(G484,MW_Key,0)),"")</f>
        <v>OK</v>
      </c>
      <c r="O484" s="0" t="str">
        <f aca="false">IF(NOT(ISNUMBER(H484)),"LABOR QUOTE NEEDED – total incomplete",IF(N484="BELOW FLOOR","CHECK: typical labor below wage floor – payout and customer labor raised to floor",IF(M484&lt;&gt;"none","Labor rate flagged: "&amp;M484,"OK")))</f>
        <v>OK</v>
      </c>
      <c r="P484" s="0" t="s">
        <v>1823</v>
      </c>
      <c r="Q484" s="8" t="s">
        <v>1824</v>
      </c>
      <c r="R484" s="2" t="str">
        <f aca="false">IF(OR(M484="regulated",COUNTIFS(Tasks_TaskID,A484,Tasks_Tier,D484,Tasks_Review,"base")&gt;0),"PENDING REVIEW – priced, not bookable until human approval",IF(COUNTIFS(Tasks_TaskID,A484,Tasks_Tier,D484,Tasks_Review,"as-needed")&gt;0,"Bookable (re-evaluate if regulated as-needed line selected)","Bookable"))</f>
        <v>Bookable</v>
      </c>
    </row>
    <row r="485" customFormat="false" ht="17.15" hidden="false" customHeight="false" outlineLevel="0" collapsed="false">
      <c r="A485" s="2" t="s">
        <v>1819</v>
      </c>
      <c r="B485" s="2" t="s">
        <v>939</v>
      </c>
      <c r="C485" s="2" t="s">
        <v>1820</v>
      </c>
      <c r="D485" s="2" t="s">
        <v>1042</v>
      </c>
      <c r="E485" s="2" t="s">
        <v>1898</v>
      </c>
      <c r="F485" s="3" t="n">
        <f aca="false">INDEX(Sum_Base,MATCH(A485,Sum_BaseTasks,0),MATCH(D485,Sum_BaseTiers,0))</f>
        <v>71.925</v>
      </c>
      <c r="G485" s="2" t="str">
        <f aca="false">IF(ISNUMBER(MATCH(A485&amp;"|"&amp;D485,LR_Key,0)),A485&amp;"|"&amp;D485,A485&amp;"|All")</f>
        <v>FIXX-CLN-006|All</v>
      </c>
      <c r="H485" s="3" t="n">
        <f aca="false">IFERROR(INDEX(LR_TypLabor,MATCH(G485,LR_Key,0)),"")</f>
        <v>800</v>
      </c>
      <c r="I485" s="12" t="n">
        <f aca="false">INDEX(Urg_Mult,MATCH(E485,Urg_Levels,0))</f>
        <v>1.5</v>
      </c>
      <c r="J485" s="3" t="n">
        <f aca="false">IF(ISNUMBER(H485),MAX(H485,IFERROR(INDEX(MW_Floor,MATCH(G485,MW_Key,0)),0))*I485,"")</f>
        <v>1200</v>
      </c>
      <c r="K485" s="3" t="n">
        <f aca="false">IF(ISNUMBER(J485),F485+J485,"")</f>
        <v>1271.925</v>
      </c>
      <c r="L485" s="3" t="n">
        <f aca="false">IF(ISNUMBER(H485),MAX(H485,IFERROR(INDEX(MW_Floor,MATCH(G485,MW_Key,0)),0))*I485,"")</f>
        <v>1200</v>
      </c>
      <c r="M485" s="2" t="str">
        <f aca="false">IFERROR(INDEX(LR_Flag,MATCH(G485,LR_Key,0)),"")</f>
        <v>none</v>
      </c>
      <c r="N485" s="2" t="str">
        <f aca="false">IFERROR(INDEX(MW_Check,MATCH(G485,MW_Key,0)),"")</f>
        <v>OK</v>
      </c>
      <c r="O485" s="0" t="str">
        <f aca="false">IF(NOT(ISNUMBER(H485)),"LABOR QUOTE NEEDED – total incomplete",IF(N485="BELOW FLOOR","CHECK: typical labor below wage floor – payout and customer labor raised to floor",IF(M485&lt;&gt;"none","Labor rate flagged: "&amp;M485,"OK")))</f>
        <v>OK</v>
      </c>
      <c r="P485" s="0" t="s">
        <v>1823</v>
      </c>
      <c r="Q485" s="8" t="s">
        <v>1824</v>
      </c>
      <c r="R485" s="2" t="str">
        <f aca="false">IF(OR(M485="regulated",COUNTIFS(Tasks_TaskID,A485,Tasks_Tier,D485,Tasks_Review,"base")&gt;0),"PENDING REVIEW – priced, not bookable until human approval",IF(COUNTIFS(Tasks_TaskID,A485,Tasks_Tier,D485,Tasks_Review,"as-needed")&gt;0,"Bookable (re-evaluate if regulated as-needed line selected)","Bookable"))</f>
        <v>Bookable</v>
      </c>
    </row>
    <row r="486" customFormat="false" ht="17.15" hidden="false" customHeight="false" outlineLevel="0" collapsed="false">
      <c r="A486" s="2" t="s">
        <v>1819</v>
      </c>
      <c r="B486" s="2" t="s">
        <v>939</v>
      </c>
      <c r="C486" s="2" t="s">
        <v>1820</v>
      </c>
      <c r="D486" s="2" t="s">
        <v>1049</v>
      </c>
      <c r="E486" s="2" t="s">
        <v>1895</v>
      </c>
      <c r="F486" s="3" t="n">
        <f aca="false">INDEX(Sum_Base,MATCH(A486,Sum_BaseTasks,0),MATCH(D486,Sum_BaseTiers,0))</f>
        <v>124.9</v>
      </c>
      <c r="G486" s="2" t="str">
        <f aca="false">IF(ISNUMBER(MATCH(A486&amp;"|"&amp;D486,LR_Key,0)),A486&amp;"|"&amp;D486,A486&amp;"|All")</f>
        <v>FIXX-CLN-006|All</v>
      </c>
      <c r="H486" s="3" t="n">
        <f aca="false">IFERROR(INDEX(LR_TypLabor,MATCH(G486,LR_Key,0)),"")</f>
        <v>800</v>
      </c>
      <c r="I486" s="12" t="n">
        <f aca="false">INDEX(Urg_Mult,MATCH(E486,Urg_Levels,0))</f>
        <v>1</v>
      </c>
      <c r="J486" s="3" t="n">
        <f aca="false">IF(ISNUMBER(H486),MAX(H486,IFERROR(INDEX(MW_Floor,MATCH(G486,MW_Key,0)),0))*I486,"")</f>
        <v>800</v>
      </c>
      <c r="K486" s="3" t="n">
        <f aca="false">IF(ISNUMBER(J486),F486+J486,"")</f>
        <v>924.9</v>
      </c>
      <c r="L486" s="3" t="n">
        <f aca="false">IF(ISNUMBER(H486),MAX(H486,IFERROR(INDEX(MW_Floor,MATCH(G486,MW_Key,0)),0))*I486,"")</f>
        <v>800</v>
      </c>
      <c r="M486" s="2" t="str">
        <f aca="false">IFERROR(INDEX(LR_Flag,MATCH(G486,LR_Key,0)),"")</f>
        <v>none</v>
      </c>
      <c r="N486" s="2" t="str">
        <f aca="false">IFERROR(INDEX(MW_Check,MATCH(G486,MW_Key,0)),"")</f>
        <v>OK</v>
      </c>
      <c r="O486" s="0" t="str">
        <f aca="false">IF(NOT(ISNUMBER(H486)),"LABOR QUOTE NEEDED – total incomplete",IF(N486="BELOW FLOOR","CHECK: typical labor below wage floor – payout and customer labor raised to floor",IF(M486&lt;&gt;"none","Labor rate flagged: "&amp;M486,"OK")))</f>
        <v>OK</v>
      </c>
      <c r="P486" s="0" t="s">
        <v>1823</v>
      </c>
      <c r="Q486" s="8" t="s">
        <v>1824</v>
      </c>
      <c r="R486" s="2" t="str">
        <f aca="false">IF(OR(M486="regulated",COUNTIFS(Tasks_TaskID,A486,Tasks_Tier,D486,Tasks_Review,"base")&gt;0),"PENDING REVIEW – priced, not bookable until human approval",IF(COUNTIFS(Tasks_TaskID,A486,Tasks_Tier,D486,Tasks_Review,"as-needed")&gt;0,"Bookable (re-evaluate if regulated as-needed line selected)","Bookable"))</f>
        <v>Bookable</v>
      </c>
    </row>
    <row r="487" customFormat="false" ht="17.15" hidden="false" customHeight="false" outlineLevel="0" collapsed="false">
      <c r="A487" s="2" t="s">
        <v>1819</v>
      </c>
      <c r="B487" s="2" t="s">
        <v>939</v>
      </c>
      <c r="C487" s="2" t="s">
        <v>1820</v>
      </c>
      <c r="D487" s="2" t="s">
        <v>1049</v>
      </c>
      <c r="E487" s="2" t="s">
        <v>1896</v>
      </c>
      <c r="F487" s="3" t="n">
        <f aca="false">INDEX(Sum_Base,MATCH(A487,Sum_BaseTasks,0),MATCH(D487,Sum_BaseTiers,0))</f>
        <v>124.9</v>
      </c>
      <c r="G487" s="2" t="str">
        <f aca="false">IF(ISNUMBER(MATCH(A487&amp;"|"&amp;D487,LR_Key,0)),A487&amp;"|"&amp;D487,A487&amp;"|All")</f>
        <v>FIXX-CLN-006|All</v>
      </c>
      <c r="H487" s="3" t="n">
        <f aca="false">IFERROR(INDEX(LR_TypLabor,MATCH(G487,LR_Key,0)),"")</f>
        <v>800</v>
      </c>
      <c r="I487" s="12" t="n">
        <f aca="false">INDEX(Urg_Mult,MATCH(E487,Urg_Levels,0))</f>
        <v>1.15</v>
      </c>
      <c r="J487" s="3" t="n">
        <f aca="false">IF(ISNUMBER(H487),MAX(H487,IFERROR(INDEX(MW_Floor,MATCH(G487,MW_Key,0)),0))*I487,"")</f>
        <v>920</v>
      </c>
      <c r="K487" s="3" t="n">
        <f aca="false">IF(ISNUMBER(J487),F487+J487,"")</f>
        <v>1044.9</v>
      </c>
      <c r="L487" s="3" t="n">
        <f aca="false">IF(ISNUMBER(H487),MAX(H487,IFERROR(INDEX(MW_Floor,MATCH(G487,MW_Key,0)),0))*I487,"")</f>
        <v>920</v>
      </c>
      <c r="M487" s="2" t="str">
        <f aca="false">IFERROR(INDEX(LR_Flag,MATCH(G487,LR_Key,0)),"")</f>
        <v>none</v>
      </c>
      <c r="N487" s="2" t="str">
        <f aca="false">IFERROR(INDEX(MW_Check,MATCH(G487,MW_Key,0)),"")</f>
        <v>OK</v>
      </c>
      <c r="O487" s="0" t="str">
        <f aca="false">IF(NOT(ISNUMBER(H487)),"LABOR QUOTE NEEDED – total incomplete",IF(N487="BELOW FLOOR","CHECK: typical labor below wage floor – payout and customer labor raised to floor",IF(M487&lt;&gt;"none","Labor rate flagged: "&amp;M487,"OK")))</f>
        <v>OK</v>
      </c>
      <c r="P487" s="0" t="s">
        <v>1823</v>
      </c>
      <c r="Q487" s="8" t="s">
        <v>1824</v>
      </c>
      <c r="R487" s="2" t="str">
        <f aca="false">IF(OR(M487="regulated",COUNTIFS(Tasks_TaskID,A487,Tasks_Tier,D487,Tasks_Review,"base")&gt;0),"PENDING REVIEW – priced, not bookable until human approval",IF(COUNTIFS(Tasks_TaskID,A487,Tasks_Tier,D487,Tasks_Review,"as-needed")&gt;0,"Bookable (re-evaluate if regulated as-needed line selected)","Bookable"))</f>
        <v>Bookable</v>
      </c>
    </row>
    <row r="488" customFormat="false" ht="17.15" hidden="false" customHeight="false" outlineLevel="0" collapsed="false">
      <c r="A488" s="2" t="s">
        <v>1819</v>
      </c>
      <c r="B488" s="2" t="s">
        <v>939</v>
      </c>
      <c r="C488" s="2" t="s">
        <v>1820</v>
      </c>
      <c r="D488" s="2" t="s">
        <v>1049</v>
      </c>
      <c r="E488" s="2" t="s">
        <v>1897</v>
      </c>
      <c r="F488" s="3" t="n">
        <f aca="false">INDEX(Sum_Base,MATCH(A488,Sum_BaseTasks,0),MATCH(D488,Sum_BaseTiers,0))</f>
        <v>124.9</v>
      </c>
      <c r="G488" s="2" t="str">
        <f aca="false">IF(ISNUMBER(MATCH(A488&amp;"|"&amp;D488,LR_Key,0)),A488&amp;"|"&amp;D488,A488&amp;"|All")</f>
        <v>FIXX-CLN-006|All</v>
      </c>
      <c r="H488" s="3" t="n">
        <f aca="false">IFERROR(INDEX(LR_TypLabor,MATCH(G488,LR_Key,0)),"")</f>
        <v>800</v>
      </c>
      <c r="I488" s="12" t="n">
        <f aca="false">INDEX(Urg_Mult,MATCH(E488,Urg_Levels,0))</f>
        <v>1.3</v>
      </c>
      <c r="J488" s="3" t="n">
        <f aca="false">IF(ISNUMBER(H488),MAX(H488,IFERROR(INDEX(MW_Floor,MATCH(G488,MW_Key,0)),0))*I488,"")</f>
        <v>1040</v>
      </c>
      <c r="K488" s="3" t="n">
        <f aca="false">IF(ISNUMBER(J488),F488+J488,"")</f>
        <v>1164.9</v>
      </c>
      <c r="L488" s="3" t="n">
        <f aca="false">IF(ISNUMBER(H488),MAX(H488,IFERROR(INDEX(MW_Floor,MATCH(G488,MW_Key,0)),0))*I488,"")</f>
        <v>1040</v>
      </c>
      <c r="M488" s="2" t="str">
        <f aca="false">IFERROR(INDEX(LR_Flag,MATCH(G488,LR_Key,0)),"")</f>
        <v>none</v>
      </c>
      <c r="N488" s="2" t="str">
        <f aca="false">IFERROR(INDEX(MW_Check,MATCH(G488,MW_Key,0)),"")</f>
        <v>OK</v>
      </c>
      <c r="O488" s="0" t="str">
        <f aca="false">IF(NOT(ISNUMBER(H488)),"LABOR QUOTE NEEDED – total incomplete",IF(N488="BELOW FLOOR","CHECK: typical labor below wage floor – payout and customer labor raised to floor",IF(M488&lt;&gt;"none","Labor rate flagged: "&amp;M488,"OK")))</f>
        <v>OK</v>
      </c>
      <c r="P488" s="0" t="s">
        <v>1823</v>
      </c>
      <c r="Q488" s="8" t="s">
        <v>1824</v>
      </c>
      <c r="R488" s="2" t="str">
        <f aca="false">IF(OR(M488="regulated",COUNTIFS(Tasks_TaskID,A488,Tasks_Tier,D488,Tasks_Review,"base")&gt;0),"PENDING REVIEW – priced, not bookable until human approval",IF(COUNTIFS(Tasks_TaskID,A488,Tasks_Tier,D488,Tasks_Review,"as-needed")&gt;0,"Bookable (re-evaluate if regulated as-needed line selected)","Bookable"))</f>
        <v>Bookable</v>
      </c>
    </row>
    <row r="489" customFormat="false" ht="17.15" hidden="false" customHeight="false" outlineLevel="0" collapsed="false">
      <c r="A489" s="2" t="s">
        <v>1819</v>
      </c>
      <c r="B489" s="2" t="s">
        <v>939</v>
      </c>
      <c r="C489" s="2" t="s">
        <v>1820</v>
      </c>
      <c r="D489" s="2" t="s">
        <v>1049</v>
      </c>
      <c r="E489" s="2" t="s">
        <v>1898</v>
      </c>
      <c r="F489" s="3" t="n">
        <f aca="false">INDEX(Sum_Base,MATCH(A489,Sum_BaseTasks,0),MATCH(D489,Sum_BaseTiers,0))</f>
        <v>124.9</v>
      </c>
      <c r="G489" s="2" t="str">
        <f aca="false">IF(ISNUMBER(MATCH(A489&amp;"|"&amp;D489,LR_Key,0)),A489&amp;"|"&amp;D489,A489&amp;"|All")</f>
        <v>FIXX-CLN-006|All</v>
      </c>
      <c r="H489" s="3" t="n">
        <f aca="false">IFERROR(INDEX(LR_TypLabor,MATCH(G489,LR_Key,0)),"")</f>
        <v>800</v>
      </c>
      <c r="I489" s="12" t="n">
        <f aca="false">INDEX(Urg_Mult,MATCH(E489,Urg_Levels,0))</f>
        <v>1.5</v>
      </c>
      <c r="J489" s="3" t="n">
        <f aca="false">IF(ISNUMBER(H489),MAX(H489,IFERROR(INDEX(MW_Floor,MATCH(G489,MW_Key,0)),0))*I489,"")</f>
        <v>1200</v>
      </c>
      <c r="K489" s="3" t="n">
        <f aca="false">IF(ISNUMBER(J489),F489+J489,"")</f>
        <v>1324.9</v>
      </c>
      <c r="L489" s="3" t="n">
        <f aca="false">IF(ISNUMBER(H489),MAX(H489,IFERROR(INDEX(MW_Floor,MATCH(G489,MW_Key,0)),0))*I489,"")</f>
        <v>1200</v>
      </c>
      <c r="M489" s="2" t="str">
        <f aca="false">IFERROR(INDEX(LR_Flag,MATCH(G489,LR_Key,0)),"")</f>
        <v>none</v>
      </c>
      <c r="N489" s="2" t="str">
        <f aca="false">IFERROR(INDEX(MW_Check,MATCH(G489,MW_Key,0)),"")</f>
        <v>OK</v>
      </c>
      <c r="O489" s="0" t="str">
        <f aca="false">IF(NOT(ISNUMBER(H489)),"LABOR QUOTE NEEDED – total incomplete",IF(N489="BELOW FLOOR","CHECK: typical labor below wage floor – payout and customer labor raised to floor",IF(M489&lt;&gt;"none","Labor rate flagged: "&amp;M489,"OK")))</f>
        <v>OK</v>
      </c>
      <c r="P489" s="0" t="s">
        <v>1823</v>
      </c>
      <c r="Q489" s="8" t="s">
        <v>1824</v>
      </c>
      <c r="R489" s="2" t="str">
        <f aca="false">IF(OR(M489="regulated",COUNTIFS(Tasks_TaskID,A489,Tasks_Tier,D489,Tasks_Review,"base")&gt;0),"PENDING REVIEW – priced, not bookable until human approval",IF(COUNTIFS(Tasks_TaskID,A489,Tasks_Tier,D489,Tasks_Review,"as-needed")&gt;0,"Bookable (re-evaluate if regulated as-needed line selected)","Bookable"))</f>
        <v>Bookable</v>
      </c>
    </row>
    <row r="490" customFormat="false" ht="17.15" hidden="false" customHeight="false" outlineLevel="0" collapsed="false">
      <c r="A490" s="2" t="s">
        <v>1819</v>
      </c>
      <c r="B490" s="2" t="s">
        <v>939</v>
      </c>
      <c r="C490" s="2" t="s">
        <v>1820</v>
      </c>
      <c r="D490" s="2" t="s">
        <v>1051</v>
      </c>
      <c r="E490" s="2" t="s">
        <v>1895</v>
      </c>
      <c r="F490" s="3" t="n">
        <f aca="false">INDEX(Sum_Base,MATCH(A490,Sum_BaseTasks,0),MATCH(D490,Sum_BaseTiers,0))</f>
        <v>204.8</v>
      </c>
      <c r="G490" s="2" t="str">
        <f aca="false">IF(ISNUMBER(MATCH(A490&amp;"|"&amp;D490,LR_Key,0)),A490&amp;"|"&amp;D490,A490&amp;"|All")</f>
        <v>FIXX-CLN-006|All</v>
      </c>
      <c r="H490" s="3" t="n">
        <f aca="false">IFERROR(INDEX(LR_TypLabor,MATCH(G490,LR_Key,0)),"")</f>
        <v>800</v>
      </c>
      <c r="I490" s="12" t="n">
        <f aca="false">INDEX(Urg_Mult,MATCH(E490,Urg_Levels,0))</f>
        <v>1</v>
      </c>
      <c r="J490" s="3" t="n">
        <f aca="false">IF(ISNUMBER(H490),MAX(H490,IFERROR(INDEX(MW_Floor,MATCH(G490,MW_Key,0)),0))*I490,"")</f>
        <v>800</v>
      </c>
      <c r="K490" s="3" t="n">
        <f aca="false">IF(ISNUMBER(J490),F490+J490,"")</f>
        <v>1004.8</v>
      </c>
      <c r="L490" s="3" t="n">
        <f aca="false">IF(ISNUMBER(H490),MAX(H490,IFERROR(INDEX(MW_Floor,MATCH(G490,MW_Key,0)),0))*I490,"")</f>
        <v>800</v>
      </c>
      <c r="M490" s="2" t="str">
        <f aca="false">IFERROR(INDEX(LR_Flag,MATCH(G490,LR_Key,0)),"")</f>
        <v>none</v>
      </c>
      <c r="N490" s="2" t="str">
        <f aca="false">IFERROR(INDEX(MW_Check,MATCH(G490,MW_Key,0)),"")</f>
        <v>OK</v>
      </c>
      <c r="O490" s="0" t="str">
        <f aca="false">IF(NOT(ISNUMBER(H490)),"LABOR QUOTE NEEDED – total incomplete",IF(N490="BELOW FLOOR","CHECK: typical labor below wage floor – payout and customer labor raised to floor",IF(M490&lt;&gt;"none","Labor rate flagged: "&amp;M490,"OK")))</f>
        <v>OK</v>
      </c>
      <c r="P490" s="0" t="s">
        <v>1823</v>
      </c>
      <c r="Q490" s="8" t="s">
        <v>1824</v>
      </c>
      <c r="R490" s="2" t="str">
        <f aca="false">IF(OR(M490="regulated",COUNTIFS(Tasks_TaskID,A490,Tasks_Tier,D490,Tasks_Review,"base")&gt;0),"PENDING REVIEW – priced, not bookable until human approval",IF(COUNTIFS(Tasks_TaskID,A490,Tasks_Tier,D490,Tasks_Review,"as-needed")&gt;0,"Bookable (re-evaluate if regulated as-needed line selected)","Bookable"))</f>
        <v>Bookable</v>
      </c>
    </row>
    <row r="491" customFormat="false" ht="17.15" hidden="false" customHeight="false" outlineLevel="0" collapsed="false">
      <c r="A491" s="2" t="s">
        <v>1819</v>
      </c>
      <c r="B491" s="2" t="s">
        <v>939</v>
      </c>
      <c r="C491" s="2" t="s">
        <v>1820</v>
      </c>
      <c r="D491" s="2" t="s">
        <v>1051</v>
      </c>
      <c r="E491" s="2" t="s">
        <v>1896</v>
      </c>
      <c r="F491" s="3" t="n">
        <f aca="false">INDEX(Sum_Base,MATCH(A491,Sum_BaseTasks,0),MATCH(D491,Sum_BaseTiers,0))</f>
        <v>204.8</v>
      </c>
      <c r="G491" s="2" t="str">
        <f aca="false">IF(ISNUMBER(MATCH(A491&amp;"|"&amp;D491,LR_Key,0)),A491&amp;"|"&amp;D491,A491&amp;"|All")</f>
        <v>FIXX-CLN-006|All</v>
      </c>
      <c r="H491" s="3" t="n">
        <f aca="false">IFERROR(INDEX(LR_TypLabor,MATCH(G491,LR_Key,0)),"")</f>
        <v>800</v>
      </c>
      <c r="I491" s="12" t="n">
        <f aca="false">INDEX(Urg_Mult,MATCH(E491,Urg_Levels,0))</f>
        <v>1.15</v>
      </c>
      <c r="J491" s="3" t="n">
        <f aca="false">IF(ISNUMBER(H491),MAX(H491,IFERROR(INDEX(MW_Floor,MATCH(G491,MW_Key,0)),0))*I491,"")</f>
        <v>920</v>
      </c>
      <c r="K491" s="3" t="n">
        <f aca="false">IF(ISNUMBER(J491),F491+J491,"")</f>
        <v>1124.8</v>
      </c>
      <c r="L491" s="3" t="n">
        <f aca="false">IF(ISNUMBER(H491),MAX(H491,IFERROR(INDEX(MW_Floor,MATCH(G491,MW_Key,0)),0))*I491,"")</f>
        <v>920</v>
      </c>
      <c r="M491" s="2" t="str">
        <f aca="false">IFERROR(INDEX(LR_Flag,MATCH(G491,LR_Key,0)),"")</f>
        <v>none</v>
      </c>
      <c r="N491" s="2" t="str">
        <f aca="false">IFERROR(INDEX(MW_Check,MATCH(G491,MW_Key,0)),"")</f>
        <v>OK</v>
      </c>
      <c r="O491" s="0" t="str">
        <f aca="false">IF(NOT(ISNUMBER(H491)),"LABOR QUOTE NEEDED – total incomplete",IF(N491="BELOW FLOOR","CHECK: typical labor below wage floor – payout and customer labor raised to floor",IF(M491&lt;&gt;"none","Labor rate flagged: "&amp;M491,"OK")))</f>
        <v>OK</v>
      </c>
      <c r="P491" s="0" t="s">
        <v>1823</v>
      </c>
      <c r="Q491" s="8" t="s">
        <v>1824</v>
      </c>
      <c r="R491" s="2" t="str">
        <f aca="false">IF(OR(M491="regulated",COUNTIFS(Tasks_TaskID,A491,Tasks_Tier,D491,Tasks_Review,"base")&gt;0),"PENDING REVIEW – priced, not bookable until human approval",IF(COUNTIFS(Tasks_TaskID,A491,Tasks_Tier,D491,Tasks_Review,"as-needed")&gt;0,"Bookable (re-evaluate if regulated as-needed line selected)","Bookable"))</f>
        <v>Bookable</v>
      </c>
    </row>
    <row r="492" customFormat="false" ht="17.15" hidden="false" customHeight="false" outlineLevel="0" collapsed="false">
      <c r="A492" s="2" t="s">
        <v>1819</v>
      </c>
      <c r="B492" s="2" t="s">
        <v>939</v>
      </c>
      <c r="C492" s="2" t="s">
        <v>1820</v>
      </c>
      <c r="D492" s="2" t="s">
        <v>1051</v>
      </c>
      <c r="E492" s="2" t="s">
        <v>1897</v>
      </c>
      <c r="F492" s="3" t="n">
        <f aca="false">INDEX(Sum_Base,MATCH(A492,Sum_BaseTasks,0),MATCH(D492,Sum_BaseTiers,0))</f>
        <v>204.8</v>
      </c>
      <c r="G492" s="2" t="str">
        <f aca="false">IF(ISNUMBER(MATCH(A492&amp;"|"&amp;D492,LR_Key,0)),A492&amp;"|"&amp;D492,A492&amp;"|All")</f>
        <v>FIXX-CLN-006|All</v>
      </c>
      <c r="H492" s="3" t="n">
        <f aca="false">IFERROR(INDEX(LR_TypLabor,MATCH(G492,LR_Key,0)),"")</f>
        <v>800</v>
      </c>
      <c r="I492" s="12" t="n">
        <f aca="false">INDEX(Urg_Mult,MATCH(E492,Urg_Levels,0))</f>
        <v>1.3</v>
      </c>
      <c r="J492" s="3" t="n">
        <f aca="false">IF(ISNUMBER(H492),MAX(H492,IFERROR(INDEX(MW_Floor,MATCH(G492,MW_Key,0)),0))*I492,"")</f>
        <v>1040</v>
      </c>
      <c r="K492" s="3" t="n">
        <f aca="false">IF(ISNUMBER(J492),F492+J492,"")</f>
        <v>1244.8</v>
      </c>
      <c r="L492" s="3" t="n">
        <f aca="false">IF(ISNUMBER(H492),MAX(H492,IFERROR(INDEX(MW_Floor,MATCH(G492,MW_Key,0)),0))*I492,"")</f>
        <v>1040</v>
      </c>
      <c r="M492" s="2" t="str">
        <f aca="false">IFERROR(INDEX(LR_Flag,MATCH(G492,LR_Key,0)),"")</f>
        <v>none</v>
      </c>
      <c r="N492" s="2" t="str">
        <f aca="false">IFERROR(INDEX(MW_Check,MATCH(G492,MW_Key,0)),"")</f>
        <v>OK</v>
      </c>
      <c r="O492" s="0" t="str">
        <f aca="false">IF(NOT(ISNUMBER(H492)),"LABOR QUOTE NEEDED – total incomplete",IF(N492="BELOW FLOOR","CHECK: typical labor below wage floor – payout and customer labor raised to floor",IF(M492&lt;&gt;"none","Labor rate flagged: "&amp;M492,"OK")))</f>
        <v>OK</v>
      </c>
      <c r="P492" s="0" t="s">
        <v>1823</v>
      </c>
      <c r="Q492" s="8" t="s">
        <v>1824</v>
      </c>
      <c r="R492" s="2" t="str">
        <f aca="false">IF(OR(M492="regulated",COUNTIFS(Tasks_TaskID,A492,Tasks_Tier,D492,Tasks_Review,"base")&gt;0),"PENDING REVIEW – priced, not bookable until human approval",IF(COUNTIFS(Tasks_TaskID,A492,Tasks_Tier,D492,Tasks_Review,"as-needed")&gt;0,"Bookable (re-evaluate if regulated as-needed line selected)","Bookable"))</f>
        <v>Bookable</v>
      </c>
    </row>
    <row r="493" customFormat="false" ht="17.15" hidden="false" customHeight="false" outlineLevel="0" collapsed="false">
      <c r="A493" s="2" t="s">
        <v>1819</v>
      </c>
      <c r="B493" s="2" t="s">
        <v>939</v>
      </c>
      <c r="C493" s="2" t="s">
        <v>1820</v>
      </c>
      <c r="D493" s="2" t="s">
        <v>1051</v>
      </c>
      <c r="E493" s="2" t="s">
        <v>1898</v>
      </c>
      <c r="F493" s="3" t="n">
        <f aca="false">INDEX(Sum_Base,MATCH(A493,Sum_BaseTasks,0),MATCH(D493,Sum_BaseTiers,0))</f>
        <v>204.8</v>
      </c>
      <c r="G493" s="2" t="str">
        <f aca="false">IF(ISNUMBER(MATCH(A493&amp;"|"&amp;D493,LR_Key,0)),A493&amp;"|"&amp;D493,A493&amp;"|All")</f>
        <v>FIXX-CLN-006|All</v>
      </c>
      <c r="H493" s="3" t="n">
        <f aca="false">IFERROR(INDEX(LR_TypLabor,MATCH(G493,LR_Key,0)),"")</f>
        <v>800</v>
      </c>
      <c r="I493" s="12" t="n">
        <f aca="false">INDEX(Urg_Mult,MATCH(E493,Urg_Levels,0))</f>
        <v>1.5</v>
      </c>
      <c r="J493" s="3" t="n">
        <f aca="false">IF(ISNUMBER(H493),MAX(H493,IFERROR(INDEX(MW_Floor,MATCH(G493,MW_Key,0)),0))*I493,"")</f>
        <v>1200</v>
      </c>
      <c r="K493" s="3" t="n">
        <f aca="false">IF(ISNUMBER(J493),F493+J493,"")</f>
        <v>1404.8</v>
      </c>
      <c r="L493" s="3" t="n">
        <f aca="false">IF(ISNUMBER(H493),MAX(H493,IFERROR(INDEX(MW_Floor,MATCH(G493,MW_Key,0)),0))*I493,"")</f>
        <v>1200</v>
      </c>
      <c r="M493" s="2" t="str">
        <f aca="false">IFERROR(INDEX(LR_Flag,MATCH(G493,LR_Key,0)),"")</f>
        <v>none</v>
      </c>
      <c r="N493" s="2" t="str">
        <f aca="false">IFERROR(INDEX(MW_Check,MATCH(G493,MW_Key,0)),"")</f>
        <v>OK</v>
      </c>
      <c r="O493" s="0" t="str">
        <f aca="false">IF(NOT(ISNUMBER(H493)),"LABOR QUOTE NEEDED – total incomplete",IF(N493="BELOW FLOOR","CHECK: typical labor below wage floor – payout and customer labor raised to floor",IF(M493&lt;&gt;"none","Labor rate flagged: "&amp;M493,"OK")))</f>
        <v>OK</v>
      </c>
      <c r="P493" s="0" t="s">
        <v>1823</v>
      </c>
      <c r="Q493" s="8" t="s">
        <v>1824</v>
      </c>
      <c r="R493" s="2" t="str">
        <f aca="false">IF(OR(M493="regulated",COUNTIFS(Tasks_TaskID,A493,Tasks_Tier,D493,Tasks_Review,"base")&gt;0),"PENDING REVIEW – priced, not bookable until human approval",IF(COUNTIFS(Tasks_TaskID,A493,Tasks_Tier,D493,Tasks_Review,"as-needed")&gt;0,"Bookable (re-evaluate if regulated as-needed line selected)","Bookable"))</f>
        <v>Bookable</v>
      </c>
    </row>
    <row r="494" customFormat="false" ht="17.15" hidden="false" customHeight="false" outlineLevel="0" collapsed="false">
      <c r="A494" s="2" t="s">
        <v>1827</v>
      </c>
      <c r="B494" s="2" t="s">
        <v>939</v>
      </c>
      <c r="C494" s="2" t="s">
        <v>1828</v>
      </c>
      <c r="D494" s="2" t="s">
        <v>1042</v>
      </c>
      <c r="E494" s="2" t="s">
        <v>1895</v>
      </c>
      <c r="F494" s="3" t="n">
        <f aca="false">INDEX(Sum_Base,MATCH(A494,Sum_BaseTasks,0),MATCH(D494,Sum_BaseTiers,0))</f>
        <v>77</v>
      </c>
      <c r="G494" s="2" t="str">
        <f aca="false">IF(ISNUMBER(MATCH(A494&amp;"|"&amp;D494,LR_Key,0)),A494&amp;"|"&amp;D494,A494&amp;"|All")</f>
        <v>FIXX-CLN-007|All</v>
      </c>
      <c r="H494" s="3" t="n">
        <f aca="false">IFERROR(INDEX(LR_TypLabor,MATCH(G494,LR_Key,0)),"")</f>
        <v>1100</v>
      </c>
      <c r="I494" s="12" t="n">
        <f aca="false">INDEX(Urg_Mult,MATCH(E494,Urg_Levels,0))</f>
        <v>1</v>
      </c>
      <c r="J494" s="3" t="n">
        <f aca="false">IF(ISNUMBER(H494),MAX(H494,IFERROR(INDEX(MW_Floor,MATCH(G494,MW_Key,0)),0))*I494,"")</f>
        <v>1100</v>
      </c>
      <c r="K494" s="3" t="n">
        <f aca="false">IF(ISNUMBER(J494),F494+J494,"")</f>
        <v>1177</v>
      </c>
      <c r="L494" s="3" t="n">
        <f aca="false">IF(ISNUMBER(H494),MAX(H494,IFERROR(INDEX(MW_Floor,MATCH(G494,MW_Key,0)),0))*I494,"")</f>
        <v>1100</v>
      </c>
      <c r="M494" s="2" t="str">
        <f aca="false">IFERROR(INDEX(LR_Flag,MATCH(G494,LR_Key,0)),"")</f>
        <v>none</v>
      </c>
      <c r="N494" s="2" t="str">
        <f aca="false">IFERROR(INDEX(MW_Check,MATCH(G494,MW_Key,0)),"")</f>
        <v>OK</v>
      </c>
      <c r="O494" s="0" t="str">
        <f aca="false">IF(NOT(ISNUMBER(H494)),"LABOR QUOTE NEEDED – total incomplete",IF(N494="BELOW FLOOR","CHECK: typical labor below wage floor – payout and customer labor raised to floor",IF(M494&lt;&gt;"none","Labor rate flagged: "&amp;M494,"OK")))</f>
        <v>OK</v>
      </c>
      <c r="P494" s="0" t="s">
        <v>1831</v>
      </c>
      <c r="Q494" s="8" t="s">
        <v>1832</v>
      </c>
      <c r="R494" s="2" t="str">
        <f aca="false">IF(OR(M494="regulated",COUNTIFS(Tasks_TaskID,A494,Tasks_Tier,D494,Tasks_Review,"base")&gt;0),"PENDING REVIEW – priced, not bookable until human approval",IF(COUNTIFS(Tasks_TaskID,A494,Tasks_Tier,D494,Tasks_Review,"as-needed")&gt;0,"Bookable (re-evaluate if regulated as-needed line selected)","Bookable"))</f>
        <v>Bookable (re-evaluate if regulated as-needed line selected)</v>
      </c>
    </row>
    <row r="495" customFormat="false" ht="17.15" hidden="false" customHeight="false" outlineLevel="0" collapsed="false">
      <c r="A495" s="2" t="s">
        <v>1827</v>
      </c>
      <c r="B495" s="2" t="s">
        <v>939</v>
      </c>
      <c r="C495" s="2" t="s">
        <v>1828</v>
      </c>
      <c r="D495" s="2" t="s">
        <v>1042</v>
      </c>
      <c r="E495" s="2" t="s">
        <v>1896</v>
      </c>
      <c r="F495" s="3" t="n">
        <f aca="false">INDEX(Sum_Base,MATCH(A495,Sum_BaseTasks,0),MATCH(D495,Sum_BaseTiers,0))</f>
        <v>77</v>
      </c>
      <c r="G495" s="2" t="str">
        <f aca="false">IF(ISNUMBER(MATCH(A495&amp;"|"&amp;D495,LR_Key,0)),A495&amp;"|"&amp;D495,A495&amp;"|All")</f>
        <v>FIXX-CLN-007|All</v>
      </c>
      <c r="H495" s="3" t="n">
        <f aca="false">IFERROR(INDEX(LR_TypLabor,MATCH(G495,LR_Key,0)),"")</f>
        <v>1100</v>
      </c>
      <c r="I495" s="12" t="n">
        <f aca="false">INDEX(Urg_Mult,MATCH(E495,Urg_Levels,0))</f>
        <v>1.15</v>
      </c>
      <c r="J495" s="3" t="n">
        <f aca="false">IF(ISNUMBER(H495),MAX(H495,IFERROR(INDEX(MW_Floor,MATCH(G495,MW_Key,0)),0))*I495,"")</f>
        <v>1265</v>
      </c>
      <c r="K495" s="3" t="n">
        <f aca="false">IF(ISNUMBER(J495),F495+J495,"")</f>
        <v>1342</v>
      </c>
      <c r="L495" s="3" t="n">
        <f aca="false">IF(ISNUMBER(H495),MAX(H495,IFERROR(INDEX(MW_Floor,MATCH(G495,MW_Key,0)),0))*I495,"")</f>
        <v>1265</v>
      </c>
      <c r="M495" s="2" t="str">
        <f aca="false">IFERROR(INDEX(LR_Flag,MATCH(G495,LR_Key,0)),"")</f>
        <v>none</v>
      </c>
      <c r="N495" s="2" t="str">
        <f aca="false">IFERROR(INDEX(MW_Check,MATCH(G495,MW_Key,0)),"")</f>
        <v>OK</v>
      </c>
      <c r="O495" s="0" t="str">
        <f aca="false">IF(NOT(ISNUMBER(H495)),"LABOR QUOTE NEEDED – total incomplete",IF(N495="BELOW FLOOR","CHECK: typical labor below wage floor – payout and customer labor raised to floor",IF(M495&lt;&gt;"none","Labor rate flagged: "&amp;M495,"OK")))</f>
        <v>OK</v>
      </c>
      <c r="P495" s="0" t="s">
        <v>1831</v>
      </c>
      <c r="Q495" s="8" t="s">
        <v>1832</v>
      </c>
      <c r="R495" s="2" t="str">
        <f aca="false">IF(OR(M495="regulated",COUNTIFS(Tasks_TaskID,A495,Tasks_Tier,D495,Tasks_Review,"base")&gt;0),"PENDING REVIEW – priced, not bookable until human approval",IF(COUNTIFS(Tasks_TaskID,A495,Tasks_Tier,D495,Tasks_Review,"as-needed")&gt;0,"Bookable (re-evaluate if regulated as-needed line selected)","Bookable"))</f>
        <v>Bookable (re-evaluate if regulated as-needed line selected)</v>
      </c>
    </row>
    <row r="496" customFormat="false" ht="17.15" hidden="false" customHeight="false" outlineLevel="0" collapsed="false">
      <c r="A496" s="2" t="s">
        <v>1827</v>
      </c>
      <c r="B496" s="2" t="s">
        <v>939</v>
      </c>
      <c r="C496" s="2" t="s">
        <v>1828</v>
      </c>
      <c r="D496" s="2" t="s">
        <v>1042</v>
      </c>
      <c r="E496" s="2" t="s">
        <v>1897</v>
      </c>
      <c r="F496" s="3" t="n">
        <f aca="false">INDEX(Sum_Base,MATCH(A496,Sum_BaseTasks,0),MATCH(D496,Sum_BaseTiers,0))</f>
        <v>77</v>
      </c>
      <c r="G496" s="2" t="str">
        <f aca="false">IF(ISNUMBER(MATCH(A496&amp;"|"&amp;D496,LR_Key,0)),A496&amp;"|"&amp;D496,A496&amp;"|All")</f>
        <v>FIXX-CLN-007|All</v>
      </c>
      <c r="H496" s="3" t="n">
        <f aca="false">IFERROR(INDEX(LR_TypLabor,MATCH(G496,LR_Key,0)),"")</f>
        <v>1100</v>
      </c>
      <c r="I496" s="12" t="n">
        <f aca="false">INDEX(Urg_Mult,MATCH(E496,Urg_Levels,0))</f>
        <v>1.3</v>
      </c>
      <c r="J496" s="3" t="n">
        <f aca="false">IF(ISNUMBER(H496),MAX(H496,IFERROR(INDEX(MW_Floor,MATCH(G496,MW_Key,0)),0))*I496,"")</f>
        <v>1430</v>
      </c>
      <c r="K496" s="3" t="n">
        <f aca="false">IF(ISNUMBER(J496),F496+J496,"")</f>
        <v>1507</v>
      </c>
      <c r="L496" s="3" t="n">
        <f aca="false">IF(ISNUMBER(H496),MAX(H496,IFERROR(INDEX(MW_Floor,MATCH(G496,MW_Key,0)),0))*I496,"")</f>
        <v>1430</v>
      </c>
      <c r="M496" s="2" t="str">
        <f aca="false">IFERROR(INDEX(LR_Flag,MATCH(G496,LR_Key,0)),"")</f>
        <v>none</v>
      </c>
      <c r="N496" s="2" t="str">
        <f aca="false">IFERROR(INDEX(MW_Check,MATCH(G496,MW_Key,0)),"")</f>
        <v>OK</v>
      </c>
      <c r="O496" s="0" t="str">
        <f aca="false">IF(NOT(ISNUMBER(H496)),"LABOR QUOTE NEEDED – total incomplete",IF(N496="BELOW FLOOR","CHECK: typical labor below wage floor – payout and customer labor raised to floor",IF(M496&lt;&gt;"none","Labor rate flagged: "&amp;M496,"OK")))</f>
        <v>OK</v>
      </c>
      <c r="P496" s="0" t="s">
        <v>1831</v>
      </c>
      <c r="Q496" s="8" t="s">
        <v>1832</v>
      </c>
      <c r="R496" s="2" t="str">
        <f aca="false">IF(OR(M496="regulated",COUNTIFS(Tasks_TaskID,A496,Tasks_Tier,D496,Tasks_Review,"base")&gt;0),"PENDING REVIEW – priced, not bookable until human approval",IF(COUNTIFS(Tasks_TaskID,A496,Tasks_Tier,D496,Tasks_Review,"as-needed")&gt;0,"Bookable (re-evaluate if regulated as-needed line selected)","Bookable"))</f>
        <v>Bookable (re-evaluate if regulated as-needed line selected)</v>
      </c>
    </row>
    <row r="497" customFormat="false" ht="17.15" hidden="false" customHeight="false" outlineLevel="0" collapsed="false">
      <c r="A497" s="2" t="s">
        <v>1827</v>
      </c>
      <c r="B497" s="2" t="s">
        <v>939</v>
      </c>
      <c r="C497" s="2" t="s">
        <v>1828</v>
      </c>
      <c r="D497" s="2" t="s">
        <v>1042</v>
      </c>
      <c r="E497" s="2" t="s">
        <v>1898</v>
      </c>
      <c r="F497" s="3" t="n">
        <f aca="false">INDEX(Sum_Base,MATCH(A497,Sum_BaseTasks,0),MATCH(D497,Sum_BaseTiers,0))</f>
        <v>77</v>
      </c>
      <c r="G497" s="2" t="str">
        <f aca="false">IF(ISNUMBER(MATCH(A497&amp;"|"&amp;D497,LR_Key,0)),A497&amp;"|"&amp;D497,A497&amp;"|All")</f>
        <v>FIXX-CLN-007|All</v>
      </c>
      <c r="H497" s="3" t="n">
        <f aca="false">IFERROR(INDEX(LR_TypLabor,MATCH(G497,LR_Key,0)),"")</f>
        <v>1100</v>
      </c>
      <c r="I497" s="12" t="n">
        <f aca="false">INDEX(Urg_Mult,MATCH(E497,Urg_Levels,0))</f>
        <v>1.5</v>
      </c>
      <c r="J497" s="3" t="n">
        <f aca="false">IF(ISNUMBER(H497),MAX(H497,IFERROR(INDEX(MW_Floor,MATCH(G497,MW_Key,0)),0))*I497,"")</f>
        <v>1650</v>
      </c>
      <c r="K497" s="3" t="n">
        <f aca="false">IF(ISNUMBER(J497),F497+J497,"")</f>
        <v>1727</v>
      </c>
      <c r="L497" s="3" t="n">
        <f aca="false">IF(ISNUMBER(H497),MAX(H497,IFERROR(INDEX(MW_Floor,MATCH(G497,MW_Key,0)),0))*I497,"")</f>
        <v>1650</v>
      </c>
      <c r="M497" s="2" t="str">
        <f aca="false">IFERROR(INDEX(LR_Flag,MATCH(G497,LR_Key,0)),"")</f>
        <v>none</v>
      </c>
      <c r="N497" s="2" t="str">
        <f aca="false">IFERROR(INDEX(MW_Check,MATCH(G497,MW_Key,0)),"")</f>
        <v>OK</v>
      </c>
      <c r="O497" s="0" t="str">
        <f aca="false">IF(NOT(ISNUMBER(H497)),"LABOR QUOTE NEEDED – total incomplete",IF(N497="BELOW FLOOR","CHECK: typical labor below wage floor – payout and customer labor raised to floor",IF(M497&lt;&gt;"none","Labor rate flagged: "&amp;M497,"OK")))</f>
        <v>OK</v>
      </c>
      <c r="P497" s="0" t="s">
        <v>1831</v>
      </c>
      <c r="Q497" s="8" t="s">
        <v>1832</v>
      </c>
      <c r="R497" s="2" t="str">
        <f aca="false">IF(OR(M497="regulated",COUNTIFS(Tasks_TaskID,A497,Tasks_Tier,D497,Tasks_Review,"base")&gt;0),"PENDING REVIEW – priced, not bookable until human approval",IF(COUNTIFS(Tasks_TaskID,A497,Tasks_Tier,D497,Tasks_Review,"as-needed")&gt;0,"Bookable (re-evaluate if regulated as-needed line selected)","Bookable"))</f>
        <v>Bookable (re-evaluate if regulated as-needed line selected)</v>
      </c>
    </row>
    <row r="498" customFormat="false" ht="17.15" hidden="false" customHeight="false" outlineLevel="0" collapsed="false">
      <c r="A498" s="2" t="s">
        <v>1827</v>
      </c>
      <c r="B498" s="2" t="s">
        <v>939</v>
      </c>
      <c r="C498" s="2" t="s">
        <v>1828</v>
      </c>
      <c r="D498" s="2" t="s">
        <v>1049</v>
      </c>
      <c r="E498" s="2" t="s">
        <v>1895</v>
      </c>
      <c r="F498" s="3" t="n">
        <f aca="false">INDEX(Sum_Base,MATCH(A498,Sum_BaseTasks,0),MATCH(D498,Sum_BaseTiers,0))</f>
        <v>130</v>
      </c>
      <c r="G498" s="2" t="str">
        <f aca="false">IF(ISNUMBER(MATCH(A498&amp;"|"&amp;D498,LR_Key,0)),A498&amp;"|"&amp;D498,A498&amp;"|All")</f>
        <v>FIXX-CLN-007|All</v>
      </c>
      <c r="H498" s="3" t="n">
        <f aca="false">IFERROR(INDEX(LR_TypLabor,MATCH(G498,LR_Key,0)),"")</f>
        <v>1100</v>
      </c>
      <c r="I498" s="12" t="n">
        <f aca="false">INDEX(Urg_Mult,MATCH(E498,Urg_Levels,0))</f>
        <v>1</v>
      </c>
      <c r="J498" s="3" t="n">
        <f aca="false">IF(ISNUMBER(H498),MAX(H498,IFERROR(INDEX(MW_Floor,MATCH(G498,MW_Key,0)),0))*I498,"")</f>
        <v>1100</v>
      </c>
      <c r="K498" s="3" t="n">
        <f aca="false">IF(ISNUMBER(J498),F498+J498,"")</f>
        <v>1230</v>
      </c>
      <c r="L498" s="3" t="n">
        <f aca="false">IF(ISNUMBER(H498),MAX(H498,IFERROR(INDEX(MW_Floor,MATCH(G498,MW_Key,0)),0))*I498,"")</f>
        <v>1100</v>
      </c>
      <c r="M498" s="2" t="str">
        <f aca="false">IFERROR(INDEX(LR_Flag,MATCH(G498,LR_Key,0)),"")</f>
        <v>none</v>
      </c>
      <c r="N498" s="2" t="str">
        <f aca="false">IFERROR(INDEX(MW_Check,MATCH(G498,MW_Key,0)),"")</f>
        <v>OK</v>
      </c>
      <c r="O498" s="0" t="str">
        <f aca="false">IF(NOT(ISNUMBER(H498)),"LABOR QUOTE NEEDED – total incomplete",IF(N498="BELOW FLOOR","CHECK: typical labor below wage floor – payout and customer labor raised to floor",IF(M498&lt;&gt;"none","Labor rate flagged: "&amp;M498,"OK")))</f>
        <v>OK</v>
      </c>
      <c r="P498" s="0" t="s">
        <v>1831</v>
      </c>
      <c r="Q498" s="8" t="s">
        <v>1832</v>
      </c>
      <c r="R498" s="2" t="str">
        <f aca="false">IF(OR(M498="regulated",COUNTIFS(Tasks_TaskID,A498,Tasks_Tier,D498,Tasks_Review,"base")&gt;0),"PENDING REVIEW – priced, not bookable until human approval",IF(COUNTIFS(Tasks_TaskID,A498,Tasks_Tier,D498,Tasks_Review,"as-needed")&gt;0,"Bookable (re-evaluate if regulated as-needed line selected)","Bookable"))</f>
        <v>Bookable (re-evaluate if regulated as-needed line selected)</v>
      </c>
    </row>
    <row r="499" customFormat="false" ht="17.15" hidden="false" customHeight="false" outlineLevel="0" collapsed="false">
      <c r="A499" s="2" t="s">
        <v>1827</v>
      </c>
      <c r="B499" s="2" t="s">
        <v>939</v>
      </c>
      <c r="C499" s="2" t="s">
        <v>1828</v>
      </c>
      <c r="D499" s="2" t="s">
        <v>1049</v>
      </c>
      <c r="E499" s="2" t="s">
        <v>1896</v>
      </c>
      <c r="F499" s="3" t="n">
        <f aca="false">INDEX(Sum_Base,MATCH(A499,Sum_BaseTasks,0),MATCH(D499,Sum_BaseTiers,0))</f>
        <v>130</v>
      </c>
      <c r="G499" s="2" t="str">
        <f aca="false">IF(ISNUMBER(MATCH(A499&amp;"|"&amp;D499,LR_Key,0)),A499&amp;"|"&amp;D499,A499&amp;"|All")</f>
        <v>FIXX-CLN-007|All</v>
      </c>
      <c r="H499" s="3" t="n">
        <f aca="false">IFERROR(INDEX(LR_TypLabor,MATCH(G499,LR_Key,0)),"")</f>
        <v>1100</v>
      </c>
      <c r="I499" s="12" t="n">
        <f aca="false">INDEX(Urg_Mult,MATCH(E499,Urg_Levels,0))</f>
        <v>1.15</v>
      </c>
      <c r="J499" s="3" t="n">
        <f aca="false">IF(ISNUMBER(H499),MAX(H499,IFERROR(INDEX(MW_Floor,MATCH(G499,MW_Key,0)),0))*I499,"")</f>
        <v>1265</v>
      </c>
      <c r="K499" s="3" t="n">
        <f aca="false">IF(ISNUMBER(J499),F499+J499,"")</f>
        <v>1395</v>
      </c>
      <c r="L499" s="3" t="n">
        <f aca="false">IF(ISNUMBER(H499),MAX(H499,IFERROR(INDEX(MW_Floor,MATCH(G499,MW_Key,0)),0))*I499,"")</f>
        <v>1265</v>
      </c>
      <c r="M499" s="2" t="str">
        <f aca="false">IFERROR(INDEX(LR_Flag,MATCH(G499,LR_Key,0)),"")</f>
        <v>none</v>
      </c>
      <c r="N499" s="2" t="str">
        <f aca="false">IFERROR(INDEX(MW_Check,MATCH(G499,MW_Key,0)),"")</f>
        <v>OK</v>
      </c>
      <c r="O499" s="0" t="str">
        <f aca="false">IF(NOT(ISNUMBER(H499)),"LABOR QUOTE NEEDED – total incomplete",IF(N499="BELOW FLOOR","CHECK: typical labor below wage floor – payout and customer labor raised to floor",IF(M499&lt;&gt;"none","Labor rate flagged: "&amp;M499,"OK")))</f>
        <v>OK</v>
      </c>
      <c r="P499" s="0" t="s">
        <v>1831</v>
      </c>
      <c r="Q499" s="8" t="s">
        <v>1832</v>
      </c>
      <c r="R499" s="2" t="str">
        <f aca="false">IF(OR(M499="regulated",COUNTIFS(Tasks_TaskID,A499,Tasks_Tier,D499,Tasks_Review,"base")&gt;0),"PENDING REVIEW – priced, not bookable until human approval",IF(COUNTIFS(Tasks_TaskID,A499,Tasks_Tier,D499,Tasks_Review,"as-needed")&gt;0,"Bookable (re-evaluate if regulated as-needed line selected)","Bookable"))</f>
        <v>Bookable (re-evaluate if regulated as-needed line selected)</v>
      </c>
    </row>
    <row r="500" customFormat="false" ht="17.15" hidden="false" customHeight="false" outlineLevel="0" collapsed="false">
      <c r="A500" s="2" t="s">
        <v>1827</v>
      </c>
      <c r="B500" s="2" t="s">
        <v>939</v>
      </c>
      <c r="C500" s="2" t="s">
        <v>1828</v>
      </c>
      <c r="D500" s="2" t="s">
        <v>1049</v>
      </c>
      <c r="E500" s="2" t="s">
        <v>1897</v>
      </c>
      <c r="F500" s="3" t="n">
        <f aca="false">INDEX(Sum_Base,MATCH(A500,Sum_BaseTasks,0),MATCH(D500,Sum_BaseTiers,0))</f>
        <v>130</v>
      </c>
      <c r="G500" s="2" t="str">
        <f aca="false">IF(ISNUMBER(MATCH(A500&amp;"|"&amp;D500,LR_Key,0)),A500&amp;"|"&amp;D500,A500&amp;"|All")</f>
        <v>FIXX-CLN-007|All</v>
      </c>
      <c r="H500" s="3" t="n">
        <f aca="false">IFERROR(INDEX(LR_TypLabor,MATCH(G500,LR_Key,0)),"")</f>
        <v>1100</v>
      </c>
      <c r="I500" s="12" t="n">
        <f aca="false">INDEX(Urg_Mult,MATCH(E500,Urg_Levels,0))</f>
        <v>1.3</v>
      </c>
      <c r="J500" s="3" t="n">
        <f aca="false">IF(ISNUMBER(H500),MAX(H500,IFERROR(INDEX(MW_Floor,MATCH(G500,MW_Key,0)),0))*I500,"")</f>
        <v>1430</v>
      </c>
      <c r="K500" s="3" t="n">
        <f aca="false">IF(ISNUMBER(J500),F500+J500,"")</f>
        <v>1560</v>
      </c>
      <c r="L500" s="3" t="n">
        <f aca="false">IF(ISNUMBER(H500),MAX(H500,IFERROR(INDEX(MW_Floor,MATCH(G500,MW_Key,0)),0))*I500,"")</f>
        <v>1430</v>
      </c>
      <c r="M500" s="2" t="str">
        <f aca="false">IFERROR(INDEX(LR_Flag,MATCH(G500,LR_Key,0)),"")</f>
        <v>none</v>
      </c>
      <c r="N500" s="2" t="str">
        <f aca="false">IFERROR(INDEX(MW_Check,MATCH(G500,MW_Key,0)),"")</f>
        <v>OK</v>
      </c>
      <c r="O500" s="0" t="str">
        <f aca="false">IF(NOT(ISNUMBER(H500)),"LABOR QUOTE NEEDED – total incomplete",IF(N500="BELOW FLOOR","CHECK: typical labor below wage floor – payout and customer labor raised to floor",IF(M500&lt;&gt;"none","Labor rate flagged: "&amp;M500,"OK")))</f>
        <v>OK</v>
      </c>
      <c r="P500" s="0" t="s">
        <v>1831</v>
      </c>
      <c r="Q500" s="8" t="s">
        <v>1832</v>
      </c>
      <c r="R500" s="2" t="str">
        <f aca="false">IF(OR(M500="regulated",COUNTIFS(Tasks_TaskID,A500,Tasks_Tier,D500,Tasks_Review,"base")&gt;0),"PENDING REVIEW – priced, not bookable until human approval",IF(COUNTIFS(Tasks_TaskID,A500,Tasks_Tier,D500,Tasks_Review,"as-needed")&gt;0,"Bookable (re-evaluate if regulated as-needed line selected)","Bookable"))</f>
        <v>Bookable (re-evaluate if regulated as-needed line selected)</v>
      </c>
    </row>
    <row r="501" customFormat="false" ht="17.15" hidden="false" customHeight="false" outlineLevel="0" collapsed="false">
      <c r="A501" s="2" t="s">
        <v>1827</v>
      </c>
      <c r="B501" s="2" t="s">
        <v>939</v>
      </c>
      <c r="C501" s="2" t="s">
        <v>1828</v>
      </c>
      <c r="D501" s="2" t="s">
        <v>1049</v>
      </c>
      <c r="E501" s="2" t="s">
        <v>1898</v>
      </c>
      <c r="F501" s="3" t="n">
        <f aca="false">INDEX(Sum_Base,MATCH(A501,Sum_BaseTasks,0),MATCH(D501,Sum_BaseTiers,0))</f>
        <v>130</v>
      </c>
      <c r="G501" s="2" t="str">
        <f aca="false">IF(ISNUMBER(MATCH(A501&amp;"|"&amp;D501,LR_Key,0)),A501&amp;"|"&amp;D501,A501&amp;"|All")</f>
        <v>FIXX-CLN-007|All</v>
      </c>
      <c r="H501" s="3" t="n">
        <f aca="false">IFERROR(INDEX(LR_TypLabor,MATCH(G501,LR_Key,0)),"")</f>
        <v>1100</v>
      </c>
      <c r="I501" s="12" t="n">
        <f aca="false">INDEX(Urg_Mult,MATCH(E501,Urg_Levels,0))</f>
        <v>1.5</v>
      </c>
      <c r="J501" s="3" t="n">
        <f aca="false">IF(ISNUMBER(H501),MAX(H501,IFERROR(INDEX(MW_Floor,MATCH(G501,MW_Key,0)),0))*I501,"")</f>
        <v>1650</v>
      </c>
      <c r="K501" s="3" t="n">
        <f aca="false">IF(ISNUMBER(J501),F501+J501,"")</f>
        <v>1780</v>
      </c>
      <c r="L501" s="3" t="n">
        <f aca="false">IF(ISNUMBER(H501),MAX(H501,IFERROR(INDEX(MW_Floor,MATCH(G501,MW_Key,0)),0))*I501,"")</f>
        <v>1650</v>
      </c>
      <c r="M501" s="2" t="str">
        <f aca="false">IFERROR(INDEX(LR_Flag,MATCH(G501,LR_Key,0)),"")</f>
        <v>none</v>
      </c>
      <c r="N501" s="2" t="str">
        <f aca="false">IFERROR(INDEX(MW_Check,MATCH(G501,MW_Key,0)),"")</f>
        <v>OK</v>
      </c>
      <c r="O501" s="0" t="str">
        <f aca="false">IF(NOT(ISNUMBER(H501)),"LABOR QUOTE NEEDED – total incomplete",IF(N501="BELOW FLOOR","CHECK: typical labor below wage floor – payout and customer labor raised to floor",IF(M501&lt;&gt;"none","Labor rate flagged: "&amp;M501,"OK")))</f>
        <v>OK</v>
      </c>
      <c r="P501" s="0" t="s">
        <v>1831</v>
      </c>
      <c r="Q501" s="8" t="s">
        <v>1832</v>
      </c>
      <c r="R501" s="2" t="str">
        <f aca="false">IF(OR(M501="regulated",COUNTIFS(Tasks_TaskID,A501,Tasks_Tier,D501,Tasks_Review,"base")&gt;0),"PENDING REVIEW – priced, not bookable until human approval",IF(COUNTIFS(Tasks_TaskID,A501,Tasks_Tier,D501,Tasks_Review,"as-needed")&gt;0,"Bookable (re-evaluate if regulated as-needed line selected)","Bookable"))</f>
        <v>Bookable (re-evaluate if regulated as-needed line selected)</v>
      </c>
    </row>
    <row r="502" customFormat="false" ht="17.15" hidden="false" customHeight="false" outlineLevel="0" collapsed="false">
      <c r="A502" s="2" t="s">
        <v>1827</v>
      </c>
      <c r="B502" s="2" t="s">
        <v>939</v>
      </c>
      <c r="C502" s="2" t="s">
        <v>1828</v>
      </c>
      <c r="D502" s="2" t="s">
        <v>1051</v>
      </c>
      <c r="E502" s="2" t="s">
        <v>1895</v>
      </c>
      <c r="F502" s="3" t="n">
        <f aca="false">INDEX(Sum_Base,MATCH(A502,Sum_BaseTasks,0),MATCH(D502,Sum_BaseTiers,0))</f>
        <v>183</v>
      </c>
      <c r="G502" s="2" t="str">
        <f aca="false">IF(ISNUMBER(MATCH(A502&amp;"|"&amp;D502,LR_Key,0)),A502&amp;"|"&amp;D502,A502&amp;"|All")</f>
        <v>FIXX-CLN-007|All</v>
      </c>
      <c r="H502" s="3" t="n">
        <f aca="false">IFERROR(INDEX(LR_TypLabor,MATCH(G502,LR_Key,0)),"")</f>
        <v>1100</v>
      </c>
      <c r="I502" s="12" t="n">
        <f aca="false">INDEX(Urg_Mult,MATCH(E502,Urg_Levels,0))</f>
        <v>1</v>
      </c>
      <c r="J502" s="3" t="n">
        <f aca="false">IF(ISNUMBER(H502),MAX(H502,IFERROR(INDEX(MW_Floor,MATCH(G502,MW_Key,0)),0))*I502,"")</f>
        <v>1100</v>
      </c>
      <c r="K502" s="3" t="n">
        <f aca="false">IF(ISNUMBER(J502),F502+J502,"")</f>
        <v>1283</v>
      </c>
      <c r="L502" s="3" t="n">
        <f aca="false">IF(ISNUMBER(H502),MAX(H502,IFERROR(INDEX(MW_Floor,MATCH(G502,MW_Key,0)),0))*I502,"")</f>
        <v>1100</v>
      </c>
      <c r="M502" s="2" t="str">
        <f aca="false">IFERROR(INDEX(LR_Flag,MATCH(G502,LR_Key,0)),"")</f>
        <v>none</v>
      </c>
      <c r="N502" s="2" t="str">
        <f aca="false">IFERROR(INDEX(MW_Check,MATCH(G502,MW_Key,0)),"")</f>
        <v>OK</v>
      </c>
      <c r="O502" s="0" t="str">
        <f aca="false">IF(NOT(ISNUMBER(H502)),"LABOR QUOTE NEEDED – total incomplete",IF(N502="BELOW FLOOR","CHECK: typical labor below wage floor – payout and customer labor raised to floor",IF(M502&lt;&gt;"none","Labor rate flagged: "&amp;M502,"OK")))</f>
        <v>OK</v>
      </c>
      <c r="P502" s="0" t="s">
        <v>1831</v>
      </c>
      <c r="Q502" s="8" t="s">
        <v>1832</v>
      </c>
      <c r="R502" s="2" t="str">
        <f aca="false">IF(OR(M502="regulated",COUNTIFS(Tasks_TaskID,A502,Tasks_Tier,D502,Tasks_Review,"base")&gt;0),"PENDING REVIEW – priced, not bookable until human approval",IF(COUNTIFS(Tasks_TaskID,A502,Tasks_Tier,D502,Tasks_Review,"as-needed")&gt;0,"Bookable (re-evaluate if regulated as-needed line selected)","Bookable"))</f>
        <v>Bookable (re-evaluate if regulated as-needed line selected)</v>
      </c>
    </row>
    <row r="503" customFormat="false" ht="17.15" hidden="false" customHeight="false" outlineLevel="0" collapsed="false">
      <c r="A503" s="2" t="s">
        <v>1827</v>
      </c>
      <c r="B503" s="2" t="s">
        <v>939</v>
      </c>
      <c r="C503" s="2" t="s">
        <v>1828</v>
      </c>
      <c r="D503" s="2" t="s">
        <v>1051</v>
      </c>
      <c r="E503" s="2" t="s">
        <v>1896</v>
      </c>
      <c r="F503" s="3" t="n">
        <f aca="false">INDEX(Sum_Base,MATCH(A503,Sum_BaseTasks,0),MATCH(D503,Sum_BaseTiers,0))</f>
        <v>183</v>
      </c>
      <c r="G503" s="2" t="str">
        <f aca="false">IF(ISNUMBER(MATCH(A503&amp;"|"&amp;D503,LR_Key,0)),A503&amp;"|"&amp;D503,A503&amp;"|All")</f>
        <v>FIXX-CLN-007|All</v>
      </c>
      <c r="H503" s="3" t="n">
        <f aca="false">IFERROR(INDEX(LR_TypLabor,MATCH(G503,LR_Key,0)),"")</f>
        <v>1100</v>
      </c>
      <c r="I503" s="12" t="n">
        <f aca="false">INDEX(Urg_Mult,MATCH(E503,Urg_Levels,0))</f>
        <v>1.15</v>
      </c>
      <c r="J503" s="3" t="n">
        <f aca="false">IF(ISNUMBER(H503),MAX(H503,IFERROR(INDEX(MW_Floor,MATCH(G503,MW_Key,0)),0))*I503,"")</f>
        <v>1265</v>
      </c>
      <c r="K503" s="3" t="n">
        <f aca="false">IF(ISNUMBER(J503),F503+J503,"")</f>
        <v>1448</v>
      </c>
      <c r="L503" s="3" t="n">
        <f aca="false">IF(ISNUMBER(H503),MAX(H503,IFERROR(INDEX(MW_Floor,MATCH(G503,MW_Key,0)),0))*I503,"")</f>
        <v>1265</v>
      </c>
      <c r="M503" s="2" t="str">
        <f aca="false">IFERROR(INDEX(LR_Flag,MATCH(G503,LR_Key,0)),"")</f>
        <v>none</v>
      </c>
      <c r="N503" s="2" t="str">
        <f aca="false">IFERROR(INDEX(MW_Check,MATCH(G503,MW_Key,0)),"")</f>
        <v>OK</v>
      </c>
      <c r="O503" s="0" t="str">
        <f aca="false">IF(NOT(ISNUMBER(H503)),"LABOR QUOTE NEEDED – total incomplete",IF(N503="BELOW FLOOR","CHECK: typical labor below wage floor – payout and customer labor raised to floor",IF(M503&lt;&gt;"none","Labor rate flagged: "&amp;M503,"OK")))</f>
        <v>OK</v>
      </c>
      <c r="P503" s="0" t="s">
        <v>1831</v>
      </c>
      <c r="Q503" s="8" t="s">
        <v>1832</v>
      </c>
      <c r="R503" s="2" t="str">
        <f aca="false">IF(OR(M503="regulated",COUNTIFS(Tasks_TaskID,A503,Tasks_Tier,D503,Tasks_Review,"base")&gt;0),"PENDING REVIEW – priced, not bookable until human approval",IF(COUNTIFS(Tasks_TaskID,A503,Tasks_Tier,D503,Tasks_Review,"as-needed")&gt;0,"Bookable (re-evaluate if regulated as-needed line selected)","Bookable"))</f>
        <v>Bookable (re-evaluate if regulated as-needed line selected)</v>
      </c>
    </row>
    <row r="504" customFormat="false" ht="17.15" hidden="false" customHeight="false" outlineLevel="0" collapsed="false">
      <c r="A504" s="2" t="s">
        <v>1827</v>
      </c>
      <c r="B504" s="2" t="s">
        <v>939</v>
      </c>
      <c r="C504" s="2" t="s">
        <v>1828</v>
      </c>
      <c r="D504" s="2" t="s">
        <v>1051</v>
      </c>
      <c r="E504" s="2" t="s">
        <v>1897</v>
      </c>
      <c r="F504" s="3" t="n">
        <f aca="false">INDEX(Sum_Base,MATCH(A504,Sum_BaseTasks,0),MATCH(D504,Sum_BaseTiers,0))</f>
        <v>183</v>
      </c>
      <c r="G504" s="2" t="str">
        <f aca="false">IF(ISNUMBER(MATCH(A504&amp;"|"&amp;D504,LR_Key,0)),A504&amp;"|"&amp;D504,A504&amp;"|All")</f>
        <v>FIXX-CLN-007|All</v>
      </c>
      <c r="H504" s="3" t="n">
        <f aca="false">IFERROR(INDEX(LR_TypLabor,MATCH(G504,LR_Key,0)),"")</f>
        <v>1100</v>
      </c>
      <c r="I504" s="12" t="n">
        <f aca="false">INDEX(Urg_Mult,MATCH(E504,Urg_Levels,0))</f>
        <v>1.3</v>
      </c>
      <c r="J504" s="3" t="n">
        <f aca="false">IF(ISNUMBER(H504),MAX(H504,IFERROR(INDEX(MW_Floor,MATCH(G504,MW_Key,0)),0))*I504,"")</f>
        <v>1430</v>
      </c>
      <c r="K504" s="3" t="n">
        <f aca="false">IF(ISNUMBER(J504),F504+J504,"")</f>
        <v>1613</v>
      </c>
      <c r="L504" s="3" t="n">
        <f aca="false">IF(ISNUMBER(H504),MAX(H504,IFERROR(INDEX(MW_Floor,MATCH(G504,MW_Key,0)),0))*I504,"")</f>
        <v>1430</v>
      </c>
      <c r="M504" s="2" t="str">
        <f aca="false">IFERROR(INDEX(LR_Flag,MATCH(G504,LR_Key,0)),"")</f>
        <v>none</v>
      </c>
      <c r="N504" s="2" t="str">
        <f aca="false">IFERROR(INDEX(MW_Check,MATCH(G504,MW_Key,0)),"")</f>
        <v>OK</v>
      </c>
      <c r="O504" s="0" t="str">
        <f aca="false">IF(NOT(ISNUMBER(H504)),"LABOR QUOTE NEEDED – total incomplete",IF(N504="BELOW FLOOR","CHECK: typical labor below wage floor – payout and customer labor raised to floor",IF(M504&lt;&gt;"none","Labor rate flagged: "&amp;M504,"OK")))</f>
        <v>OK</v>
      </c>
      <c r="P504" s="0" t="s">
        <v>1831</v>
      </c>
      <c r="Q504" s="8" t="s">
        <v>1832</v>
      </c>
      <c r="R504" s="2" t="str">
        <f aca="false">IF(OR(M504="regulated",COUNTIFS(Tasks_TaskID,A504,Tasks_Tier,D504,Tasks_Review,"base")&gt;0),"PENDING REVIEW – priced, not bookable until human approval",IF(COUNTIFS(Tasks_TaskID,A504,Tasks_Tier,D504,Tasks_Review,"as-needed")&gt;0,"Bookable (re-evaluate if regulated as-needed line selected)","Bookable"))</f>
        <v>Bookable (re-evaluate if regulated as-needed line selected)</v>
      </c>
    </row>
    <row r="505" customFormat="false" ht="17.15" hidden="false" customHeight="false" outlineLevel="0" collapsed="false">
      <c r="A505" s="2" t="s">
        <v>1827</v>
      </c>
      <c r="B505" s="2" t="s">
        <v>939</v>
      </c>
      <c r="C505" s="2" t="s">
        <v>1828</v>
      </c>
      <c r="D505" s="2" t="s">
        <v>1051</v>
      </c>
      <c r="E505" s="2" t="s">
        <v>1898</v>
      </c>
      <c r="F505" s="3" t="n">
        <f aca="false">INDEX(Sum_Base,MATCH(A505,Sum_BaseTasks,0),MATCH(D505,Sum_BaseTiers,0))</f>
        <v>183</v>
      </c>
      <c r="G505" s="2" t="str">
        <f aca="false">IF(ISNUMBER(MATCH(A505&amp;"|"&amp;D505,LR_Key,0)),A505&amp;"|"&amp;D505,A505&amp;"|All")</f>
        <v>FIXX-CLN-007|All</v>
      </c>
      <c r="H505" s="3" t="n">
        <f aca="false">IFERROR(INDEX(LR_TypLabor,MATCH(G505,LR_Key,0)),"")</f>
        <v>1100</v>
      </c>
      <c r="I505" s="12" t="n">
        <f aca="false">INDEX(Urg_Mult,MATCH(E505,Urg_Levels,0))</f>
        <v>1.5</v>
      </c>
      <c r="J505" s="3" t="n">
        <f aca="false">IF(ISNUMBER(H505),MAX(H505,IFERROR(INDEX(MW_Floor,MATCH(G505,MW_Key,0)),0))*I505,"")</f>
        <v>1650</v>
      </c>
      <c r="K505" s="3" t="n">
        <f aca="false">IF(ISNUMBER(J505),F505+J505,"")</f>
        <v>1833</v>
      </c>
      <c r="L505" s="3" t="n">
        <f aca="false">IF(ISNUMBER(H505),MAX(H505,IFERROR(INDEX(MW_Floor,MATCH(G505,MW_Key,0)),0))*I505,"")</f>
        <v>1650</v>
      </c>
      <c r="M505" s="2" t="str">
        <f aca="false">IFERROR(INDEX(LR_Flag,MATCH(G505,LR_Key,0)),"")</f>
        <v>none</v>
      </c>
      <c r="N505" s="2" t="str">
        <f aca="false">IFERROR(INDEX(MW_Check,MATCH(G505,MW_Key,0)),"")</f>
        <v>OK</v>
      </c>
      <c r="O505" s="0" t="str">
        <f aca="false">IF(NOT(ISNUMBER(H505)),"LABOR QUOTE NEEDED – total incomplete",IF(N505="BELOW FLOOR","CHECK: typical labor below wage floor – payout and customer labor raised to floor",IF(M505&lt;&gt;"none","Labor rate flagged: "&amp;M505,"OK")))</f>
        <v>OK</v>
      </c>
      <c r="P505" s="0" t="s">
        <v>1831</v>
      </c>
      <c r="Q505" s="8" t="s">
        <v>1832</v>
      </c>
      <c r="R505" s="2" t="str">
        <f aca="false">IF(OR(M505="regulated",COUNTIFS(Tasks_TaskID,A505,Tasks_Tier,D505,Tasks_Review,"base")&gt;0),"PENDING REVIEW – priced, not bookable until human approval",IF(COUNTIFS(Tasks_TaskID,A505,Tasks_Tier,D505,Tasks_Review,"as-needed")&gt;0,"Bookable (re-evaluate if regulated as-needed line selected)","Bookable"))</f>
        <v>Bookable (re-evaluate if regulated as-needed line selected)</v>
      </c>
    </row>
  </sheetData>
  <autoFilter ref="A1:R505"/>
  <conditionalFormatting sqref="R2:R505">
    <cfRule type="expression" priority="2" aboveAverage="0" equalAverage="0" bottom="0" percent="0" rank="0" text="" dxfId="10">
      <formula>LEFT($R2,7)="PENDING"</formula>
    </cfRule>
  </conditionalFormatting>
  <conditionalFormatting sqref="A2:O505">
    <cfRule type="expression" priority="3" aboveAverage="0" equalAverage="0" bottom="0" percent="0" rank="0" text="" dxfId="10">
      <formula>LEFT($O2,5)="LABOR"</formula>
    </cfRule>
    <cfRule type="expression" priority="4" aboveAverage="0" equalAverage="0" bottom="0" percent="0" rank="0" text="" dxfId="7">
      <formula>$N2="BELOW FLOOR"</formula>
    </cfRule>
  </conditionalFormatting>
  <conditionalFormatting sqref="O2:O505">
    <cfRule type="expression" priority="5" aboveAverage="0" equalAverage="0" bottom="0" percent="0" rank="0" text="" dxfId="9">
      <formula>LEFT($O2,12)="Labor rate f"</formula>
    </cfRule>
  </conditionalFormatting>
  <dataValidations count="1">
    <dataValidation allowBlank="false" errorStyle="stop" operator="between" showDropDown="false" showErrorMessage="false" showInputMessage="false" sqref="E2:E505" type="list">
      <formula1>Urg_Levels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5" min="5" style="0" width="40"/>
    <col collapsed="false" customWidth="true" hidden="false" outlineLevel="0" max="6" min="6" style="0" width="20"/>
    <col collapsed="false" customWidth="true" hidden="false" outlineLevel="0" max="7" min="7" style="0" width="11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0" min="10" style="0" width="10"/>
    <col collapsed="false" customWidth="true" hidden="false" outlineLevel="0" max="11" min="11" style="0" width="8"/>
    <col collapsed="false" customWidth="true" hidden="false" outlineLevel="0" max="12" min="12" style="0" width="30"/>
    <col collapsed="false" customWidth="true" hidden="false" outlineLevel="0" max="15" min="13" style="0" width="14"/>
    <col collapsed="false" customWidth="true" hidden="false" outlineLevel="0" max="16" min="16" style="0" width="30"/>
    <col collapsed="false" customWidth="true" hidden="false" outlineLevel="0" max="17" min="17" style="0" width="34"/>
    <col collapsed="false" customWidth="true" hidden="false" outlineLevel="0" max="18" min="18" style="0" width="12"/>
    <col collapsed="false" customWidth="true" hidden="false" outlineLevel="0" max="19" min="19" style="0" width="9"/>
    <col collapsed="false" customWidth="true" hidden="false" outlineLevel="0" max="21" min="20" style="0" width="12"/>
    <col collapsed="false" customWidth="true" hidden="false" outlineLevel="0" max="23" min="22" style="0" width="10"/>
    <col collapsed="false" customWidth="true" hidden="false" outlineLevel="0" max="24" min="24" style="0" width="16"/>
    <col collapsed="false" customWidth="true" hidden="false" outlineLevel="0" max="25" min="25" style="0" width="60"/>
  </cols>
  <sheetData>
    <row r="1" customFormat="false" ht="41.75" hidden="false" customHeight="false" outlineLevel="0" collapsed="false">
      <c r="A1" s="1" t="s">
        <v>1884</v>
      </c>
      <c r="B1" s="1" t="s">
        <v>1026</v>
      </c>
      <c r="C1" s="1" t="s">
        <v>1899</v>
      </c>
      <c r="D1" s="1" t="s">
        <v>1</v>
      </c>
      <c r="E1" s="1" t="s">
        <v>1027</v>
      </c>
      <c r="F1" s="1" t="s">
        <v>1900</v>
      </c>
      <c r="G1" s="1" t="s">
        <v>1901</v>
      </c>
      <c r="H1" s="1" t="s">
        <v>1902</v>
      </c>
      <c r="I1" s="1" t="s">
        <v>1903</v>
      </c>
      <c r="J1" s="1" t="s">
        <v>1904</v>
      </c>
      <c r="K1" s="1" t="s">
        <v>1905</v>
      </c>
      <c r="L1" s="1" t="s">
        <v>1031</v>
      </c>
      <c r="M1" s="1" t="s">
        <v>1906</v>
      </c>
      <c r="N1" s="1" t="s">
        <v>1907</v>
      </c>
      <c r="O1" s="1" t="s">
        <v>1908</v>
      </c>
      <c r="P1" s="1" t="s">
        <v>1909</v>
      </c>
      <c r="Q1" s="1" t="s">
        <v>1910</v>
      </c>
      <c r="R1" s="1" t="s">
        <v>1911</v>
      </c>
      <c r="S1" s="1" t="s">
        <v>12</v>
      </c>
      <c r="T1" s="1" t="s">
        <v>1912</v>
      </c>
      <c r="U1" s="1" t="s">
        <v>1913</v>
      </c>
      <c r="V1" s="1" t="s">
        <v>1914</v>
      </c>
      <c r="W1" s="1" t="s">
        <v>1915</v>
      </c>
      <c r="X1" s="1" t="s">
        <v>1890</v>
      </c>
      <c r="Y1" s="1" t="s">
        <v>18</v>
      </c>
    </row>
    <row r="2" customFormat="false" ht="15" hidden="false" customHeight="false" outlineLevel="0" collapsed="false">
      <c r="A2" s="2" t="s">
        <v>1916</v>
      </c>
      <c r="B2" s="2" t="s">
        <v>1040</v>
      </c>
      <c r="C2" s="2" t="s">
        <v>1917</v>
      </c>
      <c r="D2" s="2" t="s">
        <v>20</v>
      </c>
      <c r="E2" s="2" t="s">
        <v>1041</v>
      </c>
      <c r="F2" s="2" t="s">
        <v>1918</v>
      </c>
      <c r="G2" s="2" t="s">
        <v>1919</v>
      </c>
      <c r="H2" s="3" t="n">
        <f aca="false">IF(R2="","",IFERROR(AVERAGEIFS(LH_Low,LH_Key,A2,LH_Date,R2),""))</f>
        <v>80</v>
      </c>
      <c r="I2" s="3" t="n">
        <f aca="false">IF(R2="","",IFERROR(AVERAGEIFS(LH_Typ,LH_Key,A2,LH_Date,R2),IF(AND(ISNUMBER(H2),ISNUMBER(J2)),ROUND(AVERAGE(H2,J2),0),"")))</f>
        <v>95</v>
      </c>
      <c r="J2" s="3" t="str">
        <f aca="false">IF(R2="","",IFERROR(AVERAGEIFS(LH_High,LH_Key,A2,LH_Date,R2),""))</f>
        <v/>
      </c>
      <c r="K2" s="13" t="n">
        <v>43</v>
      </c>
      <c r="L2" s="2" t="s">
        <v>1920</v>
      </c>
      <c r="M2" s="3" t="n">
        <f aca="false">IF(ISNUMBER(I2),I2*$K2,"")</f>
        <v>4085</v>
      </c>
      <c r="N2" s="3" t="n">
        <f aca="false">IF(ISNUMBER(H2),H2*$K2,"")</f>
        <v>3440</v>
      </c>
      <c r="O2" s="3" t="str">
        <f aca="false">IF(ISNUMBER(J2),J2*$K2,"")</f>
        <v/>
      </c>
      <c r="P2" s="2" t="s">
        <v>1921</v>
      </c>
      <c r="Q2" s="2" t="s">
        <v>95</v>
      </c>
      <c r="R2" s="4" t="n">
        <f aca="false">IF(COUNTIF(LH_Key,A2)=0,"",SUMPRODUCT(MAX((LH_Key=A2)*LH_Date)))</f>
        <v>46316</v>
      </c>
      <c r="S2" s="5" t="n">
        <f aca="true">IF(ISNUMBER(R2),TODAY()-R2,"")</f>
        <v>5</v>
      </c>
      <c r="T2" s="4" t="str">
        <f aca="false">IF(R2="","",IF(SUMPRODUCT(MAX((LH_Key=A2)*(LH_Date&lt;R2)*LH_Date))=0,"",SUMPRODUCT(MAX((LH_Key=A2)*(LH_Date&lt;R2)*LH_Date))))</f>
        <v/>
      </c>
      <c r="U2" s="3" t="str">
        <f aca="false">IF(T2="","",IFERROR(AVERAGEIFS(LH_Typ,LH_Key,A2,LH_Date,T2),""))</f>
        <v/>
      </c>
      <c r="V2" s="6" t="str">
        <f aca="false">IF(OR(NOT(ISNUMBER(I2)),NOT(ISNUMBER(U2))),"",I2/U2-1)</f>
        <v/>
      </c>
      <c r="W2" s="2" t="s">
        <v>1922</v>
      </c>
      <c r="X2" s="2" t="s">
        <v>27</v>
      </c>
      <c r="Y2" s="2" t="s">
        <v>1923</v>
      </c>
    </row>
    <row r="3" customFormat="false" ht="15" hidden="false" customHeight="false" outlineLevel="0" collapsed="false">
      <c r="A3" s="2" t="s">
        <v>1924</v>
      </c>
      <c r="B3" s="2" t="s">
        <v>1053</v>
      </c>
      <c r="C3" s="2" t="s">
        <v>1055</v>
      </c>
      <c r="D3" s="2" t="s">
        <v>52</v>
      </c>
      <c r="E3" s="2" t="s">
        <v>1054</v>
      </c>
      <c r="F3" s="2" t="s">
        <v>1925</v>
      </c>
      <c r="G3" s="2" t="s">
        <v>1926</v>
      </c>
      <c r="H3" s="3" t="str">
        <f aca="false">IF(R3="","",IFERROR(AVERAGEIFS(LH_Low,LH_Key,A3,LH_Date,R3),""))</f>
        <v/>
      </c>
      <c r="I3" s="3" t="n">
        <f aca="false">IF(R3="","",IFERROR(AVERAGEIFS(LH_Typ,LH_Key,A3,LH_Date,R3),IF(AND(ISNUMBER(H3),ISNUMBER(J3)),ROUND(AVERAGE(H3,J3),0),"")))</f>
        <v>1500</v>
      </c>
      <c r="J3" s="3" t="str">
        <f aca="false">IF(R3="","",IFERROR(AVERAGEIFS(LH_High,LH_Key,A3,LH_Date,R3),""))</f>
        <v/>
      </c>
      <c r="K3" s="13" t="n">
        <v>1</v>
      </c>
      <c r="L3" s="2" t="s">
        <v>1927</v>
      </c>
      <c r="M3" s="3" t="n">
        <f aca="false">IF(ISNUMBER(I3),I3*$K3,"")</f>
        <v>1500</v>
      </c>
      <c r="N3" s="3" t="str">
        <f aca="false">IF(ISNUMBER(H3),H3*$K3,"")</f>
        <v/>
      </c>
      <c r="O3" s="3" t="str">
        <f aca="false">IF(ISNUMBER(J3),J3*$K3,"")</f>
        <v/>
      </c>
      <c r="P3" s="2" t="s">
        <v>1928</v>
      </c>
      <c r="Q3" s="2" t="s">
        <v>1929</v>
      </c>
      <c r="R3" s="4" t="n">
        <f aca="false">IF(COUNTIF(LH_Key,A3)=0,"",SUMPRODUCT(MAX((LH_Key=A3)*LH_Date)))</f>
        <v>46316</v>
      </c>
      <c r="S3" s="5" t="n">
        <f aca="true">IF(ISNUMBER(R3),TODAY()-R3,"")</f>
        <v>5</v>
      </c>
      <c r="T3" s="4" t="str">
        <f aca="false">IF(R3="","",IF(SUMPRODUCT(MAX((LH_Key=A3)*(LH_Date&lt;R3)*LH_Date))=0,"",SUMPRODUCT(MAX((LH_Key=A3)*(LH_Date&lt;R3)*LH_Date))))</f>
        <v/>
      </c>
      <c r="U3" s="3" t="str">
        <f aca="false">IF(T3="","",IFERROR(AVERAGEIFS(LH_Typ,LH_Key,A3,LH_Date,T3),""))</f>
        <v/>
      </c>
      <c r="V3" s="6" t="str">
        <f aca="false">IF(OR(NOT(ISNUMBER(I3)),NOT(ISNUMBER(U3))),"",I3/U3-1)</f>
        <v/>
      </c>
      <c r="W3" s="2" t="s">
        <v>1922</v>
      </c>
      <c r="X3" s="2" t="s">
        <v>27</v>
      </c>
      <c r="Y3" s="2" t="s">
        <v>1930</v>
      </c>
    </row>
    <row r="4" customFormat="false" ht="15" hidden="false" customHeight="false" outlineLevel="0" collapsed="false">
      <c r="A4" s="2" t="s">
        <v>1931</v>
      </c>
      <c r="B4" s="2" t="s">
        <v>1053</v>
      </c>
      <c r="C4" s="2" t="s">
        <v>1070</v>
      </c>
      <c r="D4" s="2" t="s">
        <v>52</v>
      </c>
      <c r="E4" s="2" t="s">
        <v>1054</v>
      </c>
      <c r="F4" s="2" t="s">
        <v>1925</v>
      </c>
      <c r="G4" s="2" t="s">
        <v>1926</v>
      </c>
      <c r="H4" s="3" t="str">
        <f aca="false">IF(R4="","",IFERROR(AVERAGEIFS(LH_Low,LH_Key,A4,LH_Date,R4),""))</f>
        <v/>
      </c>
      <c r="I4" s="3" t="n">
        <f aca="false">IF(R4="","",IFERROR(AVERAGEIFS(LH_Typ,LH_Key,A4,LH_Date,R4),IF(AND(ISNUMBER(H4),ISNUMBER(J4)),ROUND(AVERAGE(H4,J4),0),"")))</f>
        <v>1500</v>
      </c>
      <c r="J4" s="3" t="str">
        <f aca="false">IF(R4="","",IFERROR(AVERAGEIFS(LH_High,LH_Key,A4,LH_Date,R4),""))</f>
        <v/>
      </c>
      <c r="K4" s="13" t="n">
        <v>1</v>
      </c>
      <c r="L4" s="2" t="s">
        <v>1932</v>
      </c>
      <c r="M4" s="3" t="n">
        <f aca="false">IF(ISNUMBER(I4),I4*$K4,"")</f>
        <v>1500</v>
      </c>
      <c r="N4" s="3" t="str">
        <f aca="false">IF(ISNUMBER(H4),H4*$K4,"")</f>
        <v/>
      </c>
      <c r="O4" s="3" t="str">
        <f aca="false">IF(ISNUMBER(J4),J4*$K4,"")</f>
        <v/>
      </c>
      <c r="P4" s="2" t="s">
        <v>1928</v>
      </c>
      <c r="Q4" s="2" t="s">
        <v>1929</v>
      </c>
      <c r="R4" s="4" t="n">
        <f aca="false">IF(COUNTIF(LH_Key,A4)=0,"",SUMPRODUCT(MAX((LH_Key=A4)*LH_Date)))</f>
        <v>46316</v>
      </c>
      <c r="S4" s="5" t="n">
        <f aca="true">IF(ISNUMBER(R4),TODAY()-R4,"")</f>
        <v>5</v>
      </c>
      <c r="T4" s="4" t="str">
        <f aca="false">IF(R4="","",IF(SUMPRODUCT(MAX((LH_Key=A4)*(LH_Date&lt;R4)*LH_Date))=0,"",SUMPRODUCT(MAX((LH_Key=A4)*(LH_Date&lt;R4)*LH_Date))))</f>
        <v/>
      </c>
      <c r="U4" s="3" t="str">
        <f aca="false">IF(T4="","",IFERROR(AVERAGEIFS(LH_Typ,LH_Key,A4,LH_Date,T4),""))</f>
        <v/>
      </c>
      <c r="V4" s="6" t="str">
        <f aca="false">IF(OR(NOT(ISNUMBER(I4)),NOT(ISNUMBER(U4))),"",I4/U4-1)</f>
        <v/>
      </c>
      <c r="W4" s="2" t="s">
        <v>1922</v>
      </c>
      <c r="X4" s="2" t="s">
        <v>27</v>
      </c>
      <c r="Y4" s="2" t="s">
        <v>1930</v>
      </c>
    </row>
    <row r="5" customFormat="false" ht="15" hidden="false" customHeight="false" outlineLevel="0" collapsed="false">
      <c r="A5" s="2" t="s">
        <v>1933</v>
      </c>
      <c r="B5" s="2" t="s">
        <v>1053</v>
      </c>
      <c r="C5" s="2" t="s">
        <v>1074</v>
      </c>
      <c r="D5" s="2" t="s">
        <v>52</v>
      </c>
      <c r="E5" s="2" t="s">
        <v>1054</v>
      </c>
      <c r="F5" s="2" t="s">
        <v>1925</v>
      </c>
      <c r="G5" s="2" t="s">
        <v>1926</v>
      </c>
      <c r="H5" s="3" t="str">
        <f aca="false">IF(R5="","",IFERROR(AVERAGEIFS(LH_Low,LH_Key,A5,LH_Date,R5),""))</f>
        <v/>
      </c>
      <c r="I5" s="3" t="n">
        <f aca="false">IF(R5="","",IFERROR(AVERAGEIFS(LH_Typ,LH_Key,A5,LH_Date,R5),IF(AND(ISNUMBER(H5),ISNUMBER(J5)),ROUND(AVERAGE(H5,J5),0),"")))</f>
        <v>1800</v>
      </c>
      <c r="J5" s="3" t="str">
        <f aca="false">IF(R5="","",IFERROR(AVERAGEIFS(LH_High,LH_Key,A5,LH_Date,R5),""))</f>
        <v/>
      </c>
      <c r="K5" s="13" t="n">
        <v>1</v>
      </c>
      <c r="L5" s="2" t="s">
        <v>1934</v>
      </c>
      <c r="M5" s="3" t="n">
        <f aca="false">IF(ISNUMBER(I5),I5*$K5,"")</f>
        <v>1800</v>
      </c>
      <c r="N5" s="3" t="str">
        <f aca="false">IF(ISNUMBER(H5),H5*$K5,"")</f>
        <v/>
      </c>
      <c r="O5" s="3" t="str">
        <f aca="false">IF(ISNUMBER(J5),J5*$K5,"")</f>
        <v/>
      </c>
      <c r="P5" s="2" t="s">
        <v>1928</v>
      </c>
      <c r="Q5" s="2" t="s">
        <v>1929</v>
      </c>
      <c r="R5" s="4" t="n">
        <f aca="false">IF(COUNTIF(LH_Key,A5)=0,"",SUMPRODUCT(MAX((LH_Key=A5)*LH_Date)))</f>
        <v>46316</v>
      </c>
      <c r="S5" s="5" t="n">
        <f aca="true">IF(ISNUMBER(R5),TODAY()-R5,"")</f>
        <v>5</v>
      </c>
      <c r="T5" s="4" t="str">
        <f aca="false">IF(R5="","",IF(SUMPRODUCT(MAX((LH_Key=A5)*(LH_Date&lt;R5)*LH_Date))=0,"",SUMPRODUCT(MAX((LH_Key=A5)*(LH_Date&lt;R5)*LH_Date))))</f>
        <v/>
      </c>
      <c r="U5" s="3" t="str">
        <f aca="false">IF(T5="","",IFERROR(AVERAGEIFS(LH_Typ,LH_Key,A5,LH_Date,T5),""))</f>
        <v/>
      </c>
      <c r="V5" s="6" t="str">
        <f aca="false">IF(OR(NOT(ISNUMBER(I5)),NOT(ISNUMBER(U5))),"",I5/U5-1)</f>
        <v/>
      </c>
      <c r="W5" s="2" t="s">
        <v>1922</v>
      </c>
      <c r="X5" s="2" t="s">
        <v>27</v>
      </c>
      <c r="Y5" s="2" t="s">
        <v>1930</v>
      </c>
    </row>
    <row r="6" customFormat="false" ht="15" hidden="false" customHeight="false" outlineLevel="0" collapsed="false">
      <c r="A6" s="2" t="s">
        <v>1935</v>
      </c>
      <c r="B6" s="2" t="s">
        <v>1053</v>
      </c>
      <c r="C6" s="2" t="s">
        <v>1078</v>
      </c>
      <c r="D6" s="2" t="s">
        <v>52</v>
      </c>
      <c r="E6" s="2" t="s">
        <v>1054</v>
      </c>
      <c r="F6" s="2" t="s">
        <v>1925</v>
      </c>
      <c r="G6" s="2" t="s">
        <v>1926</v>
      </c>
      <c r="H6" s="3" t="str">
        <f aca="false">IF(R6="","",IFERROR(AVERAGEIFS(LH_Low,LH_Key,A6,LH_Date,R6),""))</f>
        <v/>
      </c>
      <c r="I6" s="3" t="n">
        <f aca="false">IF(R6="","",IFERROR(AVERAGEIFS(LH_Typ,LH_Key,A6,LH_Date,R6),IF(AND(ISNUMBER(H6),ISNUMBER(J6)),ROUND(AVERAGE(H6,J6),0),"")))</f>
        <v>2500</v>
      </c>
      <c r="J6" s="3" t="str">
        <f aca="false">IF(R6="","",IFERROR(AVERAGEIFS(LH_High,LH_Key,A6,LH_Date,R6),""))</f>
        <v/>
      </c>
      <c r="K6" s="13" t="n">
        <v>1</v>
      </c>
      <c r="L6" s="2" t="s">
        <v>1936</v>
      </c>
      <c r="M6" s="3" t="n">
        <f aca="false">IF(ISNUMBER(I6),I6*$K6,"")</f>
        <v>2500</v>
      </c>
      <c r="N6" s="3" t="str">
        <f aca="false">IF(ISNUMBER(H6),H6*$K6,"")</f>
        <v/>
      </c>
      <c r="O6" s="3" t="str">
        <f aca="false">IF(ISNUMBER(J6),J6*$K6,"")</f>
        <v/>
      </c>
      <c r="P6" s="2" t="s">
        <v>1928</v>
      </c>
      <c r="Q6" s="2" t="s">
        <v>1929</v>
      </c>
      <c r="R6" s="4" t="n">
        <f aca="false">IF(COUNTIF(LH_Key,A6)=0,"",SUMPRODUCT(MAX((LH_Key=A6)*LH_Date)))</f>
        <v>46316</v>
      </c>
      <c r="S6" s="5" t="n">
        <f aca="true">IF(ISNUMBER(R6),TODAY()-R6,"")</f>
        <v>5</v>
      </c>
      <c r="T6" s="4" t="str">
        <f aca="false">IF(R6="","",IF(SUMPRODUCT(MAX((LH_Key=A6)*(LH_Date&lt;R6)*LH_Date))=0,"",SUMPRODUCT(MAX((LH_Key=A6)*(LH_Date&lt;R6)*LH_Date))))</f>
        <v/>
      </c>
      <c r="U6" s="3" t="str">
        <f aca="false">IF(T6="","",IFERROR(AVERAGEIFS(LH_Typ,LH_Key,A6,LH_Date,T6),""))</f>
        <v/>
      </c>
      <c r="V6" s="6" t="str">
        <f aca="false">IF(OR(NOT(ISNUMBER(I6)),NOT(ISNUMBER(U6))),"",I6/U6-1)</f>
        <v/>
      </c>
      <c r="W6" s="2" t="s">
        <v>1922</v>
      </c>
      <c r="X6" s="2" t="s">
        <v>27</v>
      </c>
      <c r="Y6" s="2" t="s">
        <v>1930</v>
      </c>
    </row>
    <row r="7" customFormat="false" ht="15" hidden="false" customHeight="false" outlineLevel="0" collapsed="false">
      <c r="A7" s="2" t="s">
        <v>1937</v>
      </c>
      <c r="B7" s="2" t="s">
        <v>1064</v>
      </c>
      <c r="C7" s="2" t="s">
        <v>1055</v>
      </c>
      <c r="D7" s="2" t="s">
        <v>52</v>
      </c>
      <c r="E7" s="2" t="s">
        <v>1065</v>
      </c>
      <c r="F7" s="2" t="s">
        <v>1925</v>
      </c>
      <c r="G7" s="2" t="s">
        <v>1926</v>
      </c>
      <c r="H7" s="3" t="n">
        <f aca="false">IF(R7="","",IFERROR(AVERAGEIFS(LH_Low,LH_Key,A7,LH_Date,R7),""))</f>
        <v>600</v>
      </c>
      <c r="I7" s="3" t="n">
        <f aca="false">IF(R7="","",IFERROR(AVERAGEIFS(LH_Typ,LH_Key,A7,LH_Date,R7),IF(AND(ISNUMBER(H7),ISNUMBER(J7)),ROUND(AVERAGE(H7,J7),0),"")))</f>
        <v>900</v>
      </c>
      <c r="J7" s="3" t="n">
        <f aca="false">IF(R7="","",IFERROR(AVERAGEIFS(LH_High,LH_Key,A7,LH_Date,R7),""))</f>
        <v>1500</v>
      </c>
      <c r="K7" s="13" t="n">
        <v>1</v>
      </c>
      <c r="L7" s="2" t="s">
        <v>1938</v>
      </c>
      <c r="M7" s="3" t="n">
        <f aca="false">IF(ISNUMBER(I7),I7*$K7,"")</f>
        <v>900</v>
      </c>
      <c r="N7" s="3" t="n">
        <f aca="false">IF(ISNUMBER(H7),H7*$K7,"")</f>
        <v>600</v>
      </c>
      <c r="O7" s="3" t="n">
        <f aca="false">IF(ISNUMBER(J7),J7*$K7,"")</f>
        <v>1500</v>
      </c>
      <c r="P7" s="2" t="s">
        <v>1939</v>
      </c>
      <c r="Q7" s="2" t="s">
        <v>1940</v>
      </c>
      <c r="R7" s="4" t="n">
        <f aca="false">IF(COUNTIF(LH_Key,A7)=0,"",SUMPRODUCT(MAX((LH_Key=A7)*LH_Date)))</f>
        <v>46316</v>
      </c>
      <c r="S7" s="5" t="n">
        <f aca="true">IF(ISNUMBER(R7),TODAY()-R7,"")</f>
        <v>5</v>
      </c>
      <c r="T7" s="4" t="str">
        <f aca="false">IF(R7="","",IF(SUMPRODUCT(MAX((LH_Key=A7)*(LH_Date&lt;R7)*LH_Date))=0,"",SUMPRODUCT(MAX((LH_Key=A7)*(LH_Date&lt;R7)*LH_Date))))</f>
        <v/>
      </c>
      <c r="U7" s="3" t="str">
        <f aca="false">IF(T7="","",IFERROR(AVERAGEIFS(LH_Typ,LH_Key,A7,LH_Date,T7),""))</f>
        <v/>
      </c>
      <c r="V7" s="6" t="str">
        <f aca="false">IF(OR(NOT(ISNUMBER(I7)),NOT(ISNUMBER(U7))),"",I7/U7-1)</f>
        <v/>
      </c>
      <c r="W7" s="2" t="s">
        <v>1922</v>
      </c>
      <c r="X7" s="2" t="s">
        <v>27</v>
      </c>
      <c r="Y7" s="2" t="s">
        <v>1941</v>
      </c>
    </row>
    <row r="8" customFormat="false" ht="15" hidden="false" customHeight="false" outlineLevel="0" collapsed="false">
      <c r="A8" s="2" t="s">
        <v>1942</v>
      </c>
      <c r="B8" s="2" t="s">
        <v>1064</v>
      </c>
      <c r="C8" s="2" t="s">
        <v>1070</v>
      </c>
      <c r="D8" s="2" t="s">
        <v>52</v>
      </c>
      <c r="E8" s="2" t="s">
        <v>1065</v>
      </c>
      <c r="F8" s="2" t="s">
        <v>1925</v>
      </c>
      <c r="G8" s="2" t="s">
        <v>1926</v>
      </c>
      <c r="H8" s="3" t="n">
        <f aca="false">IF(R8="","",IFERROR(AVERAGEIFS(LH_Low,LH_Key,A8,LH_Date,R8),""))</f>
        <v>600</v>
      </c>
      <c r="I8" s="3" t="n">
        <f aca="false">IF(R8="","",IFERROR(AVERAGEIFS(LH_Typ,LH_Key,A8,LH_Date,R8),IF(AND(ISNUMBER(H8),ISNUMBER(J8)),ROUND(AVERAGE(H8,J8),0),"")))</f>
        <v>1050</v>
      </c>
      <c r="J8" s="3" t="n">
        <f aca="false">IF(R8="","",IFERROR(AVERAGEIFS(LH_High,LH_Key,A8,LH_Date,R8),""))</f>
        <v>1500</v>
      </c>
      <c r="K8" s="13" t="n">
        <v>1</v>
      </c>
      <c r="L8" s="2" t="s">
        <v>1943</v>
      </c>
      <c r="M8" s="3" t="n">
        <f aca="false">IF(ISNUMBER(I8),I8*$K8,"")</f>
        <v>1050</v>
      </c>
      <c r="N8" s="3" t="n">
        <f aca="false">IF(ISNUMBER(H8),H8*$K8,"")</f>
        <v>600</v>
      </c>
      <c r="O8" s="3" t="n">
        <f aca="false">IF(ISNUMBER(J8),J8*$K8,"")</f>
        <v>1500</v>
      </c>
      <c r="P8" s="2" t="s">
        <v>1939</v>
      </c>
      <c r="Q8" s="2" t="s">
        <v>1940</v>
      </c>
      <c r="R8" s="4" t="n">
        <f aca="false">IF(COUNTIF(LH_Key,A8)=0,"",SUMPRODUCT(MAX((LH_Key=A8)*LH_Date)))</f>
        <v>46316</v>
      </c>
      <c r="S8" s="5" t="n">
        <f aca="true">IF(ISNUMBER(R8),TODAY()-R8,"")</f>
        <v>5</v>
      </c>
      <c r="T8" s="4" t="str">
        <f aca="false">IF(R8="","",IF(SUMPRODUCT(MAX((LH_Key=A8)*(LH_Date&lt;R8)*LH_Date))=0,"",SUMPRODUCT(MAX((LH_Key=A8)*(LH_Date&lt;R8)*LH_Date))))</f>
        <v/>
      </c>
      <c r="U8" s="3" t="str">
        <f aca="false">IF(T8="","",IFERROR(AVERAGEIFS(LH_Typ,LH_Key,A8,LH_Date,T8),""))</f>
        <v/>
      </c>
      <c r="V8" s="6" t="str">
        <f aca="false">IF(OR(NOT(ISNUMBER(I8)),NOT(ISNUMBER(U8))),"",I8/U8-1)</f>
        <v/>
      </c>
      <c r="W8" s="2" t="s">
        <v>1922</v>
      </c>
      <c r="X8" s="2" t="s">
        <v>27</v>
      </c>
      <c r="Y8" s="2" t="s">
        <v>1941</v>
      </c>
    </row>
    <row r="9" customFormat="false" ht="15" hidden="false" customHeight="false" outlineLevel="0" collapsed="false">
      <c r="A9" s="2" t="s">
        <v>1944</v>
      </c>
      <c r="B9" s="2" t="s">
        <v>1064</v>
      </c>
      <c r="C9" s="2" t="s">
        <v>1074</v>
      </c>
      <c r="D9" s="2" t="s">
        <v>52</v>
      </c>
      <c r="E9" s="2" t="s">
        <v>1065</v>
      </c>
      <c r="F9" s="2" t="s">
        <v>1925</v>
      </c>
      <c r="G9" s="2" t="s">
        <v>1926</v>
      </c>
      <c r="H9" s="3" t="n">
        <f aca="false">IF(R9="","",IFERROR(AVERAGEIFS(LH_Low,LH_Key,A9,LH_Date,R9),""))</f>
        <v>600</v>
      </c>
      <c r="I9" s="3" t="n">
        <f aca="false">IF(R9="","",IFERROR(AVERAGEIFS(LH_Typ,LH_Key,A9,LH_Date,R9),IF(AND(ISNUMBER(H9),ISNUMBER(J9)),ROUND(AVERAGE(H9,J9),0),"")))</f>
        <v>1200</v>
      </c>
      <c r="J9" s="3" t="n">
        <f aca="false">IF(R9="","",IFERROR(AVERAGEIFS(LH_High,LH_Key,A9,LH_Date,R9),""))</f>
        <v>1500</v>
      </c>
      <c r="K9" s="13" t="n">
        <v>1</v>
      </c>
      <c r="L9" s="2" t="s">
        <v>1945</v>
      </c>
      <c r="M9" s="3" t="n">
        <f aca="false">IF(ISNUMBER(I9),I9*$K9,"")</f>
        <v>1200</v>
      </c>
      <c r="N9" s="3" t="n">
        <f aca="false">IF(ISNUMBER(H9),H9*$K9,"")</f>
        <v>600</v>
      </c>
      <c r="O9" s="3" t="n">
        <f aca="false">IF(ISNUMBER(J9),J9*$K9,"")</f>
        <v>1500</v>
      </c>
      <c r="P9" s="2" t="s">
        <v>1939</v>
      </c>
      <c r="Q9" s="2" t="s">
        <v>1940</v>
      </c>
      <c r="R9" s="4" t="n">
        <f aca="false">IF(COUNTIF(LH_Key,A9)=0,"",SUMPRODUCT(MAX((LH_Key=A9)*LH_Date)))</f>
        <v>46316</v>
      </c>
      <c r="S9" s="5" t="n">
        <f aca="true">IF(ISNUMBER(R9),TODAY()-R9,"")</f>
        <v>5</v>
      </c>
      <c r="T9" s="4" t="str">
        <f aca="false">IF(R9="","",IF(SUMPRODUCT(MAX((LH_Key=A9)*(LH_Date&lt;R9)*LH_Date))=0,"",SUMPRODUCT(MAX((LH_Key=A9)*(LH_Date&lt;R9)*LH_Date))))</f>
        <v/>
      </c>
      <c r="U9" s="3" t="str">
        <f aca="false">IF(T9="","",IFERROR(AVERAGEIFS(LH_Typ,LH_Key,A9,LH_Date,T9),""))</f>
        <v/>
      </c>
      <c r="V9" s="6" t="str">
        <f aca="false">IF(OR(NOT(ISNUMBER(I9)),NOT(ISNUMBER(U9))),"",I9/U9-1)</f>
        <v/>
      </c>
      <c r="W9" s="2" t="s">
        <v>1922</v>
      </c>
      <c r="X9" s="2" t="s">
        <v>27</v>
      </c>
      <c r="Y9" s="2" t="s">
        <v>1941</v>
      </c>
    </row>
    <row r="10" customFormat="false" ht="15" hidden="false" customHeight="false" outlineLevel="0" collapsed="false">
      <c r="A10" s="2" t="s">
        <v>1946</v>
      </c>
      <c r="B10" s="2" t="s">
        <v>1064</v>
      </c>
      <c r="C10" s="2" t="s">
        <v>1078</v>
      </c>
      <c r="D10" s="2" t="s">
        <v>52</v>
      </c>
      <c r="E10" s="2" t="s">
        <v>1065</v>
      </c>
      <c r="F10" s="2" t="s">
        <v>1925</v>
      </c>
      <c r="G10" s="2" t="s">
        <v>1926</v>
      </c>
      <c r="H10" s="3" t="n">
        <f aca="false">IF(R10="","",IFERROR(AVERAGEIFS(LH_Low,LH_Key,A10,LH_Date,R10),""))</f>
        <v>600</v>
      </c>
      <c r="I10" s="3" t="n">
        <f aca="false">IF(R10="","",IFERROR(AVERAGEIFS(LH_Typ,LH_Key,A10,LH_Date,R10),IF(AND(ISNUMBER(H10),ISNUMBER(J10)),ROUND(AVERAGE(H10,J10),0),"")))</f>
        <v>1500</v>
      </c>
      <c r="J10" s="3" t="n">
        <f aca="false">IF(R10="","",IFERROR(AVERAGEIFS(LH_High,LH_Key,A10,LH_Date,R10),""))</f>
        <v>1500</v>
      </c>
      <c r="K10" s="13" t="n">
        <v>1</v>
      </c>
      <c r="L10" s="2" t="s">
        <v>1947</v>
      </c>
      <c r="M10" s="3" t="n">
        <f aca="false">IF(ISNUMBER(I10),I10*$K10,"")</f>
        <v>1500</v>
      </c>
      <c r="N10" s="3" t="n">
        <f aca="false">IF(ISNUMBER(H10),H10*$K10,"")</f>
        <v>600</v>
      </c>
      <c r="O10" s="3" t="n">
        <f aca="false">IF(ISNUMBER(J10),J10*$K10,"")</f>
        <v>1500</v>
      </c>
      <c r="P10" s="2" t="s">
        <v>1939</v>
      </c>
      <c r="Q10" s="2" t="s">
        <v>1940</v>
      </c>
      <c r="R10" s="4" t="n">
        <f aca="false">IF(COUNTIF(LH_Key,A10)=0,"",SUMPRODUCT(MAX((LH_Key=A10)*LH_Date)))</f>
        <v>46316</v>
      </c>
      <c r="S10" s="5" t="n">
        <f aca="true">IF(ISNUMBER(R10),TODAY()-R10,"")</f>
        <v>5</v>
      </c>
      <c r="T10" s="4" t="str">
        <f aca="false">IF(R10="","",IF(SUMPRODUCT(MAX((LH_Key=A10)*(LH_Date&lt;R10)*LH_Date))=0,"",SUMPRODUCT(MAX((LH_Key=A10)*(LH_Date&lt;R10)*LH_Date))))</f>
        <v/>
      </c>
      <c r="U10" s="3" t="str">
        <f aca="false">IF(T10="","",IFERROR(AVERAGEIFS(LH_Typ,LH_Key,A10,LH_Date,T10),""))</f>
        <v/>
      </c>
      <c r="V10" s="6" t="str">
        <f aca="false">IF(OR(NOT(ISNUMBER(I10)),NOT(ISNUMBER(U10))),"",I10/U10-1)</f>
        <v/>
      </c>
      <c r="W10" s="2" t="s">
        <v>1922</v>
      </c>
      <c r="X10" s="2" t="s">
        <v>27</v>
      </c>
      <c r="Y10" s="2" t="s">
        <v>1941</v>
      </c>
    </row>
    <row r="11" customFormat="false" ht="15" hidden="false" customHeight="false" outlineLevel="0" collapsed="false">
      <c r="A11" s="2" t="s">
        <v>1948</v>
      </c>
      <c r="B11" s="2" t="s">
        <v>1082</v>
      </c>
      <c r="C11" s="2" t="s">
        <v>1917</v>
      </c>
      <c r="D11" s="2" t="s">
        <v>107</v>
      </c>
      <c r="E11" s="2" t="s">
        <v>1083</v>
      </c>
      <c r="F11" s="2" t="s">
        <v>1949</v>
      </c>
      <c r="G11" s="2" t="s">
        <v>250</v>
      </c>
      <c r="H11" s="3" t="n">
        <f aca="false">IF(R11="","",IFERROR(AVERAGEIFS(LH_Low,LH_Key,A11,LH_Date,R11),""))</f>
        <v>400</v>
      </c>
      <c r="I11" s="3" t="n">
        <f aca="false">IF(R11="","",IFERROR(AVERAGEIFS(LH_Typ,LH_Key,A11,LH_Date,R11),IF(AND(ISNUMBER(H11),ISNUMBER(J11)),ROUND(AVERAGE(H11,J11),0),"")))</f>
        <v>800</v>
      </c>
      <c r="J11" s="3" t="n">
        <f aca="false">IF(R11="","",IFERROR(AVERAGEIFS(LH_High,LH_Key,A11,LH_Date,R11),""))</f>
        <v>1500</v>
      </c>
      <c r="K11" s="13" t="n">
        <v>1</v>
      </c>
      <c r="L11" s="2" t="s">
        <v>1950</v>
      </c>
      <c r="M11" s="3" t="n">
        <f aca="false">IF(ISNUMBER(I11),I11*$K11,"")</f>
        <v>800</v>
      </c>
      <c r="N11" s="3" t="n">
        <f aca="false">IF(ISNUMBER(H11),H11*$K11,"")</f>
        <v>400</v>
      </c>
      <c r="O11" s="3" t="n">
        <f aca="false">IF(ISNUMBER(J11),J11*$K11,"")</f>
        <v>1500</v>
      </c>
      <c r="P11" s="2" t="s">
        <v>1951</v>
      </c>
      <c r="Q11" s="2" t="s">
        <v>95</v>
      </c>
      <c r="R11" s="4" t="n">
        <f aca="false">IF(COUNTIF(LH_Key,A11)=0,"",SUMPRODUCT(MAX((LH_Key=A11)*LH_Date)))</f>
        <v>46316</v>
      </c>
      <c r="S11" s="5" t="n">
        <f aca="true">IF(ISNUMBER(R11),TODAY()-R11,"")</f>
        <v>5</v>
      </c>
      <c r="T11" s="4" t="str">
        <f aca="false">IF(R11="","",IF(SUMPRODUCT(MAX((LH_Key=A11)*(LH_Date&lt;R11)*LH_Date))=0,"",SUMPRODUCT(MAX((LH_Key=A11)*(LH_Date&lt;R11)*LH_Date))))</f>
        <v/>
      </c>
      <c r="U11" s="3" t="str">
        <f aca="false">IF(T11="","",IFERROR(AVERAGEIFS(LH_Typ,LH_Key,A11,LH_Date,T11),""))</f>
        <v/>
      </c>
      <c r="V11" s="6" t="str">
        <f aca="false">IF(OR(NOT(ISNUMBER(I11)),NOT(ISNUMBER(U11))),"",I11/U11-1)</f>
        <v/>
      </c>
      <c r="W11" s="2" t="s">
        <v>1922</v>
      </c>
      <c r="X11" s="2" t="s">
        <v>27</v>
      </c>
      <c r="Y11" s="2"/>
    </row>
    <row r="12" customFormat="false" ht="15" hidden="false" customHeight="false" outlineLevel="0" collapsed="false">
      <c r="A12" s="2" t="s">
        <v>1952</v>
      </c>
      <c r="B12" s="2" t="s">
        <v>1555</v>
      </c>
      <c r="C12" s="2" t="s">
        <v>1917</v>
      </c>
      <c r="D12" s="2" t="s">
        <v>107</v>
      </c>
      <c r="E12" s="2" t="s">
        <v>1556</v>
      </c>
      <c r="F12" s="2" t="s">
        <v>1949</v>
      </c>
      <c r="G12" s="2" t="s">
        <v>250</v>
      </c>
      <c r="H12" s="3" t="n">
        <f aca="false">IF(R12="","",IFERROR(AVERAGEIFS(LH_Low,LH_Key,A12,LH_Date,R12),""))</f>
        <v>350</v>
      </c>
      <c r="I12" s="3" t="n">
        <f aca="false">IF(R12="","",IFERROR(AVERAGEIFS(LH_Typ,LH_Key,A12,LH_Date,R12),IF(AND(ISNUMBER(H12),ISNUMBER(J12)),ROUND(AVERAGE(H12,J12),0),"")))</f>
        <v>650</v>
      </c>
      <c r="J12" s="3" t="n">
        <f aca="false">IF(R12="","",IFERROR(AVERAGEIFS(LH_High,LH_Key,A12,LH_Date,R12),""))</f>
        <v>900</v>
      </c>
      <c r="K12" s="13" t="n">
        <v>1</v>
      </c>
      <c r="L12" s="2" t="s">
        <v>1953</v>
      </c>
      <c r="M12" s="3" t="n">
        <f aca="false">IF(ISNUMBER(I12),I12*$K12,"")</f>
        <v>650</v>
      </c>
      <c r="N12" s="3" t="n">
        <f aca="false">IF(ISNUMBER(H12),H12*$K12,"")</f>
        <v>350</v>
      </c>
      <c r="O12" s="3" t="n">
        <f aca="false">IF(ISNUMBER(J12),J12*$K12,"")</f>
        <v>900</v>
      </c>
      <c r="P12" s="2" t="s">
        <v>1951</v>
      </c>
      <c r="Q12" s="2" t="s">
        <v>95</v>
      </c>
      <c r="R12" s="4" t="n">
        <f aca="false">IF(COUNTIF(LH_Key,A12)=0,"",SUMPRODUCT(MAX((LH_Key=A12)*LH_Date)))</f>
        <v>46316</v>
      </c>
      <c r="S12" s="5" t="n">
        <f aca="true">IF(ISNUMBER(R12),TODAY()-R12,"")</f>
        <v>5</v>
      </c>
      <c r="T12" s="4" t="str">
        <f aca="false">IF(R12="","",IF(SUMPRODUCT(MAX((LH_Key=A12)*(LH_Date&lt;R12)*LH_Date))=0,"",SUMPRODUCT(MAX((LH_Key=A12)*(LH_Date&lt;R12)*LH_Date))))</f>
        <v/>
      </c>
      <c r="U12" s="3" t="str">
        <f aca="false">IF(T12="","",IFERROR(AVERAGEIFS(LH_Typ,LH_Key,A12,LH_Date,T12),""))</f>
        <v/>
      </c>
      <c r="V12" s="6" t="str">
        <f aca="false">IF(OR(NOT(ISNUMBER(I12)),NOT(ISNUMBER(U12))),"",I12/U12-1)</f>
        <v/>
      </c>
      <c r="W12" s="2" t="s">
        <v>1922</v>
      </c>
      <c r="X12" s="2" t="s">
        <v>27</v>
      </c>
      <c r="Y12" s="2" t="s">
        <v>1954</v>
      </c>
    </row>
    <row r="13" customFormat="false" ht="15" hidden="false" customHeight="false" outlineLevel="0" collapsed="false">
      <c r="A13" s="2" t="s">
        <v>1955</v>
      </c>
      <c r="B13" s="2" t="s">
        <v>1569</v>
      </c>
      <c r="C13" s="2" t="s">
        <v>1917</v>
      </c>
      <c r="D13" s="2" t="s">
        <v>107</v>
      </c>
      <c r="E13" s="2" t="s">
        <v>1570</v>
      </c>
      <c r="F13" s="2" t="s">
        <v>1949</v>
      </c>
      <c r="G13" s="2" t="s">
        <v>250</v>
      </c>
      <c r="H13" s="3" t="n">
        <f aca="false">IF(R13="","",IFERROR(AVERAGEIFS(LH_Low,LH_Key,A13,LH_Date,R13),""))</f>
        <v>350</v>
      </c>
      <c r="I13" s="3" t="n">
        <f aca="false">IF(R13="","",IFERROR(AVERAGEIFS(LH_Typ,LH_Key,A13,LH_Date,R13),IF(AND(ISNUMBER(H13),ISNUMBER(J13)),ROUND(AVERAGE(H13,J13),0),"")))</f>
        <v>650</v>
      </c>
      <c r="J13" s="3" t="n">
        <f aca="false">IF(R13="","",IFERROR(AVERAGEIFS(LH_High,LH_Key,A13,LH_Date,R13),""))</f>
        <v>900</v>
      </c>
      <c r="K13" s="13" t="n">
        <v>1</v>
      </c>
      <c r="L13" s="2" t="s">
        <v>1953</v>
      </c>
      <c r="M13" s="3" t="n">
        <f aca="false">IF(ISNUMBER(I13),I13*$K13,"")</f>
        <v>650</v>
      </c>
      <c r="N13" s="3" t="n">
        <f aca="false">IF(ISNUMBER(H13),H13*$K13,"")</f>
        <v>350</v>
      </c>
      <c r="O13" s="3" t="n">
        <f aca="false">IF(ISNUMBER(J13),J13*$K13,"")</f>
        <v>900</v>
      </c>
      <c r="P13" s="2" t="s">
        <v>1951</v>
      </c>
      <c r="Q13" s="2" t="s">
        <v>95</v>
      </c>
      <c r="R13" s="4" t="n">
        <f aca="false">IF(COUNTIF(LH_Key,A13)=0,"",SUMPRODUCT(MAX((LH_Key=A13)*LH_Date)))</f>
        <v>46316</v>
      </c>
      <c r="S13" s="5" t="n">
        <f aca="true">IF(ISNUMBER(R13),TODAY()-R13,"")</f>
        <v>5</v>
      </c>
      <c r="T13" s="4" t="str">
        <f aca="false">IF(R13="","",IF(SUMPRODUCT(MAX((LH_Key=A13)*(LH_Date&lt;R13)*LH_Date))=0,"",SUMPRODUCT(MAX((LH_Key=A13)*(LH_Date&lt;R13)*LH_Date))))</f>
        <v/>
      </c>
      <c r="U13" s="3" t="str">
        <f aca="false">IF(T13="","",IFERROR(AVERAGEIFS(LH_Typ,LH_Key,A13,LH_Date,T13),""))</f>
        <v/>
      </c>
      <c r="V13" s="6" t="str">
        <f aca="false">IF(OR(NOT(ISNUMBER(I13)),NOT(ISNUMBER(U13))),"",I13/U13-1)</f>
        <v/>
      </c>
      <c r="W13" s="2" t="s">
        <v>1922</v>
      </c>
      <c r="X13" s="2" t="s">
        <v>27</v>
      </c>
      <c r="Y13" s="2" t="s">
        <v>1954</v>
      </c>
    </row>
    <row r="14" customFormat="false" ht="15" hidden="false" customHeight="false" outlineLevel="0" collapsed="false">
      <c r="A14" s="2" t="s">
        <v>1956</v>
      </c>
      <c r="B14" s="2" t="s">
        <v>1088</v>
      </c>
      <c r="C14" s="2" t="s">
        <v>1917</v>
      </c>
      <c r="D14" s="2" t="s">
        <v>107</v>
      </c>
      <c r="E14" s="2" t="s">
        <v>1089</v>
      </c>
      <c r="F14" s="2" t="s">
        <v>1949</v>
      </c>
      <c r="G14" s="2" t="s">
        <v>250</v>
      </c>
      <c r="H14" s="3" t="n">
        <f aca="false">IF(R14="","",IFERROR(AVERAGEIFS(LH_Low,LH_Key,A14,LH_Date,R14),""))</f>
        <v>1200</v>
      </c>
      <c r="I14" s="3" t="n">
        <f aca="false">IF(R14="","",IFERROR(AVERAGEIFS(LH_Typ,LH_Key,A14,LH_Date,R14),IF(AND(ISNUMBER(H14),ISNUMBER(J14)),ROUND(AVERAGE(H14,J14),0),"")))</f>
        <v>1800</v>
      </c>
      <c r="J14" s="3" t="n">
        <f aca="false">IF(R14="","",IFERROR(AVERAGEIFS(LH_High,LH_Key,A14,LH_Date,R14),""))</f>
        <v>2500</v>
      </c>
      <c r="K14" s="13" t="n">
        <v>1</v>
      </c>
      <c r="L14" s="2" t="s">
        <v>1957</v>
      </c>
      <c r="M14" s="3" t="n">
        <f aca="false">IF(ISNUMBER(I14),I14*$K14,"")</f>
        <v>1800</v>
      </c>
      <c r="N14" s="3" t="n">
        <f aca="false">IF(ISNUMBER(H14),H14*$K14,"")</f>
        <v>1200</v>
      </c>
      <c r="O14" s="3" t="n">
        <f aca="false">IF(ISNUMBER(J14),J14*$K14,"")</f>
        <v>2500</v>
      </c>
      <c r="P14" s="2" t="s">
        <v>1951</v>
      </c>
      <c r="Q14" s="2" t="s">
        <v>95</v>
      </c>
      <c r="R14" s="4" t="n">
        <f aca="false">IF(COUNTIF(LH_Key,A14)=0,"",SUMPRODUCT(MAX((LH_Key=A14)*LH_Date)))</f>
        <v>46316</v>
      </c>
      <c r="S14" s="5" t="n">
        <f aca="true">IF(ISNUMBER(R14),TODAY()-R14,"")</f>
        <v>5</v>
      </c>
      <c r="T14" s="4" t="str">
        <f aca="false">IF(R14="","",IF(SUMPRODUCT(MAX((LH_Key=A14)*(LH_Date&lt;R14)*LH_Date))=0,"",SUMPRODUCT(MAX((LH_Key=A14)*(LH_Date&lt;R14)*LH_Date))))</f>
        <v/>
      </c>
      <c r="U14" s="3" t="str">
        <f aca="false">IF(T14="","",IFERROR(AVERAGEIFS(LH_Typ,LH_Key,A14,LH_Date,T14),""))</f>
        <v/>
      </c>
      <c r="V14" s="6" t="str">
        <f aca="false">IF(OR(NOT(ISNUMBER(I14)),NOT(ISNUMBER(U14))),"",I14/U14-1)</f>
        <v/>
      </c>
      <c r="W14" s="2" t="s">
        <v>1922</v>
      </c>
      <c r="X14" s="2" t="s">
        <v>27</v>
      </c>
      <c r="Y14" s="2"/>
    </row>
    <row r="15" customFormat="false" ht="15" hidden="false" customHeight="false" outlineLevel="0" collapsed="false">
      <c r="A15" s="2" t="s">
        <v>1958</v>
      </c>
      <c r="B15" s="2" t="s">
        <v>1117</v>
      </c>
      <c r="C15" s="2" t="s">
        <v>1917</v>
      </c>
      <c r="D15" s="2" t="s">
        <v>107</v>
      </c>
      <c r="E15" s="2" t="s">
        <v>1118</v>
      </c>
      <c r="F15" s="2" t="s">
        <v>1949</v>
      </c>
      <c r="G15" s="2" t="s">
        <v>250</v>
      </c>
      <c r="H15" s="3" t="n">
        <f aca="false">IF(R15="","",IFERROR(AVERAGEIFS(LH_Low,LH_Key,A15,LH_Date,R15),""))</f>
        <v>643</v>
      </c>
      <c r="I15" s="3" t="n">
        <f aca="false">IF(R15="","",IFERROR(AVERAGEIFS(LH_Typ,LH_Key,A15,LH_Date,R15),IF(AND(ISNUMBER(H15),ISNUMBER(J15)),ROUND(AVERAGE(H15,J15),0),"")))</f>
        <v>965</v>
      </c>
      <c r="J15" s="3" t="n">
        <f aca="false">IF(R15="","",IFERROR(AVERAGEIFS(LH_High,LH_Key,A15,LH_Date,R15),""))</f>
        <v>1286</v>
      </c>
      <c r="K15" s="13" t="n">
        <v>1</v>
      </c>
      <c r="L15" s="2" t="s">
        <v>1959</v>
      </c>
      <c r="M15" s="3" t="n">
        <f aca="false">IF(ISNUMBER(I15),I15*$K15,"")</f>
        <v>965</v>
      </c>
      <c r="N15" s="3" t="n">
        <f aca="false">IF(ISNUMBER(H15),H15*$K15,"")</f>
        <v>643</v>
      </c>
      <c r="O15" s="3" t="n">
        <f aca="false">IF(ISNUMBER(J15),J15*$K15,"")</f>
        <v>1286</v>
      </c>
      <c r="P15" s="2" t="s">
        <v>1960</v>
      </c>
      <c r="Q15" s="2" t="s">
        <v>1961</v>
      </c>
      <c r="R15" s="4" t="n">
        <f aca="false">IF(COUNTIF(LH_Key,A15)=0,"",SUMPRODUCT(MAX((LH_Key=A15)*LH_Date)))</f>
        <v>46316</v>
      </c>
      <c r="S15" s="5" t="n">
        <f aca="true">IF(ISNUMBER(R15),TODAY()-R15,"")</f>
        <v>5</v>
      </c>
      <c r="T15" s="4" t="str">
        <f aca="false">IF(R15="","",IF(SUMPRODUCT(MAX((LH_Key=A15)*(LH_Date&lt;R15)*LH_Date))=0,"",SUMPRODUCT(MAX((LH_Key=A15)*(LH_Date&lt;R15)*LH_Date))))</f>
        <v/>
      </c>
      <c r="U15" s="3" t="str">
        <f aca="false">IF(T15="","",IFERROR(AVERAGEIFS(LH_Typ,LH_Key,A15,LH_Date,T15),""))</f>
        <v/>
      </c>
      <c r="V15" s="6" t="str">
        <f aca="false">IF(OR(NOT(ISNUMBER(I15)),NOT(ISNUMBER(U15))),"",I15/U15-1)</f>
        <v/>
      </c>
      <c r="W15" s="2" t="s">
        <v>1922</v>
      </c>
      <c r="X15" s="2" t="s">
        <v>27</v>
      </c>
      <c r="Y15" s="2" t="s">
        <v>1962</v>
      </c>
    </row>
    <row r="16" customFormat="false" ht="15" hidden="false" customHeight="false" outlineLevel="0" collapsed="false">
      <c r="A16" s="2" t="s">
        <v>1963</v>
      </c>
      <c r="B16" s="2" t="s">
        <v>1097</v>
      </c>
      <c r="C16" s="2" t="s">
        <v>1917</v>
      </c>
      <c r="D16" s="2" t="s">
        <v>107</v>
      </c>
      <c r="E16" s="2" t="s">
        <v>1098</v>
      </c>
      <c r="F16" s="2" t="s">
        <v>1949</v>
      </c>
      <c r="G16" s="2" t="s">
        <v>250</v>
      </c>
      <c r="H16" s="3" t="n">
        <f aca="false">IF(R16="","",IFERROR(AVERAGEIFS(LH_Low,LH_Key,A16,LH_Date,R16),""))</f>
        <v>500</v>
      </c>
      <c r="I16" s="3" t="n">
        <f aca="false">IF(R16="","",IFERROR(AVERAGEIFS(LH_Typ,LH_Key,A16,LH_Date,R16),IF(AND(ISNUMBER(H16),ISNUMBER(J16)),ROUND(AVERAGE(H16,J16),0),"")))</f>
        <v>1150</v>
      </c>
      <c r="J16" s="3" t="n">
        <f aca="false">IF(R16="","",IFERROR(AVERAGEIFS(LH_High,LH_Key,A16,LH_Date,R16),""))</f>
        <v>3500</v>
      </c>
      <c r="K16" s="13" t="n">
        <v>1</v>
      </c>
      <c r="L16" s="2" t="s">
        <v>1964</v>
      </c>
      <c r="M16" s="3" t="n">
        <f aca="false">IF(ISNUMBER(I16),I16*$K16,"")</f>
        <v>1150</v>
      </c>
      <c r="N16" s="3" t="n">
        <f aca="false">IF(ISNUMBER(H16),H16*$K16,"")</f>
        <v>500</v>
      </c>
      <c r="O16" s="3" t="n">
        <f aca="false">IF(ISNUMBER(J16),J16*$K16,"")</f>
        <v>3500</v>
      </c>
      <c r="P16" s="2" t="s">
        <v>1951</v>
      </c>
      <c r="Q16" s="2" t="s">
        <v>95</v>
      </c>
      <c r="R16" s="4" t="n">
        <f aca="false">IF(COUNTIF(LH_Key,A16)=0,"",SUMPRODUCT(MAX((LH_Key=A16)*LH_Date)))</f>
        <v>46316</v>
      </c>
      <c r="S16" s="5" t="n">
        <f aca="true">IF(ISNUMBER(R16),TODAY()-R16,"")</f>
        <v>5</v>
      </c>
      <c r="T16" s="4" t="str">
        <f aca="false">IF(R16="","",IF(SUMPRODUCT(MAX((LH_Key=A16)*(LH_Date&lt;R16)*LH_Date))=0,"",SUMPRODUCT(MAX((LH_Key=A16)*(LH_Date&lt;R16)*LH_Date))))</f>
        <v/>
      </c>
      <c r="U16" s="3" t="str">
        <f aca="false">IF(T16="","",IFERROR(AVERAGEIFS(LH_Typ,LH_Key,A16,LH_Date,T16),""))</f>
        <v/>
      </c>
      <c r="V16" s="6" t="str">
        <f aca="false">IF(OR(NOT(ISNUMBER(I16)),NOT(ISNUMBER(U16))),"",I16/U16-1)</f>
        <v/>
      </c>
      <c r="W16" s="2" t="s">
        <v>1922</v>
      </c>
      <c r="X16" s="2" t="s">
        <v>27</v>
      </c>
      <c r="Y16" s="2"/>
    </row>
    <row r="17" customFormat="false" ht="15" hidden="false" customHeight="false" outlineLevel="0" collapsed="false">
      <c r="A17" s="2" t="s">
        <v>1965</v>
      </c>
      <c r="B17" s="2" t="s">
        <v>1596</v>
      </c>
      <c r="C17" s="2" t="s">
        <v>1917</v>
      </c>
      <c r="D17" s="2" t="s">
        <v>176</v>
      </c>
      <c r="E17" s="2" t="s">
        <v>1597</v>
      </c>
      <c r="F17" s="2" t="s">
        <v>1966</v>
      </c>
      <c r="G17" s="2" t="s">
        <v>1967</v>
      </c>
      <c r="H17" s="3" t="n">
        <f aca="false">IF(R17="","",IFERROR(AVERAGEIFS(LH_Low,LH_Key,A17,LH_Date,R17),""))</f>
        <v>250</v>
      </c>
      <c r="I17" s="3" t="n">
        <f aca="false">IF(R17="","",IFERROR(AVERAGEIFS(LH_Typ,LH_Key,A17,LH_Date,R17),IF(AND(ISNUMBER(H17),ISNUMBER(J17)),ROUND(AVERAGE(H17,J17),0),"")))</f>
        <v>375</v>
      </c>
      <c r="J17" s="3" t="n">
        <f aca="false">IF(R17="","",IFERROR(AVERAGEIFS(LH_High,LH_Key,A17,LH_Date,R17),""))</f>
        <v>800</v>
      </c>
      <c r="K17" s="13" t="n">
        <v>1</v>
      </c>
      <c r="L17" s="2" t="s">
        <v>1968</v>
      </c>
      <c r="M17" s="3" t="n">
        <f aca="false">IF(ISNUMBER(I17),I17*$K17,"")</f>
        <v>375</v>
      </c>
      <c r="N17" s="3" t="n">
        <f aca="false">IF(ISNUMBER(H17),H17*$K17,"")</f>
        <v>250</v>
      </c>
      <c r="O17" s="3" t="n">
        <f aca="false">IF(ISNUMBER(J17),J17*$K17,"")</f>
        <v>800</v>
      </c>
      <c r="P17" s="2" t="s">
        <v>1969</v>
      </c>
      <c r="Q17" s="2" t="s">
        <v>95</v>
      </c>
      <c r="R17" s="4" t="n">
        <f aca="false">IF(COUNTIF(LH_Key,A17)=0,"",SUMPRODUCT(MAX((LH_Key=A17)*LH_Date)))</f>
        <v>46316</v>
      </c>
      <c r="S17" s="5" t="n">
        <f aca="true">IF(ISNUMBER(R17),TODAY()-R17,"")</f>
        <v>5</v>
      </c>
      <c r="T17" s="4" t="str">
        <f aca="false">IF(R17="","",IF(SUMPRODUCT(MAX((LH_Key=A17)*(LH_Date&lt;R17)*LH_Date))=0,"",SUMPRODUCT(MAX((LH_Key=A17)*(LH_Date&lt;R17)*LH_Date))))</f>
        <v/>
      </c>
      <c r="U17" s="3" t="str">
        <f aca="false">IF(T17="","",IFERROR(AVERAGEIFS(LH_Typ,LH_Key,A17,LH_Date,T17),""))</f>
        <v/>
      </c>
      <c r="V17" s="6" t="str">
        <f aca="false">IF(OR(NOT(ISNUMBER(I17)),NOT(ISNUMBER(U17))),"",I17/U17-1)</f>
        <v/>
      </c>
      <c r="W17" s="2" t="s">
        <v>1922</v>
      </c>
      <c r="X17" s="2" t="s">
        <v>1970</v>
      </c>
      <c r="Y17" s="2" t="s">
        <v>1971</v>
      </c>
    </row>
    <row r="18" customFormat="false" ht="15" hidden="false" customHeight="false" outlineLevel="0" collapsed="false">
      <c r="A18" s="2" t="s">
        <v>1972</v>
      </c>
      <c r="B18" s="2" t="s">
        <v>1620</v>
      </c>
      <c r="C18" s="2" t="s">
        <v>1917</v>
      </c>
      <c r="D18" s="2" t="s">
        <v>176</v>
      </c>
      <c r="E18" s="2" t="s">
        <v>1621</v>
      </c>
      <c r="F18" s="2" t="s">
        <v>1966</v>
      </c>
      <c r="G18" s="2" t="s">
        <v>250</v>
      </c>
      <c r="H18" s="3" t="n">
        <f aca="false">IF(R18="","",IFERROR(AVERAGEIFS(LH_Low,LH_Key,A18,LH_Date,R18),""))</f>
        <v>250</v>
      </c>
      <c r="I18" s="3" t="n">
        <f aca="false">IF(R18="","",IFERROR(AVERAGEIFS(LH_Typ,LH_Key,A18,LH_Date,R18),IF(AND(ISNUMBER(H18),ISNUMBER(J18)),ROUND(AVERAGE(H18,J18),0),"")))</f>
        <v>400</v>
      </c>
      <c r="J18" s="3" t="n">
        <f aca="false">IF(R18="","",IFERROR(AVERAGEIFS(LH_High,LH_Key,A18,LH_Date,R18),""))</f>
        <v>3500</v>
      </c>
      <c r="K18" s="13" t="n">
        <v>1</v>
      </c>
      <c r="L18" s="2" t="s">
        <v>1973</v>
      </c>
      <c r="M18" s="3" t="n">
        <f aca="false">IF(ISNUMBER(I18),I18*$K18,"")</f>
        <v>400</v>
      </c>
      <c r="N18" s="3" t="n">
        <f aca="false">IF(ISNUMBER(H18),H18*$K18,"")</f>
        <v>250</v>
      </c>
      <c r="O18" s="3" t="n">
        <f aca="false">IF(ISNUMBER(J18),J18*$K18,"")</f>
        <v>3500</v>
      </c>
      <c r="P18" s="2" t="s">
        <v>1969</v>
      </c>
      <c r="Q18" s="2" t="s">
        <v>95</v>
      </c>
      <c r="R18" s="4" t="n">
        <f aca="false">IF(COUNTIF(LH_Key,A18)=0,"",SUMPRODUCT(MAX((LH_Key=A18)*LH_Date)))</f>
        <v>46316</v>
      </c>
      <c r="S18" s="5" t="n">
        <f aca="true">IF(ISNUMBER(R18),TODAY()-R18,"")</f>
        <v>5</v>
      </c>
      <c r="T18" s="4" t="str">
        <f aca="false">IF(R18="","",IF(SUMPRODUCT(MAX((LH_Key=A18)*(LH_Date&lt;R18)*LH_Date))=0,"",SUMPRODUCT(MAX((LH_Key=A18)*(LH_Date&lt;R18)*LH_Date))))</f>
        <v/>
      </c>
      <c r="U18" s="3" t="str">
        <f aca="false">IF(T18="","",IFERROR(AVERAGEIFS(LH_Typ,LH_Key,A18,LH_Date,T18),""))</f>
        <v/>
      </c>
      <c r="V18" s="6" t="str">
        <f aca="false">IF(OR(NOT(ISNUMBER(I18)),NOT(ISNUMBER(U18))),"",I18/U18-1)</f>
        <v/>
      </c>
      <c r="W18" s="2" t="s">
        <v>1922</v>
      </c>
      <c r="X18" s="2" t="s">
        <v>27</v>
      </c>
      <c r="Y18" s="2"/>
    </row>
    <row r="19" customFormat="false" ht="15" hidden="false" customHeight="false" outlineLevel="0" collapsed="false">
      <c r="A19" s="2" t="s">
        <v>1974</v>
      </c>
      <c r="B19" s="2" t="s">
        <v>1126</v>
      </c>
      <c r="C19" s="2" t="s">
        <v>1917</v>
      </c>
      <c r="D19" s="2" t="s">
        <v>176</v>
      </c>
      <c r="E19" s="2" t="s">
        <v>1127</v>
      </c>
      <c r="F19" s="2" t="s">
        <v>1966</v>
      </c>
      <c r="G19" s="2" t="s">
        <v>250</v>
      </c>
      <c r="H19" s="3" t="n">
        <f aca="false">IF(R19="","",IFERROR(AVERAGEIFS(LH_Low,LH_Key,A19,LH_Date,R19),""))</f>
        <v>483</v>
      </c>
      <c r="I19" s="3" t="n">
        <f aca="false">IF(R19="","",IFERROR(AVERAGEIFS(LH_Typ,LH_Key,A19,LH_Date,R19),IF(AND(ISNUMBER(H19),ISNUMBER(J19)),ROUND(AVERAGE(H19,J19),0),"")))</f>
        <v>800</v>
      </c>
      <c r="J19" s="3" t="n">
        <f aca="false">IF(R19="","",IFERROR(AVERAGEIFS(LH_High,LH_Key,A19,LH_Date,R19),""))</f>
        <v>3500</v>
      </c>
      <c r="K19" s="13" t="n">
        <v>1</v>
      </c>
      <c r="L19" s="2" t="s">
        <v>1975</v>
      </c>
      <c r="M19" s="3" t="n">
        <f aca="false">IF(ISNUMBER(I19),I19*$K19,"")</f>
        <v>800</v>
      </c>
      <c r="N19" s="3" t="n">
        <f aca="false">IF(ISNUMBER(H19),H19*$K19,"")</f>
        <v>483</v>
      </c>
      <c r="O19" s="3" t="n">
        <f aca="false">IF(ISNUMBER(J19),J19*$K19,"")</f>
        <v>3500</v>
      </c>
      <c r="P19" s="2" t="s">
        <v>1969</v>
      </c>
      <c r="Q19" s="2" t="s">
        <v>95</v>
      </c>
      <c r="R19" s="4" t="n">
        <f aca="false">IF(COUNTIF(LH_Key,A19)=0,"",SUMPRODUCT(MAX((LH_Key=A19)*LH_Date)))</f>
        <v>46316</v>
      </c>
      <c r="S19" s="5" t="n">
        <f aca="true">IF(ISNUMBER(R19),TODAY()-R19,"")</f>
        <v>5</v>
      </c>
      <c r="T19" s="4" t="str">
        <f aca="false">IF(R19="","",IF(SUMPRODUCT(MAX((LH_Key=A19)*(LH_Date&lt;R19)*LH_Date))=0,"",SUMPRODUCT(MAX((LH_Key=A19)*(LH_Date&lt;R19)*LH_Date))))</f>
        <v/>
      </c>
      <c r="U19" s="3" t="str">
        <f aca="false">IF(T19="","",IFERROR(AVERAGEIFS(LH_Typ,LH_Key,A19,LH_Date,T19),""))</f>
        <v/>
      </c>
      <c r="V19" s="6" t="str">
        <f aca="false">IF(OR(NOT(ISNUMBER(I19)),NOT(ISNUMBER(U19))),"",I19/U19-1)</f>
        <v/>
      </c>
      <c r="W19" s="2" t="s">
        <v>1922</v>
      </c>
      <c r="X19" s="2" t="s">
        <v>27</v>
      </c>
      <c r="Y19" s="2"/>
    </row>
    <row r="20" customFormat="false" ht="15" hidden="false" customHeight="false" outlineLevel="0" collapsed="false">
      <c r="A20" s="2" t="s">
        <v>1976</v>
      </c>
      <c r="B20" s="2" t="s">
        <v>1151</v>
      </c>
      <c r="C20" s="2" t="s">
        <v>1917</v>
      </c>
      <c r="D20" s="2" t="s">
        <v>176</v>
      </c>
      <c r="E20" s="2" t="s">
        <v>1152</v>
      </c>
      <c r="F20" s="2" t="s">
        <v>1966</v>
      </c>
      <c r="G20" s="2" t="s">
        <v>250</v>
      </c>
      <c r="H20" s="3" t="n">
        <f aca="false">IF(R20="","",IFERROR(AVERAGEIFS(LH_Low,LH_Key,A20,LH_Date,R20),""))</f>
        <v>700</v>
      </c>
      <c r="I20" s="3" t="n">
        <f aca="false">IF(R20="","",IFERROR(AVERAGEIFS(LH_Typ,LH_Key,A20,LH_Date,R20),IF(AND(ISNUMBER(H20),ISNUMBER(J20)),ROUND(AVERAGE(H20,J20),0),"")))</f>
        <v>900</v>
      </c>
      <c r="J20" s="3" t="n">
        <f aca="false">IF(R20="","",IFERROR(AVERAGEIFS(LH_High,LH_Key,A20,LH_Date,R20),""))</f>
        <v>1800</v>
      </c>
      <c r="K20" s="13" t="n">
        <v>1</v>
      </c>
      <c r="L20" s="2" t="s">
        <v>1977</v>
      </c>
      <c r="M20" s="3" t="n">
        <f aca="false">IF(ISNUMBER(I20),I20*$K20,"")</f>
        <v>900</v>
      </c>
      <c r="N20" s="3" t="n">
        <f aca="false">IF(ISNUMBER(H20),H20*$K20,"")</f>
        <v>700</v>
      </c>
      <c r="O20" s="3" t="n">
        <f aca="false">IF(ISNUMBER(J20),J20*$K20,"")</f>
        <v>1800</v>
      </c>
      <c r="P20" s="2" t="s">
        <v>1969</v>
      </c>
      <c r="Q20" s="2" t="s">
        <v>95</v>
      </c>
      <c r="R20" s="4" t="n">
        <f aca="false">IF(COUNTIF(LH_Key,A20)=0,"",SUMPRODUCT(MAX((LH_Key=A20)*LH_Date)))</f>
        <v>46316</v>
      </c>
      <c r="S20" s="5" t="n">
        <f aca="true">IF(ISNUMBER(R20),TODAY()-R20,"")</f>
        <v>5</v>
      </c>
      <c r="T20" s="4" t="str">
        <f aca="false">IF(R20="","",IF(SUMPRODUCT(MAX((LH_Key=A20)*(LH_Date&lt;R20)*LH_Date))=0,"",SUMPRODUCT(MAX((LH_Key=A20)*(LH_Date&lt;R20)*LH_Date))))</f>
        <v/>
      </c>
      <c r="U20" s="3" t="str">
        <f aca="false">IF(T20="","",IFERROR(AVERAGEIFS(LH_Typ,LH_Key,A20,LH_Date,T20),""))</f>
        <v/>
      </c>
      <c r="V20" s="6" t="str">
        <f aca="false">IF(OR(NOT(ISNUMBER(I20)),NOT(ISNUMBER(U20))),"",I20/U20-1)</f>
        <v/>
      </c>
      <c r="W20" s="2" t="s">
        <v>1922</v>
      </c>
      <c r="X20" s="2" t="s">
        <v>27</v>
      </c>
      <c r="Y20" s="2" t="s">
        <v>1978</v>
      </c>
    </row>
    <row r="21" customFormat="false" ht="15" hidden="false" customHeight="false" outlineLevel="0" collapsed="false">
      <c r="A21" s="2" t="s">
        <v>1979</v>
      </c>
      <c r="B21" s="2" t="s">
        <v>1136</v>
      </c>
      <c r="C21" s="2" t="s">
        <v>1917</v>
      </c>
      <c r="D21" s="2" t="s">
        <v>176</v>
      </c>
      <c r="E21" s="2" t="s">
        <v>1137</v>
      </c>
      <c r="F21" s="2" t="s">
        <v>1966</v>
      </c>
      <c r="G21" s="2" t="s">
        <v>250</v>
      </c>
      <c r="H21" s="3" t="n">
        <f aca="false">IF(R21="","",IFERROR(AVERAGEIFS(LH_Low,LH_Key,A21,LH_Date,R21),""))</f>
        <v>450</v>
      </c>
      <c r="I21" s="3" t="n">
        <f aca="false">IF(R21="","",IFERROR(AVERAGEIFS(LH_Typ,LH_Key,A21,LH_Date,R21),IF(AND(ISNUMBER(H21),ISNUMBER(J21)),ROUND(AVERAGE(H21,J21),0),"")))</f>
        <v>500</v>
      </c>
      <c r="J21" s="3" t="n">
        <f aca="false">IF(R21="","",IFERROR(AVERAGEIFS(LH_High,LH_Key,A21,LH_Date,R21),""))</f>
        <v>1800</v>
      </c>
      <c r="K21" s="13" t="n">
        <v>1</v>
      </c>
      <c r="L21" s="2" t="s">
        <v>1980</v>
      </c>
      <c r="M21" s="3" t="n">
        <f aca="false">IF(ISNUMBER(I21),I21*$K21,"")</f>
        <v>500</v>
      </c>
      <c r="N21" s="3" t="n">
        <f aca="false">IF(ISNUMBER(H21),H21*$K21,"")</f>
        <v>450</v>
      </c>
      <c r="O21" s="3" t="n">
        <f aca="false">IF(ISNUMBER(J21),J21*$K21,"")</f>
        <v>1800</v>
      </c>
      <c r="P21" s="2" t="s">
        <v>1969</v>
      </c>
      <c r="Q21" s="2" t="s">
        <v>95</v>
      </c>
      <c r="R21" s="4" t="n">
        <f aca="false">IF(COUNTIF(LH_Key,A21)=0,"",SUMPRODUCT(MAX((LH_Key=A21)*LH_Date)))</f>
        <v>46316</v>
      </c>
      <c r="S21" s="5" t="n">
        <f aca="true">IF(ISNUMBER(R21),TODAY()-R21,"")</f>
        <v>5</v>
      </c>
      <c r="T21" s="4" t="str">
        <f aca="false">IF(R21="","",IF(SUMPRODUCT(MAX((LH_Key=A21)*(LH_Date&lt;R21)*LH_Date))=0,"",SUMPRODUCT(MAX((LH_Key=A21)*(LH_Date&lt;R21)*LH_Date))))</f>
        <v/>
      </c>
      <c r="U21" s="3" t="str">
        <f aca="false">IF(T21="","",IFERROR(AVERAGEIFS(LH_Typ,LH_Key,A21,LH_Date,T21),""))</f>
        <v/>
      </c>
      <c r="V21" s="6" t="str">
        <f aca="false">IF(OR(NOT(ISNUMBER(I21)),NOT(ISNUMBER(U21))),"",I21/U21-1)</f>
        <v/>
      </c>
      <c r="W21" s="2" t="s">
        <v>1922</v>
      </c>
      <c r="X21" s="2" t="s">
        <v>27</v>
      </c>
      <c r="Y21" s="2"/>
    </row>
    <row r="22" customFormat="false" ht="15" hidden="false" customHeight="false" outlineLevel="0" collapsed="false">
      <c r="A22" s="2" t="s">
        <v>1981</v>
      </c>
      <c r="B22" s="2" t="s">
        <v>1161</v>
      </c>
      <c r="C22" s="2" t="s">
        <v>1917</v>
      </c>
      <c r="D22" s="2" t="s">
        <v>229</v>
      </c>
      <c r="E22" s="2" t="s">
        <v>1162</v>
      </c>
      <c r="F22" s="2" t="s">
        <v>1982</v>
      </c>
      <c r="G22" s="2" t="s">
        <v>250</v>
      </c>
      <c r="H22" s="3" t="n">
        <f aca="false">IF(R22="","",IFERROR(AVERAGEIFS(LH_Low,LH_Key,A22,LH_Date,R22),""))</f>
        <v>455</v>
      </c>
      <c r="I22" s="3" t="n">
        <f aca="false">IF(R22="","",IFERROR(AVERAGEIFS(LH_Typ,LH_Key,A22,LH_Date,R22),IF(AND(ISNUMBER(H22),ISNUMBER(J22)),ROUND(AVERAGE(H22,J22),0),"")))</f>
        <v>1200</v>
      </c>
      <c r="J22" s="3" t="n">
        <f aca="false">IF(R22="","",IFERROR(AVERAGEIFS(LH_High,LH_Key,A22,LH_Date,R22),""))</f>
        <v>3748</v>
      </c>
      <c r="K22" s="13" t="n">
        <v>1</v>
      </c>
      <c r="L22" s="2" t="s">
        <v>1983</v>
      </c>
      <c r="M22" s="3" t="n">
        <f aca="false">IF(ISNUMBER(I22),I22*$K22,"")</f>
        <v>1200</v>
      </c>
      <c r="N22" s="3" t="n">
        <f aca="false">IF(ISNUMBER(H22),H22*$K22,"")</f>
        <v>455</v>
      </c>
      <c r="O22" s="3" t="n">
        <f aca="false">IF(ISNUMBER(J22),J22*$K22,"")</f>
        <v>3748</v>
      </c>
      <c r="P22" s="2" t="s">
        <v>1984</v>
      </c>
      <c r="Q22" s="2" t="s">
        <v>95</v>
      </c>
      <c r="R22" s="4" t="n">
        <f aca="false">IF(COUNTIF(LH_Key,A22)=0,"",SUMPRODUCT(MAX((LH_Key=A22)*LH_Date)))</f>
        <v>46316</v>
      </c>
      <c r="S22" s="5" t="n">
        <f aca="true">IF(ISNUMBER(R22),TODAY()-R22,"")</f>
        <v>5</v>
      </c>
      <c r="T22" s="4" t="str">
        <f aca="false">IF(R22="","",IF(SUMPRODUCT(MAX((LH_Key=A22)*(LH_Date&lt;R22)*LH_Date))=0,"",SUMPRODUCT(MAX((LH_Key=A22)*(LH_Date&lt;R22)*LH_Date))))</f>
        <v/>
      </c>
      <c r="U22" s="3" t="str">
        <f aca="false">IF(T22="","",IFERROR(AVERAGEIFS(LH_Typ,LH_Key,A22,LH_Date,T22),""))</f>
        <v/>
      </c>
      <c r="V22" s="6" t="str">
        <f aca="false">IF(OR(NOT(ISNUMBER(I22)),NOT(ISNUMBER(U22))),"",I22/U22-1)</f>
        <v/>
      </c>
      <c r="W22" s="2" t="s">
        <v>1922</v>
      </c>
      <c r="X22" s="2" t="s">
        <v>1985</v>
      </c>
      <c r="Y22" s="2" t="s">
        <v>1986</v>
      </c>
    </row>
    <row r="23" customFormat="false" ht="15" hidden="false" customHeight="false" outlineLevel="0" collapsed="false">
      <c r="A23" s="2" t="s">
        <v>1987</v>
      </c>
      <c r="B23" s="2" t="s">
        <v>1171</v>
      </c>
      <c r="C23" s="2" t="s">
        <v>1917</v>
      </c>
      <c r="D23" s="2" t="s">
        <v>229</v>
      </c>
      <c r="E23" s="2" t="s">
        <v>1172</v>
      </c>
      <c r="F23" s="2" t="s">
        <v>1982</v>
      </c>
      <c r="G23" s="2" t="s">
        <v>250</v>
      </c>
      <c r="H23" s="3" t="n">
        <f aca="false">IF(R23="","",IFERROR(AVERAGEIFS(LH_Low,LH_Key,A23,LH_Date,R23),""))</f>
        <v>1000</v>
      </c>
      <c r="I23" s="3" t="n">
        <f aca="false">IF(R23="","",IFERROR(AVERAGEIFS(LH_Typ,LH_Key,A23,LH_Date,R23),IF(AND(ISNUMBER(H23),ISNUMBER(J23)),ROUND(AVERAGE(H23,J23),0),"")))</f>
        <v>3582</v>
      </c>
      <c r="J23" s="3" t="n">
        <f aca="false">IF(R23="","",IFERROR(AVERAGEIFS(LH_High,LH_Key,A23,LH_Date,R23),""))</f>
        <v>7000</v>
      </c>
      <c r="K23" s="13" t="n">
        <v>1</v>
      </c>
      <c r="L23" s="2" t="s">
        <v>1988</v>
      </c>
      <c r="M23" s="3" t="n">
        <f aca="false">IF(ISNUMBER(I23),I23*$K23,"")</f>
        <v>3582</v>
      </c>
      <c r="N23" s="3" t="n">
        <f aca="false">IF(ISNUMBER(H23),H23*$K23,"")</f>
        <v>1000</v>
      </c>
      <c r="O23" s="3" t="n">
        <f aca="false">IF(ISNUMBER(J23),J23*$K23,"")</f>
        <v>7000</v>
      </c>
      <c r="P23" s="2" t="s">
        <v>1989</v>
      </c>
      <c r="Q23" s="2" t="s">
        <v>1990</v>
      </c>
      <c r="R23" s="4" t="n">
        <f aca="false">IF(COUNTIF(LH_Key,A23)=0,"",SUMPRODUCT(MAX((LH_Key=A23)*LH_Date)))</f>
        <v>46316</v>
      </c>
      <c r="S23" s="5" t="n">
        <f aca="true">IF(ISNUMBER(R23),TODAY()-R23,"")</f>
        <v>5</v>
      </c>
      <c r="T23" s="4" t="str">
        <f aca="false">IF(R23="","",IF(SUMPRODUCT(MAX((LH_Key=A23)*(LH_Date&lt;R23)*LH_Date))=0,"",SUMPRODUCT(MAX((LH_Key=A23)*(LH_Date&lt;R23)*LH_Date))))</f>
        <v/>
      </c>
      <c r="U23" s="3" t="str">
        <f aca="false">IF(T23="","",IFERROR(AVERAGEIFS(LH_Typ,LH_Key,A23,LH_Date,T23),""))</f>
        <v/>
      </c>
      <c r="V23" s="6" t="str">
        <f aca="false">IF(OR(NOT(ISNUMBER(I23)),NOT(ISNUMBER(U23))),"",I23/U23-1)</f>
        <v/>
      </c>
      <c r="W23" s="2" t="s">
        <v>1922</v>
      </c>
      <c r="X23" s="2" t="s">
        <v>1985</v>
      </c>
      <c r="Y23" s="2" t="s">
        <v>1991</v>
      </c>
    </row>
    <row r="24" customFormat="false" ht="15" hidden="false" customHeight="false" outlineLevel="0" collapsed="false">
      <c r="A24" s="2" t="s">
        <v>1992</v>
      </c>
      <c r="B24" s="2" t="s">
        <v>1178</v>
      </c>
      <c r="C24" s="2" t="s">
        <v>1917</v>
      </c>
      <c r="D24" s="2" t="s">
        <v>229</v>
      </c>
      <c r="E24" s="2" t="s">
        <v>1179</v>
      </c>
      <c r="F24" s="2" t="s">
        <v>1982</v>
      </c>
      <c r="G24" s="2" t="s">
        <v>250</v>
      </c>
      <c r="H24" s="3" t="n">
        <f aca="false">IF(R24="","",IFERROR(AVERAGEIFS(LH_Low,LH_Key,A24,LH_Date,R24),""))</f>
        <v>857</v>
      </c>
      <c r="I24" s="3" t="n">
        <f aca="false">IF(R24="","",IFERROR(AVERAGEIFS(LH_Typ,LH_Key,A24,LH_Date,R24),IF(AND(ISNUMBER(H24),ISNUMBER(J24)),ROUND(AVERAGE(H24,J24),0),"")))</f>
        <v>1200</v>
      </c>
      <c r="J24" s="3" t="n">
        <f aca="false">IF(R24="","",IFERROR(AVERAGEIFS(LH_High,LH_Key,A24,LH_Date,R24),""))</f>
        <v>2678</v>
      </c>
      <c r="K24" s="13" t="n">
        <v>1</v>
      </c>
      <c r="L24" s="2" t="s">
        <v>1993</v>
      </c>
      <c r="M24" s="3" t="n">
        <f aca="false">IF(ISNUMBER(I24),I24*$K24,"")</f>
        <v>1200</v>
      </c>
      <c r="N24" s="3" t="n">
        <f aca="false">IF(ISNUMBER(H24),H24*$K24,"")</f>
        <v>857</v>
      </c>
      <c r="O24" s="3" t="n">
        <f aca="false">IF(ISNUMBER(J24),J24*$K24,"")</f>
        <v>2678</v>
      </c>
      <c r="P24" s="2" t="s">
        <v>1984</v>
      </c>
      <c r="Q24" s="2" t="s">
        <v>95</v>
      </c>
      <c r="R24" s="4" t="n">
        <f aca="false">IF(COUNTIF(LH_Key,A24)=0,"",SUMPRODUCT(MAX((LH_Key=A24)*LH_Date)))</f>
        <v>46316</v>
      </c>
      <c r="S24" s="5" t="n">
        <f aca="true">IF(ISNUMBER(R24),TODAY()-R24,"")</f>
        <v>5</v>
      </c>
      <c r="T24" s="4" t="str">
        <f aca="false">IF(R24="","",IF(SUMPRODUCT(MAX((LH_Key=A24)*(LH_Date&lt;R24)*LH_Date))=0,"",SUMPRODUCT(MAX((LH_Key=A24)*(LH_Date&lt;R24)*LH_Date))))</f>
        <v/>
      </c>
      <c r="U24" s="3" t="str">
        <f aca="false">IF(T24="","",IFERROR(AVERAGEIFS(LH_Typ,LH_Key,A24,LH_Date,T24),""))</f>
        <v/>
      </c>
      <c r="V24" s="6" t="str">
        <f aca="false">IF(OR(NOT(ISNUMBER(I24)),NOT(ISNUMBER(U24))),"",I24/U24-1)</f>
        <v/>
      </c>
      <c r="W24" s="2" t="s">
        <v>1922</v>
      </c>
      <c r="X24" s="2" t="s">
        <v>1985</v>
      </c>
      <c r="Y24" s="2" t="s">
        <v>1994</v>
      </c>
    </row>
    <row r="25" customFormat="false" ht="15" hidden="false" customHeight="false" outlineLevel="0" collapsed="false">
      <c r="A25" s="2" t="s">
        <v>1995</v>
      </c>
      <c r="B25" s="2" t="s">
        <v>1185</v>
      </c>
      <c r="C25" s="2" t="s">
        <v>1917</v>
      </c>
      <c r="D25" s="2" t="s">
        <v>273</v>
      </c>
      <c r="E25" s="2" t="s">
        <v>1186</v>
      </c>
      <c r="F25" s="2" t="s">
        <v>1982</v>
      </c>
      <c r="G25" s="2" t="s">
        <v>250</v>
      </c>
      <c r="H25" s="3" t="n">
        <f aca="false">IF(R25="","",IFERROR(AVERAGEIFS(LH_Low,LH_Key,A25,LH_Date,R25),""))</f>
        <v>180</v>
      </c>
      <c r="I25" s="3" t="n">
        <f aca="false">IF(R25="","",IFERROR(AVERAGEIFS(LH_Typ,LH_Key,A25,LH_Date,R25),IF(AND(ISNUMBER(H25),ISNUMBER(J25)),ROUND(AVERAGE(H25,J25),0),"")))</f>
        <v>330</v>
      </c>
      <c r="J25" s="3" t="n">
        <f aca="false">IF(R25="","",IFERROR(AVERAGEIFS(LH_High,LH_Key,A25,LH_Date,R25),""))</f>
        <v>500</v>
      </c>
      <c r="K25" s="13" t="n">
        <v>1</v>
      </c>
      <c r="L25" s="2" t="s">
        <v>1996</v>
      </c>
      <c r="M25" s="3" t="n">
        <f aca="false">IF(ISNUMBER(I25),I25*$K25,"")</f>
        <v>330</v>
      </c>
      <c r="N25" s="3" t="n">
        <f aca="false">IF(ISNUMBER(H25),H25*$K25,"")</f>
        <v>180</v>
      </c>
      <c r="O25" s="3" t="n">
        <f aca="false">IF(ISNUMBER(J25),J25*$K25,"")</f>
        <v>500</v>
      </c>
      <c r="P25" s="2" t="s">
        <v>1997</v>
      </c>
      <c r="Q25" s="2" t="s">
        <v>95</v>
      </c>
      <c r="R25" s="4" t="n">
        <f aca="false">IF(COUNTIF(LH_Key,A25)=0,"",SUMPRODUCT(MAX((LH_Key=A25)*LH_Date)))</f>
        <v>46316</v>
      </c>
      <c r="S25" s="5" t="n">
        <f aca="true">IF(ISNUMBER(R25),TODAY()-R25,"")</f>
        <v>5</v>
      </c>
      <c r="T25" s="4" t="str">
        <f aca="false">IF(R25="","",IF(SUMPRODUCT(MAX((LH_Key=A25)*(LH_Date&lt;R25)*LH_Date))=0,"",SUMPRODUCT(MAX((LH_Key=A25)*(LH_Date&lt;R25)*LH_Date))))</f>
        <v/>
      </c>
      <c r="U25" s="3" t="str">
        <f aca="false">IF(T25="","",IFERROR(AVERAGEIFS(LH_Typ,LH_Key,A25,LH_Date,T25),""))</f>
        <v/>
      </c>
      <c r="V25" s="6" t="str">
        <f aca="false">IF(OR(NOT(ISNUMBER(I25)),NOT(ISNUMBER(U25))),"",I25/U25-1)</f>
        <v/>
      </c>
      <c r="W25" s="2" t="s">
        <v>1922</v>
      </c>
      <c r="X25" s="2" t="s">
        <v>27</v>
      </c>
      <c r="Y25" s="2"/>
    </row>
    <row r="26" customFormat="false" ht="15" hidden="false" customHeight="false" outlineLevel="0" collapsed="false">
      <c r="A26" s="2" t="s">
        <v>1998</v>
      </c>
      <c r="B26" s="2" t="s">
        <v>1228</v>
      </c>
      <c r="C26" s="2" t="s">
        <v>1917</v>
      </c>
      <c r="D26" s="2" t="s">
        <v>273</v>
      </c>
      <c r="E26" s="2" t="s">
        <v>1229</v>
      </c>
      <c r="F26" s="2" t="s">
        <v>1982</v>
      </c>
      <c r="G26" s="2" t="s">
        <v>250</v>
      </c>
      <c r="H26" s="3" t="n">
        <f aca="false">IF(R26="","",IFERROR(AVERAGEIFS(LH_Low,LH_Key,A26,LH_Date,R26),""))</f>
        <v>256</v>
      </c>
      <c r="I26" s="3" t="n">
        <f aca="false">IF(R26="","",IFERROR(AVERAGEIFS(LH_Typ,LH_Key,A26,LH_Date,R26),IF(AND(ISNUMBER(H26),ISNUMBER(J26)),ROUND(AVERAGE(H26,J26),0),"")))</f>
        <v>342</v>
      </c>
      <c r="J26" s="3" t="n">
        <f aca="false">IF(R26="","",IFERROR(AVERAGEIFS(LH_High,LH_Key,A26,LH_Date,R26),""))</f>
        <v>428</v>
      </c>
      <c r="K26" s="13" t="n">
        <v>1</v>
      </c>
      <c r="L26" s="2" t="s">
        <v>1999</v>
      </c>
      <c r="M26" s="3" t="n">
        <f aca="false">IF(ISNUMBER(I26),I26*$K26,"")</f>
        <v>342</v>
      </c>
      <c r="N26" s="3" t="n">
        <f aca="false">IF(ISNUMBER(H26),H26*$K26,"")</f>
        <v>256</v>
      </c>
      <c r="O26" s="3" t="n">
        <f aca="false">IF(ISNUMBER(J26),J26*$K26,"")</f>
        <v>428</v>
      </c>
      <c r="P26" s="2" t="s">
        <v>2000</v>
      </c>
      <c r="Q26" s="2" t="s">
        <v>95</v>
      </c>
      <c r="R26" s="4" t="n">
        <f aca="false">IF(COUNTIF(LH_Key,A26)=0,"",SUMPRODUCT(MAX((LH_Key=A26)*LH_Date)))</f>
        <v>46316</v>
      </c>
      <c r="S26" s="5" t="n">
        <f aca="true">IF(ISNUMBER(R26),TODAY()-R26,"")</f>
        <v>5</v>
      </c>
      <c r="T26" s="4" t="str">
        <f aca="false">IF(R26="","",IF(SUMPRODUCT(MAX((LH_Key=A26)*(LH_Date&lt;R26)*LH_Date))=0,"",SUMPRODUCT(MAX((LH_Key=A26)*(LH_Date&lt;R26)*LH_Date))))</f>
        <v/>
      </c>
      <c r="U26" s="3" t="str">
        <f aca="false">IF(T26="","",IFERROR(AVERAGEIFS(LH_Typ,LH_Key,A26,LH_Date,T26),""))</f>
        <v/>
      </c>
      <c r="V26" s="6" t="str">
        <f aca="false">IF(OR(NOT(ISNUMBER(I26)),NOT(ISNUMBER(U26))),"",I26/U26-1)</f>
        <v/>
      </c>
      <c r="W26" s="2" t="s">
        <v>2001</v>
      </c>
      <c r="X26" s="2" t="s">
        <v>1970</v>
      </c>
      <c r="Y26" s="2" t="s">
        <v>2002</v>
      </c>
    </row>
    <row r="27" customFormat="false" ht="15" hidden="false" customHeight="false" outlineLevel="0" collapsed="false">
      <c r="A27" s="2" t="s">
        <v>2003</v>
      </c>
      <c r="B27" s="2" t="s">
        <v>1249</v>
      </c>
      <c r="C27" s="2" t="s">
        <v>1917</v>
      </c>
      <c r="D27" s="2" t="s">
        <v>273</v>
      </c>
      <c r="E27" s="2" t="s">
        <v>1250</v>
      </c>
      <c r="F27" s="2" t="s">
        <v>1982</v>
      </c>
      <c r="G27" s="2" t="s">
        <v>250</v>
      </c>
      <c r="H27" s="3" t="n">
        <f aca="false">IF(R27="","",IFERROR(AVERAGEIFS(LH_Low,LH_Key,A27,LH_Date,R27),""))</f>
        <v>220</v>
      </c>
      <c r="I27" s="3" t="n">
        <f aca="false">IF(R27="","",IFERROR(AVERAGEIFS(LH_Typ,LH_Key,A27,LH_Date,R27),IF(AND(ISNUMBER(H27),ISNUMBER(J27)),ROUND(AVERAGE(H27,J27),0),"")))</f>
        <v>335</v>
      </c>
      <c r="J27" s="3" t="n">
        <f aca="false">IF(R27="","",IFERROR(AVERAGEIFS(LH_High,LH_Key,A27,LH_Date,R27),""))</f>
        <v>600</v>
      </c>
      <c r="K27" s="13" t="n">
        <v>1</v>
      </c>
      <c r="L27" s="2" t="s">
        <v>2004</v>
      </c>
      <c r="M27" s="3" t="n">
        <f aca="false">IF(ISNUMBER(I27),I27*$K27,"")</f>
        <v>335</v>
      </c>
      <c r="N27" s="3" t="n">
        <f aca="false">IF(ISNUMBER(H27),H27*$K27,"")</f>
        <v>220</v>
      </c>
      <c r="O27" s="3" t="n">
        <f aca="false">IF(ISNUMBER(J27),J27*$K27,"")</f>
        <v>600</v>
      </c>
      <c r="P27" s="2" t="s">
        <v>2005</v>
      </c>
      <c r="Q27" s="2" t="s">
        <v>2006</v>
      </c>
      <c r="R27" s="4" t="n">
        <f aca="false">IF(COUNTIF(LH_Key,A27)=0,"",SUMPRODUCT(MAX((LH_Key=A27)*LH_Date)))</f>
        <v>46316</v>
      </c>
      <c r="S27" s="5" t="n">
        <f aca="true">IF(ISNUMBER(R27),TODAY()-R27,"")</f>
        <v>5</v>
      </c>
      <c r="T27" s="4" t="str">
        <f aca="false">IF(R27="","",IF(SUMPRODUCT(MAX((LH_Key=A27)*(LH_Date&lt;R27)*LH_Date))=0,"",SUMPRODUCT(MAX((LH_Key=A27)*(LH_Date&lt;R27)*LH_Date))))</f>
        <v/>
      </c>
      <c r="U27" s="3" t="str">
        <f aca="false">IF(T27="","",IFERROR(AVERAGEIFS(LH_Typ,LH_Key,A27,LH_Date,T27),""))</f>
        <v/>
      </c>
      <c r="V27" s="6" t="str">
        <f aca="false">IF(OR(NOT(ISNUMBER(I27)),NOT(ISNUMBER(U27))),"",I27/U27-1)</f>
        <v/>
      </c>
      <c r="W27" s="2" t="s">
        <v>2001</v>
      </c>
      <c r="X27" s="2" t="s">
        <v>2007</v>
      </c>
      <c r="Y27" s="2" t="s">
        <v>2008</v>
      </c>
    </row>
    <row r="28" customFormat="false" ht="15" hidden="false" customHeight="false" outlineLevel="0" collapsed="false">
      <c r="A28" s="2" t="s">
        <v>2009</v>
      </c>
      <c r="B28" s="2" t="s">
        <v>1267</v>
      </c>
      <c r="C28" s="2" t="s">
        <v>1917</v>
      </c>
      <c r="D28" s="2" t="s">
        <v>397</v>
      </c>
      <c r="E28" s="2" t="s">
        <v>1268</v>
      </c>
      <c r="F28" s="2" t="s">
        <v>2010</v>
      </c>
      <c r="G28" s="2" t="s">
        <v>1919</v>
      </c>
      <c r="H28" s="3" t="n">
        <f aca="false">IF(R28="","",IFERROR(AVERAGEIFS(LH_Low,LH_Key,A28,LH_Date,R28),""))</f>
        <v>120</v>
      </c>
      <c r="I28" s="3" t="n">
        <f aca="false">IF(R28="","",IFERROR(AVERAGEIFS(LH_Typ,LH_Key,A28,LH_Date,R28),IF(AND(ISNUMBER(H28),ISNUMBER(J28)),ROUND(AVERAGE(H28,J28),0),"")))</f>
        <v>178</v>
      </c>
      <c r="J28" s="3" t="n">
        <f aca="false">IF(R28="","",IFERROR(AVERAGEIFS(LH_High,LH_Key,A28,LH_Date,R28),""))</f>
        <v>350</v>
      </c>
      <c r="K28" s="13" t="n">
        <v>20</v>
      </c>
      <c r="L28" s="2" t="s">
        <v>1821</v>
      </c>
      <c r="M28" s="3" t="n">
        <f aca="false">IF(ISNUMBER(I28),I28*$K28,"")</f>
        <v>3560</v>
      </c>
      <c r="N28" s="3" t="n">
        <f aca="false">IF(ISNUMBER(H28),H28*$K28,"")</f>
        <v>2400</v>
      </c>
      <c r="O28" s="3" t="n">
        <f aca="false">IF(ISNUMBER(J28),J28*$K28,"")</f>
        <v>7000</v>
      </c>
      <c r="P28" s="2" t="s">
        <v>2011</v>
      </c>
      <c r="Q28" s="2" t="s">
        <v>95</v>
      </c>
      <c r="R28" s="4" t="n">
        <f aca="false">IF(COUNTIF(LH_Key,A28)=0,"",SUMPRODUCT(MAX((LH_Key=A28)*LH_Date)))</f>
        <v>46316</v>
      </c>
      <c r="S28" s="5" t="n">
        <f aca="true">IF(ISNUMBER(R28),TODAY()-R28,"")</f>
        <v>5</v>
      </c>
      <c r="T28" s="4" t="str">
        <f aca="false">IF(R28="","",IF(SUMPRODUCT(MAX((LH_Key=A28)*(LH_Date&lt;R28)*LH_Date))=0,"",SUMPRODUCT(MAX((LH_Key=A28)*(LH_Date&lt;R28)*LH_Date))))</f>
        <v/>
      </c>
      <c r="U28" s="3" t="str">
        <f aca="false">IF(T28="","",IFERROR(AVERAGEIFS(LH_Typ,LH_Key,A28,LH_Date,T28),""))</f>
        <v/>
      </c>
      <c r="V28" s="6" t="str">
        <f aca="false">IF(OR(NOT(ISNUMBER(I28)),NOT(ISNUMBER(U28))),"",I28/U28-1)</f>
        <v/>
      </c>
      <c r="W28" s="2" t="s">
        <v>1922</v>
      </c>
      <c r="X28" s="2" t="s">
        <v>27</v>
      </c>
      <c r="Y28" s="2"/>
    </row>
    <row r="29" customFormat="false" ht="15" hidden="false" customHeight="false" outlineLevel="0" collapsed="false">
      <c r="A29" s="2" t="s">
        <v>2012</v>
      </c>
      <c r="B29" s="2" t="s">
        <v>1284</v>
      </c>
      <c r="C29" s="2" t="s">
        <v>1917</v>
      </c>
      <c r="D29" s="2" t="s">
        <v>397</v>
      </c>
      <c r="E29" s="2" t="s">
        <v>1285</v>
      </c>
      <c r="F29" s="2" t="s">
        <v>2010</v>
      </c>
      <c r="G29" s="2" t="s">
        <v>250</v>
      </c>
      <c r="H29" s="3" t="n">
        <f aca="false">IF(R29="","",IFERROR(AVERAGEIFS(LH_Low,LH_Key,A29,LH_Date,R29),""))</f>
        <v>1500</v>
      </c>
      <c r="I29" s="3" t="n">
        <f aca="false">IF(R29="","",IFERROR(AVERAGEIFS(LH_Typ,LH_Key,A29,LH_Date,R29),IF(AND(ISNUMBER(H29),ISNUMBER(J29)),ROUND(AVERAGE(H29,J29),0),"")))</f>
        <v>2000</v>
      </c>
      <c r="J29" s="3" t="n">
        <f aca="false">IF(R29="","",IFERROR(AVERAGEIFS(LH_High,LH_Key,A29,LH_Date,R29),""))</f>
        <v>2500</v>
      </c>
      <c r="K29" s="13" t="n">
        <v>1</v>
      </c>
      <c r="L29" s="2" t="s">
        <v>2013</v>
      </c>
      <c r="M29" s="3" t="n">
        <f aca="false">IF(ISNUMBER(I29),I29*$K29,"")</f>
        <v>2000</v>
      </c>
      <c r="N29" s="3" t="n">
        <f aca="false">IF(ISNUMBER(H29),H29*$K29,"")</f>
        <v>1500</v>
      </c>
      <c r="O29" s="3" t="n">
        <f aca="false">IF(ISNUMBER(J29),J29*$K29,"")</f>
        <v>2500</v>
      </c>
      <c r="P29" s="2" t="s">
        <v>2014</v>
      </c>
      <c r="Q29" s="2" t="s">
        <v>2015</v>
      </c>
      <c r="R29" s="4" t="n">
        <f aca="false">IF(COUNTIF(LH_Key,A29)=0,"",SUMPRODUCT(MAX((LH_Key=A29)*LH_Date)))</f>
        <v>46316</v>
      </c>
      <c r="S29" s="5" t="n">
        <f aca="true">IF(ISNUMBER(R29),TODAY()-R29,"")</f>
        <v>5</v>
      </c>
      <c r="T29" s="4" t="str">
        <f aca="false">IF(R29="","",IF(SUMPRODUCT(MAX((LH_Key=A29)*(LH_Date&lt;R29)*LH_Date))=0,"",SUMPRODUCT(MAX((LH_Key=A29)*(LH_Date&lt;R29)*LH_Date))))</f>
        <v/>
      </c>
      <c r="U29" s="3" t="str">
        <f aca="false">IF(T29="","",IFERROR(AVERAGEIFS(LH_Typ,LH_Key,A29,LH_Date,T29),""))</f>
        <v/>
      </c>
      <c r="V29" s="6" t="str">
        <f aca="false">IF(OR(NOT(ISNUMBER(I29)),NOT(ISNUMBER(U29))),"",I29/U29-1)</f>
        <v/>
      </c>
      <c r="W29" s="2" t="s">
        <v>1922</v>
      </c>
      <c r="X29" s="2" t="s">
        <v>27</v>
      </c>
      <c r="Y29" s="2" t="s">
        <v>2016</v>
      </c>
    </row>
    <row r="30" customFormat="false" ht="15" hidden="false" customHeight="false" outlineLevel="0" collapsed="false">
      <c r="A30" s="2" t="s">
        <v>2017</v>
      </c>
      <c r="B30" s="2" t="s">
        <v>1291</v>
      </c>
      <c r="C30" s="2" t="s">
        <v>1917</v>
      </c>
      <c r="D30" s="2" t="s">
        <v>397</v>
      </c>
      <c r="E30" s="2" t="s">
        <v>1292</v>
      </c>
      <c r="F30" s="2" t="s">
        <v>2018</v>
      </c>
      <c r="G30" s="2" t="s">
        <v>1919</v>
      </c>
      <c r="H30" s="3" t="n">
        <f aca="false">IF(R30="","",IFERROR(AVERAGEIFS(LH_Low,LH_Key,A30,LH_Date,R30),""))</f>
        <v>100</v>
      </c>
      <c r="I30" s="3" t="n">
        <f aca="false">IF(R30="","",IFERROR(AVERAGEIFS(LH_Typ,LH_Key,A30,LH_Date,R30),IF(AND(ISNUMBER(H30),ISNUMBER(J30)),ROUND(AVERAGE(H30,J30),0),"")))</f>
        <v>180</v>
      </c>
      <c r="J30" s="3" t="n">
        <f aca="false">IF(R30="","",IFERROR(AVERAGEIFS(LH_High,LH_Key,A30,LH_Date,R30),""))</f>
        <v>220</v>
      </c>
      <c r="K30" s="13" t="n">
        <v>20</v>
      </c>
      <c r="L30" s="2" t="s">
        <v>1821</v>
      </c>
      <c r="M30" s="3" t="n">
        <f aca="false">IF(ISNUMBER(I30),I30*$K30,"")</f>
        <v>3600</v>
      </c>
      <c r="N30" s="3" t="n">
        <f aca="false">IF(ISNUMBER(H30),H30*$K30,"")</f>
        <v>2000</v>
      </c>
      <c r="O30" s="3" t="n">
        <f aca="false">IF(ISNUMBER(J30),J30*$K30,"")</f>
        <v>4400</v>
      </c>
      <c r="P30" s="2" t="s">
        <v>2011</v>
      </c>
      <c r="Q30" s="2" t="s">
        <v>95</v>
      </c>
      <c r="R30" s="4" t="n">
        <f aca="false">IF(COUNTIF(LH_Key,A30)=0,"",SUMPRODUCT(MAX((LH_Key=A30)*LH_Date)))</f>
        <v>46316</v>
      </c>
      <c r="S30" s="5" t="n">
        <f aca="true">IF(ISNUMBER(R30),TODAY()-R30,"")</f>
        <v>5</v>
      </c>
      <c r="T30" s="4" t="str">
        <f aca="false">IF(R30="","",IF(SUMPRODUCT(MAX((LH_Key=A30)*(LH_Date&lt;R30)*LH_Date))=0,"",SUMPRODUCT(MAX((LH_Key=A30)*(LH_Date&lt;R30)*LH_Date))))</f>
        <v/>
      </c>
      <c r="U30" s="3" t="str">
        <f aca="false">IF(T30="","",IFERROR(AVERAGEIFS(LH_Typ,LH_Key,A30,LH_Date,T30),""))</f>
        <v/>
      </c>
      <c r="V30" s="6" t="str">
        <f aca="false">IF(OR(NOT(ISNUMBER(I30)),NOT(ISNUMBER(U30))),"",I30/U30-1)</f>
        <v/>
      </c>
      <c r="W30" s="2" t="s">
        <v>1922</v>
      </c>
      <c r="X30" s="2" t="s">
        <v>27</v>
      </c>
      <c r="Y30" s="2" t="s">
        <v>2019</v>
      </c>
    </row>
    <row r="31" customFormat="false" ht="15" hidden="false" customHeight="false" outlineLevel="0" collapsed="false">
      <c r="A31" s="2" t="s">
        <v>2020</v>
      </c>
      <c r="B31" s="2" t="s">
        <v>1318</v>
      </c>
      <c r="C31" s="2" t="s">
        <v>1917</v>
      </c>
      <c r="D31" s="2" t="s">
        <v>496</v>
      </c>
      <c r="E31" s="2" t="s">
        <v>1319</v>
      </c>
      <c r="F31" s="2" t="s">
        <v>2021</v>
      </c>
      <c r="G31" s="2" t="s">
        <v>250</v>
      </c>
      <c r="H31" s="3" t="n">
        <f aca="false">IF(R31="","",IFERROR(AVERAGEIFS(LH_Low,LH_Key,A31,LH_Date,R31),""))</f>
        <v>1500</v>
      </c>
      <c r="I31" s="3" t="n">
        <f aca="false">IF(R31="","",IFERROR(AVERAGEIFS(LH_Typ,LH_Key,A31,LH_Date,R31),IF(AND(ISNUMBER(H31),ISNUMBER(J31)),ROUND(AVERAGE(H31,J31),0),"")))</f>
        <v>2250</v>
      </c>
      <c r="J31" s="3" t="n">
        <f aca="false">IF(R31="","",IFERROR(AVERAGEIFS(LH_High,LH_Key,A31,LH_Date,R31),""))</f>
        <v>3000</v>
      </c>
      <c r="K31" s="13" t="n">
        <v>1</v>
      </c>
      <c r="L31" s="2" t="s">
        <v>1980</v>
      </c>
      <c r="M31" s="3" t="n">
        <f aca="false">IF(ISNUMBER(I31),I31*$K31,"")</f>
        <v>2250</v>
      </c>
      <c r="N31" s="3" t="n">
        <f aca="false">IF(ISNUMBER(H31),H31*$K31,"")</f>
        <v>1500</v>
      </c>
      <c r="O31" s="3" t="n">
        <f aca="false">IF(ISNUMBER(J31),J31*$K31,"")</f>
        <v>3000</v>
      </c>
      <c r="P31" s="2" t="s">
        <v>2022</v>
      </c>
      <c r="Q31" s="2" t="s">
        <v>95</v>
      </c>
      <c r="R31" s="4" t="n">
        <f aca="false">IF(COUNTIF(LH_Key,A31)=0,"",SUMPRODUCT(MAX((LH_Key=A31)*LH_Date)))</f>
        <v>46316</v>
      </c>
      <c r="S31" s="5" t="n">
        <f aca="true">IF(ISNUMBER(R31),TODAY()-R31,"")</f>
        <v>5</v>
      </c>
      <c r="T31" s="4" t="str">
        <f aca="false">IF(R31="","",IF(SUMPRODUCT(MAX((LH_Key=A31)*(LH_Date&lt;R31)*LH_Date))=0,"",SUMPRODUCT(MAX((LH_Key=A31)*(LH_Date&lt;R31)*LH_Date))))</f>
        <v/>
      </c>
      <c r="U31" s="3" t="str">
        <f aca="false">IF(T31="","",IFERROR(AVERAGEIFS(LH_Typ,LH_Key,A31,LH_Date,T31),""))</f>
        <v/>
      </c>
      <c r="V31" s="6" t="str">
        <f aca="false">IF(OR(NOT(ISNUMBER(I31)),NOT(ISNUMBER(U31))),"",I31/U31-1)</f>
        <v/>
      </c>
      <c r="W31" s="2" t="s">
        <v>2001</v>
      </c>
      <c r="X31" s="2" t="s">
        <v>2023</v>
      </c>
      <c r="Y31" s="2" t="s">
        <v>2024</v>
      </c>
    </row>
    <row r="32" customFormat="false" ht="15" hidden="false" customHeight="false" outlineLevel="0" collapsed="false">
      <c r="A32" s="2" t="s">
        <v>2025</v>
      </c>
      <c r="B32" s="2" t="s">
        <v>1334</v>
      </c>
      <c r="C32" s="2" t="s">
        <v>1917</v>
      </c>
      <c r="D32" s="2" t="s">
        <v>496</v>
      </c>
      <c r="E32" s="2" t="s">
        <v>1335</v>
      </c>
      <c r="F32" s="2" t="s">
        <v>2021</v>
      </c>
      <c r="G32" s="2" t="s">
        <v>1919</v>
      </c>
      <c r="H32" s="3" t="n">
        <f aca="false">IF(R32="","",IFERROR(AVERAGEIFS(LH_Low,LH_Key,A32,LH_Date,R32),""))</f>
        <v>180</v>
      </c>
      <c r="I32" s="3" t="n">
        <f aca="false">IF(R32="","",IFERROR(AVERAGEIFS(LH_Typ,LH_Key,A32,LH_Date,R32),IF(AND(ISNUMBER(H32),ISNUMBER(J32)),ROUND(AVERAGE(H32,J32),0),"")))</f>
        <v>210</v>
      </c>
      <c r="J32" s="3" t="n">
        <f aca="false">IF(R32="","",IFERROR(AVERAGEIFS(LH_High,LH_Key,A32,LH_Date,R32),""))</f>
        <v>250</v>
      </c>
      <c r="K32" s="13" t="n">
        <v>10</v>
      </c>
      <c r="L32" s="2" t="s">
        <v>2026</v>
      </c>
      <c r="M32" s="3" t="n">
        <f aca="false">IF(ISNUMBER(I32),I32*$K32,"")</f>
        <v>2100</v>
      </c>
      <c r="N32" s="3" t="n">
        <f aca="false">IF(ISNUMBER(H32),H32*$K32,"")</f>
        <v>1800</v>
      </c>
      <c r="O32" s="3" t="n">
        <f aca="false">IF(ISNUMBER(J32),J32*$K32,"")</f>
        <v>2500</v>
      </c>
      <c r="P32" s="2" t="s">
        <v>2027</v>
      </c>
      <c r="Q32" s="2" t="s">
        <v>2028</v>
      </c>
      <c r="R32" s="4" t="n">
        <f aca="false">IF(COUNTIF(LH_Key,A32)=0,"",SUMPRODUCT(MAX((LH_Key=A32)*LH_Date)))</f>
        <v>46316</v>
      </c>
      <c r="S32" s="5" t="n">
        <f aca="true">IF(ISNUMBER(R32),TODAY()-R32,"")</f>
        <v>5</v>
      </c>
      <c r="T32" s="4" t="str">
        <f aca="false">IF(R32="","",IF(SUMPRODUCT(MAX((LH_Key=A32)*(LH_Date&lt;R32)*LH_Date))=0,"",SUMPRODUCT(MAX((LH_Key=A32)*(LH_Date&lt;R32)*LH_Date))))</f>
        <v/>
      </c>
      <c r="U32" s="3" t="str">
        <f aca="false">IF(T32="","",IFERROR(AVERAGEIFS(LH_Typ,LH_Key,A32,LH_Date,T32),""))</f>
        <v/>
      </c>
      <c r="V32" s="6" t="str">
        <f aca="false">IF(OR(NOT(ISNUMBER(I32)),NOT(ISNUMBER(U32))),"",I32/U32-1)</f>
        <v/>
      </c>
      <c r="W32" s="2" t="s">
        <v>1922</v>
      </c>
      <c r="X32" s="2" t="s">
        <v>27</v>
      </c>
      <c r="Y32" s="2" t="s">
        <v>2029</v>
      </c>
    </row>
    <row r="33" customFormat="false" ht="15" hidden="false" customHeight="false" outlineLevel="0" collapsed="false">
      <c r="A33" s="2" t="s">
        <v>2030</v>
      </c>
      <c r="B33" s="2" t="s">
        <v>1365</v>
      </c>
      <c r="C33" s="2" t="s">
        <v>1917</v>
      </c>
      <c r="D33" s="2" t="s">
        <v>496</v>
      </c>
      <c r="E33" s="2" t="s">
        <v>1366</v>
      </c>
      <c r="F33" s="2" t="s">
        <v>2021</v>
      </c>
      <c r="G33" s="2" t="s">
        <v>1919</v>
      </c>
      <c r="H33" s="3" t="n">
        <f aca="false">IF(R33="","",IFERROR(AVERAGEIFS(LH_Low,LH_Key,A33,LH_Date,R33),""))</f>
        <v>32.18</v>
      </c>
      <c r="I33" s="3" t="n">
        <f aca="false">IF(R33="","",IFERROR(AVERAGEIFS(LH_Typ,LH_Key,A33,LH_Date,R33),IF(AND(ISNUMBER(H33),ISNUMBER(J33)),ROUND(AVERAGE(H33,J33),0),"")))</f>
        <v>80</v>
      </c>
      <c r="J33" s="3" t="n">
        <f aca="false">IF(R33="","",IFERROR(AVERAGEIFS(LH_High,LH_Key,A33,LH_Date,R33),""))</f>
        <v>128.72</v>
      </c>
      <c r="K33" s="13" t="n">
        <v>20</v>
      </c>
      <c r="L33" s="2" t="s">
        <v>2031</v>
      </c>
      <c r="M33" s="3" t="n">
        <f aca="false">IF(ISNUMBER(I33),I33*$K33,"")</f>
        <v>1600</v>
      </c>
      <c r="N33" s="3" t="n">
        <f aca="false">IF(ISNUMBER(H33),H33*$K33,"")</f>
        <v>643.6</v>
      </c>
      <c r="O33" s="3" t="n">
        <f aca="false">IF(ISNUMBER(J33),J33*$K33,"")</f>
        <v>2574.4</v>
      </c>
      <c r="P33" s="2" t="s">
        <v>2032</v>
      </c>
      <c r="Q33" s="2" t="s">
        <v>2033</v>
      </c>
      <c r="R33" s="4" t="n">
        <f aca="false">IF(COUNTIF(LH_Key,A33)=0,"",SUMPRODUCT(MAX((LH_Key=A33)*LH_Date)))</f>
        <v>46316</v>
      </c>
      <c r="S33" s="5" t="n">
        <f aca="true">IF(ISNUMBER(R33),TODAY()-R33,"")</f>
        <v>5</v>
      </c>
      <c r="T33" s="4" t="str">
        <f aca="false">IF(R33="","",IF(SUMPRODUCT(MAX((LH_Key=A33)*(LH_Date&lt;R33)*LH_Date))=0,"",SUMPRODUCT(MAX((LH_Key=A33)*(LH_Date&lt;R33)*LH_Date))))</f>
        <v/>
      </c>
      <c r="U33" s="3" t="str">
        <f aca="false">IF(T33="","",IFERROR(AVERAGEIFS(LH_Typ,LH_Key,A33,LH_Date,T33),""))</f>
        <v/>
      </c>
      <c r="V33" s="6" t="str">
        <f aca="false">IF(OR(NOT(ISNUMBER(I33)),NOT(ISNUMBER(U33))),"",I33/U33-1)</f>
        <v/>
      </c>
      <c r="W33" s="2" t="s">
        <v>1922</v>
      </c>
      <c r="X33" s="2" t="s">
        <v>27</v>
      </c>
      <c r="Y33" s="2" t="s">
        <v>2034</v>
      </c>
    </row>
    <row r="34" customFormat="false" ht="15" hidden="false" customHeight="false" outlineLevel="0" collapsed="false">
      <c r="A34" s="2" t="s">
        <v>2035</v>
      </c>
      <c r="B34" s="2" t="s">
        <v>1372</v>
      </c>
      <c r="C34" s="2" t="s">
        <v>1917</v>
      </c>
      <c r="D34" s="2" t="s">
        <v>590</v>
      </c>
      <c r="E34" s="2" t="s">
        <v>1373</v>
      </c>
      <c r="F34" s="2" t="s">
        <v>2018</v>
      </c>
      <c r="G34" s="2" t="s">
        <v>250</v>
      </c>
      <c r="H34" s="3" t="n">
        <f aca="false">IF(R34="","",IFERROR(AVERAGEIFS(LH_Low,LH_Key,A34,LH_Date,R34),""))</f>
        <v>180</v>
      </c>
      <c r="I34" s="3" t="n">
        <f aca="false">IF(R34="","",IFERROR(AVERAGEIFS(LH_Typ,LH_Key,A34,LH_Date,R34),IF(AND(ISNUMBER(H34),ISNUMBER(J34)),ROUND(AVERAGE(H34,J34),0),"")))</f>
        <v>240</v>
      </c>
      <c r="J34" s="3" t="n">
        <f aca="false">IF(R34="","",IFERROR(AVERAGEIFS(LH_High,LH_Key,A34,LH_Date,R34),""))</f>
        <v>320</v>
      </c>
      <c r="K34" s="13" t="n">
        <v>1</v>
      </c>
      <c r="L34" s="2" t="s">
        <v>2036</v>
      </c>
      <c r="M34" s="3" t="n">
        <f aca="false">IF(ISNUMBER(I34),I34*$K34,"")</f>
        <v>240</v>
      </c>
      <c r="N34" s="3" t="n">
        <f aca="false">IF(ISNUMBER(H34),H34*$K34,"")</f>
        <v>180</v>
      </c>
      <c r="O34" s="3" t="n">
        <f aca="false">IF(ISNUMBER(J34),J34*$K34,"")</f>
        <v>320</v>
      </c>
      <c r="P34" s="2" t="s">
        <v>2037</v>
      </c>
      <c r="Q34" s="2" t="s">
        <v>2038</v>
      </c>
      <c r="R34" s="4" t="n">
        <f aca="false">IF(COUNTIF(LH_Key,A34)=0,"",SUMPRODUCT(MAX((LH_Key=A34)*LH_Date)))</f>
        <v>46321</v>
      </c>
      <c r="S34" s="5" t="n">
        <f aca="true">IF(ISNUMBER(R34),TODAY()-R34,"")</f>
        <v>0</v>
      </c>
      <c r="T34" s="4" t="n">
        <f aca="false">IF(R34="","",IF(SUMPRODUCT(MAX((LH_Key=A34)*(LH_Date&lt;R34)*LH_Date))=0,"",SUMPRODUCT(MAX((LH_Key=A34)*(LH_Date&lt;R34)*LH_Date))))</f>
        <v>46316</v>
      </c>
      <c r="U34" s="3" t="n">
        <f aca="false">IF(T34="","",IFERROR(AVERAGEIFS(LH_Typ,LH_Key,A34,LH_Date,T34),""))</f>
        <v>240</v>
      </c>
      <c r="V34" s="6" t="n">
        <f aca="false">IF(OR(NOT(ISNUMBER(I34)),NOT(ISNUMBER(U34))),"",I34/U34-1)</f>
        <v>0</v>
      </c>
      <c r="W34" s="2" t="s">
        <v>2001</v>
      </c>
      <c r="X34" s="2" t="s">
        <v>1970</v>
      </c>
      <c r="Y34" s="2" t="s">
        <v>2039</v>
      </c>
    </row>
    <row r="35" customFormat="false" ht="15" hidden="false" customHeight="false" outlineLevel="0" collapsed="false">
      <c r="A35" s="2" t="s">
        <v>2040</v>
      </c>
      <c r="B35" s="2" t="s">
        <v>1386</v>
      </c>
      <c r="C35" s="2" t="s">
        <v>1917</v>
      </c>
      <c r="D35" s="2" t="s">
        <v>618</v>
      </c>
      <c r="E35" s="2" t="s">
        <v>1387</v>
      </c>
      <c r="F35" s="2" t="s">
        <v>1925</v>
      </c>
      <c r="G35" s="2" t="s">
        <v>250</v>
      </c>
      <c r="H35" s="3" t="n">
        <f aca="false">IF(R35="","",IFERROR(AVERAGEIFS(LH_Low,LH_Key,A35,LH_Date,R35),""))</f>
        <v>650</v>
      </c>
      <c r="I35" s="3" t="n">
        <f aca="false">IF(R35="","",IFERROR(AVERAGEIFS(LH_Typ,LH_Key,A35,LH_Date,R35),IF(AND(ISNUMBER(H35),ISNUMBER(J35)),ROUND(AVERAGE(H35,J35),0),"")))</f>
        <v>994</v>
      </c>
      <c r="J35" s="3" t="n">
        <f aca="false">IF(R35="","",IFERROR(AVERAGEIFS(LH_High,LH_Key,A35,LH_Date,R35),""))</f>
        <v>2200</v>
      </c>
      <c r="K35" s="13" t="n">
        <v>1</v>
      </c>
      <c r="L35" s="2" t="s">
        <v>2041</v>
      </c>
      <c r="M35" s="3" t="n">
        <f aca="false">IF(ISNUMBER(I35),I35*$K35,"")</f>
        <v>994</v>
      </c>
      <c r="N35" s="3" t="n">
        <f aca="false">IF(ISNUMBER(H35),H35*$K35,"")</f>
        <v>650</v>
      </c>
      <c r="O35" s="3" t="n">
        <f aca="false">IF(ISNUMBER(J35),J35*$K35,"")</f>
        <v>2200</v>
      </c>
      <c r="P35" s="2" t="s">
        <v>2042</v>
      </c>
      <c r="Q35" s="2" t="s">
        <v>2043</v>
      </c>
      <c r="R35" s="4" t="n">
        <f aca="false">IF(COUNTIF(LH_Key,A35)=0,"",SUMPRODUCT(MAX((LH_Key=A35)*LH_Date)))</f>
        <v>46316</v>
      </c>
      <c r="S35" s="5" t="n">
        <f aca="true">IF(ISNUMBER(R35),TODAY()-R35,"")</f>
        <v>5</v>
      </c>
      <c r="T35" s="4" t="str">
        <f aca="false">IF(R35="","",IF(SUMPRODUCT(MAX((LH_Key=A35)*(LH_Date&lt;R35)*LH_Date))=0,"",SUMPRODUCT(MAX((LH_Key=A35)*(LH_Date&lt;R35)*LH_Date))))</f>
        <v/>
      </c>
      <c r="U35" s="3" t="str">
        <f aca="false">IF(T35="","",IFERROR(AVERAGEIFS(LH_Typ,LH_Key,A35,LH_Date,T35),""))</f>
        <v/>
      </c>
      <c r="V35" s="6" t="str">
        <f aca="false">IF(OR(NOT(ISNUMBER(I35)),NOT(ISNUMBER(U35))),"",I35/U35-1)</f>
        <v/>
      </c>
      <c r="W35" s="2" t="s">
        <v>1922</v>
      </c>
      <c r="X35" s="2" t="s">
        <v>27</v>
      </c>
      <c r="Y35" s="2" t="s">
        <v>2044</v>
      </c>
    </row>
    <row r="36" customFormat="false" ht="15" hidden="false" customHeight="false" outlineLevel="0" collapsed="false">
      <c r="A36" s="2" t="s">
        <v>2045</v>
      </c>
      <c r="B36" s="2" t="s">
        <v>1396</v>
      </c>
      <c r="C36" s="2" t="s">
        <v>1917</v>
      </c>
      <c r="D36" s="2" t="s">
        <v>618</v>
      </c>
      <c r="E36" s="2" t="s">
        <v>1397</v>
      </c>
      <c r="F36" s="2" t="s">
        <v>1925</v>
      </c>
      <c r="G36" s="2" t="s">
        <v>250</v>
      </c>
      <c r="H36" s="3" t="n">
        <f aca="false">IF(R36="","",IFERROR(AVERAGEIFS(LH_Low,LH_Key,A36,LH_Date,R36),""))</f>
        <v>900</v>
      </c>
      <c r="I36" s="3" t="n">
        <f aca="false">IF(R36="","",IFERROR(AVERAGEIFS(LH_Typ,LH_Key,A36,LH_Date,R36),IF(AND(ISNUMBER(H36),ISNUMBER(J36)),ROUND(AVERAGE(H36,J36),0),"")))</f>
        <v>1850</v>
      </c>
      <c r="J36" s="3" t="n">
        <f aca="false">IF(R36="","",IFERROR(AVERAGEIFS(LH_High,LH_Key,A36,LH_Date,R36),""))</f>
        <v>2800</v>
      </c>
      <c r="K36" s="13" t="n">
        <v>1</v>
      </c>
      <c r="L36" s="2" t="s">
        <v>2046</v>
      </c>
      <c r="M36" s="3" t="n">
        <f aca="false">IF(ISNUMBER(I36),I36*$K36,"")</f>
        <v>1850</v>
      </c>
      <c r="N36" s="3" t="n">
        <f aca="false">IF(ISNUMBER(H36),H36*$K36,"")</f>
        <v>900</v>
      </c>
      <c r="O36" s="3" t="n">
        <f aca="false">IF(ISNUMBER(J36),J36*$K36,"")</f>
        <v>2800</v>
      </c>
      <c r="P36" s="2" t="s">
        <v>2047</v>
      </c>
      <c r="Q36" s="2" t="s">
        <v>2048</v>
      </c>
      <c r="R36" s="4" t="n">
        <f aca="false">IF(COUNTIF(LH_Key,A36)=0,"",SUMPRODUCT(MAX((LH_Key=A36)*LH_Date)))</f>
        <v>46316</v>
      </c>
      <c r="S36" s="5" t="n">
        <f aca="true">IF(ISNUMBER(R36),TODAY()-R36,"")</f>
        <v>5</v>
      </c>
      <c r="T36" s="4" t="str">
        <f aca="false">IF(R36="","",IF(SUMPRODUCT(MAX((LH_Key=A36)*(LH_Date&lt;R36)*LH_Date))=0,"",SUMPRODUCT(MAX((LH_Key=A36)*(LH_Date&lt;R36)*LH_Date))))</f>
        <v/>
      </c>
      <c r="U36" s="3" t="str">
        <f aca="false">IF(T36="","",IFERROR(AVERAGEIFS(LH_Typ,LH_Key,A36,LH_Date,T36),""))</f>
        <v/>
      </c>
      <c r="V36" s="6" t="str">
        <f aca="false">IF(OR(NOT(ISNUMBER(I36)),NOT(ISNUMBER(U36))),"",I36/U36-1)</f>
        <v/>
      </c>
      <c r="W36" s="2" t="s">
        <v>2001</v>
      </c>
      <c r="X36" s="2" t="s">
        <v>1985</v>
      </c>
      <c r="Y36" s="2" t="s">
        <v>2049</v>
      </c>
    </row>
    <row r="37" customFormat="false" ht="15" hidden="false" customHeight="false" outlineLevel="0" collapsed="false">
      <c r="A37" s="2" t="s">
        <v>2050</v>
      </c>
      <c r="B37" s="2" t="s">
        <v>1415</v>
      </c>
      <c r="C37" s="2" t="s">
        <v>1042</v>
      </c>
      <c r="D37" s="2" t="s">
        <v>646</v>
      </c>
      <c r="E37" s="2" t="s">
        <v>1416</v>
      </c>
      <c r="F37" s="2" t="s">
        <v>2021</v>
      </c>
      <c r="G37" s="2" t="s">
        <v>1919</v>
      </c>
      <c r="H37" s="3" t="n">
        <f aca="false">IF(R37="","",IFERROR(AVERAGEIFS(LH_Low,LH_Key,A37,LH_Date,R37),""))</f>
        <v>65</v>
      </c>
      <c r="I37" s="3" t="n">
        <f aca="false">IF(R37="","",IFERROR(AVERAGEIFS(LH_Typ,LH_Key,A37,LH_Date,R37),IF(AND(ISNUMBER(H37),ISNUMBER(J37)),ROUND(AVERAGE(H37,J37),0),"")))</f>
        <v>78</v>
      </c>
      <c r="J37" s="3" t="n">
        <f aca="false">IF(R37="","",IFERROR(AVERAGEIFS(LH_High,LH_Key,A37,LH_Date,R37),""))</f>
        <v>90</v>
      </c>
      <c r="K37" s="13" t="n">
        <v>50</v>
      </c>
      <c r="L37" s="2" t="s">
        <v>2051</v>
      </c>
      <c r="M37" s="3" t="n">
        <f aca="false">IF(ISNUMBER(I37),I37*$K37,"")</f>
        <v>3900</v>
      </c>
      <c r="N37" s="3" t="n">
        <f aca="false">IF(ISNUMBER(H37),H37*$K37,"")</f>
        <v>3250</v>
      </c>
      <c r="O37" s="3" t="n">
        <f aca="false">IF(ISNUMBER(J37),J37*$K37,"")</f>
        <v>4500</v>
      </c>
      <c r="P37" s="2" t="s">
        <v>2052</v>
      </c>
      <c r="Q37" s="2" t="s">
        <v>2053</v>
      </c>
      <c r="R37" s="4" t="n">
        <f aca="false">IF(COUNTIF(LH_Key,A37)=0,"",SUMPRODUCT(MAX((LH_Key=A37)*LH_Date)))</f>
        <v>46316</v>
      </c>
      <c r="S37" s="5" t="n">
        <f aca="true">IF(ISNUMBER(R37),TODAY()-R37,"")</f>
        <v>5</v>
      </c>
      <c r="T37" s="4" t="str">
        <f aca="false">IF(R37="","",IF(SUMPRODUCT(MAX((LH_Key=A37)*(LH_Date&lt;R37)*LH_Date))=0,"",SUMPRODUCT(MAX((LH_Key=A37)*(LH_Date&lt;R37)*LH_Date))))</f>
        <v/>
      </c>
      <c r="U37" s="3" t="str">
        <f aca="false">IF(T37="","",IFERROR(AVERAGEIFS(LH_Typ,LH_Key,A37,LH_Date,T37),""))</f>
        <v/>
      </c>
      <c r="V37" s="6" t="str">
        <f aca="false">IF(OR(NOT(ISNUMBER(I37)),NOT(ISNUMBER(U37))),"",I37/U37-1)</f>
        <v/>
      </c>
      <c r="W37" s="2" t="s">
        <v>1922</v>
      </c>
      <c r="X37" s="2" t="s">
        <v>1970</v>
      </c>
      <c r="Y37" s="2" t="s">
        <v>2054</v>
      </c>
    </row>
    <row r="38" customFormat="false" ht="15" hidden="false" customHeight="false" outlineLevel="0" collapsed="false">
      <c r="A38" s="2" t="s">
        <v>2055</v>
      </c>
      <c r="B38" s="2" t="s">
        <v>1415</v>
      </c>
      <c r="C38" s="2" t="s">
        <v>1049</v>
      </c>
      <c r="D38" s="2" t="s">
        <v>646</v>
      </c>
      <c r="E38" s="2" t="s">
        <v>1416</v>
      </c>
      <c r="F38" s="2" t="s">
        <v>2021</v>
      </c>
      <c r="G38" s="2" t="s">
        <v>1919</v>
      </c>
      <c r="H38" s="3" t="n">
        <f aca="false">IF(R38="","",IFERROR(AVERAGEIFS(LH_Low,LH_Key,A38,LH_Date,R38),""))</f>
        <v>65</v>
      </c>
      <c r="I38" s="3" t="n">
        <f aca="false">IF(R38="","",IFERROR(AVERAGEIFS(LH_Typ,LH_Key,A38,LH_Date,R38),IF(AND(ISNUMBER(H38),ISNUMBER(J38)),ROUND(AVERAGE(H38,J38),0),"")))</f>
        <v>78</v>
      </c>
      <c r="J38" s="3" t="n">
        <f aca="false">IF(R38="","",IFERROR(AVERAGEIFS(LH_High,LH_Key,A38,LH_Date,R38),""))</f>
        <v>90</v>
      </c>
      <c r="K38" s="13" t="n">
        <v>50</v>
      </c>
      <c r="L38" s="2" t="s">
        <v>2051</v>
      </c>
      <c r="M38" s="3" t="n">
        <f aca="false">IF(ISNUMBER(I38),I38*$K38,"")</f>
        <v>3900</v>
      </c>
      <c r="N38" s="3" t="n">
        <f aca="false">IF(ISNUMBER(H38),H38*$K38,"")</f>
        <v>3250</v>
      </c>
      <c r="O38" s="3" t="n">
        <f aca="false">IF(ISNUMBER(J38),J38*$K38,"")</f>
        <v>4500</v>
      </c>
      <c r="P38" s="2" t="s">
        <v>2052</v>
      </c>
      <c r="Q38" s="2" t="s">
        <v>2053</v>
      </c>
      <c r="R38" s="4" t="n">
        <f aca="false">IF(COUNTIF(LH_Key,A38)=0,"",SUMPRODUCT(MAX((LH_Key=A38)*LH_Date)))</f>
        <v>46316</v>
      </c>
      <c r="S38" s="5" t="n">
        <f aca="true">IF(ISNUMBER(R38),TODAY()-R38,"")</f>
        <v>5</v>
      </c>
      <c r="T38" s="4" t="str">
        <f aca="false">IF(R38="","",IF(SUMPRODUCT(MAX((LH_Key=A38)*(LH_Date&lt;R38)*LH_Date))=0,"",SUMPRODUCT(MAX((LH_Key=A38)*(LH_Date&lt;R38)*LH_Date))))</f>
        <v/>
      </c>
      <c r="U38" s="3" t="str">
        <f aca="false">IF(T38="","",IFERROR(AVERAGEIFS(LH_Typ,LH_Key,A38,LH_Date,T38),""))</f>
        <v/>
      </c>
      <c r="V38" s="6" t="str">
        <f aca="false">IF(OR(NOT(ISNUMBER(I38)),NOT(ISNUMBER(U38))),"",I38/U38-1)</f>
        <v/>
      </c>
      <c r="W38" s="2" t="s">
        <v>1922</v>
      </c>
      <c r="X38" s="2" t="s">
        <v>1970</v>
      </c>
      <c r="Y38" s="2" t="s">
        <v>2054</v>
      </c>
    </row>
    <row r="39" customFormat="false" ht="15" hidden="false" customHeight="false" outlineLevel="0" collapsed="false">
      <c r="A39" s="2" t="s">
        <v>2056</v>
      </c>
      <c r="B39" s="2" t="s">
        <v>1415</v>
      </c>
      <c r="C39" s="2" t="s">
        <v>1051</v>
      </c>
      <c r="D39" s="2" t="s">
        <v>646</v>
      </c>
      <c r="E39" s="2" t="s">
        <v>1416</v>
      </c>
      <c r="F39" s="2" t="s">
        <v>2021</v>
      </c>
      <c r="G39" s="2" t="s">
        <v>1919</v>
      </c>
      <c r="H39" s="3" t="n">
        <f aca="false">IF(R39="","",IFERROR(AVERAGEIFS(LH_Low,LH_Key,A39,LH_Date,R39),""))</f>
        <v>90</v>
      </c>
      <c r="I39" s="3" t="n">
        <f aca="false">IF(R39="","",IFERROR(AVERAGEIFS(LH_Typ,LH_Key,A39,LH_Date,R39),IF(AND(ISNUMBER(H39),ISNUMBER(J39)),ROUND(AVERAGE(H39,J39),0),"")))</f>
        <v>105</v>
      </c>
      <c r="J39" s="3" t="n">
        <f aca="false">IF(R39="","",IFERROR(AVERAGEIFS(LH_High,LH_Key,A39,LH_Date,R39),""))</f>
        <v>120</v>
      </c>
      <c r="K39" s="13" t="n">
        <v>50</v>
      </c>
      <c r="L39" s="2" t="s">
        <v>2057</v>
      </c>
      <c r="M39" s="3" t="n">
        <f aca="false">IF(ISNUMBER(I39),I39*$K39,"")</f>
        <v>5250</v>
      </c>
      <c r="N39" s="3" t="n">
        <f aca="false">IF(ISNUMBER(H39),H39*$K39,"")</f>
        <v>4500</v>
      </c>
      <c r="O39" s="3" t="n">
        <f aca="false">IF(ISNUMBER(J39),J39*$K39,"")</f>
        <v>6000</v>
      </c>
      <c r="P39" s="2" t="s">
        <v>2058</v>
      </c>
      <c r="Q39" s="2" t="s">
        <v>2059</v>
      </c>
      <c r="R39" s="4" t="n">
        <f aca="false">IF(COUNTIF(LH_Key,A39)=0,"",SUMPRODUCT(MAX((LH_Key=A39)*LH_Date)))</f>
        <v>46316</v>
      </c>
      <c r="S39" s="5" t="n">
        <f aca="true">IF(ISNUMBER(R39),TODAY()-R39,"")</f>
        <v>5</v>
      </c>
      <c r="T39" s="4" t="str">
        <f aca="false">IF(R39="","",IF(SUMPRODUCT(MAX((LH_Key=A39)*(LH_Date&lt;R39)*LH_Date))=0,"",SUMPRODUCT(MAX((LH_Key=A39)*(LH_Date&lt;R39)*LH_Date))))</f>
        <v/>
      </c>
      <c r="U39" s="3" t="str">
        <f aca="false">IF(T39="","",IFERROR(AVERAGEIFS(LH_Typ,LH_Key,A39,LH_Date,T39),""))</f>
        <v/>
      </c>
      <c r="V39" s="6" t="str">
        <f aca="false">IF(OR(NOT(ISNUMBER(I39)),NOT(ISNUMBER(U39))),"",I39/U39-1)</f>
        <v/>
      </c>
      <c r="W39" s="2" t="s">
        <v>1922</v>
      </c>
      <c r="X39" s="2" t="s">
        <v>1985</v>
      </c>
      <c r="Y39" s="2" t="s">
        <v>2060</v>
      </c>
    </row>
    <row r="40" customFormat="false" ht="15" hidden="false" customHeight="false" outlineLevel="0" collapsed="false">
      <c r="A40" s="2" t="s">
        <v>2061</v>
      </c>
      <c r="B40" s="2" t="s">
        <v>1430</v>
      </c>
      <c r="C40" s="2" t="s">
        <v>1042</v>
      </c>
      <c r="D40" s="2" t="s">
        <v>677</v>
      </c>
      <c r="E40" s="2" t="s">
        <v>1431</v>
      </c>
      <c r="F40" s="2" t="s">
        <v>1982</v>
      </c>
      <c r="G40" s="2" t="s">
        <v>250</v>
      </c>
      <c r="H40" s="3" t="n">
        <f aca="false">IF(R40="","",IFERROR(AVERAGEIFS(LH_Low,LH_Key,A40,LH_Date,R40),""))</f>
        <v>499</v>
      </c>
      <c r="I40" s="3" t="n">
        <f aca="false">IF(R40="","",IFERROR(AVERAGEIFS(LH_Typ,LH_Key,A40,LH_Date,R40),IF(AND(ISNUMBER(H40),ISNUMBER(J40)),ROUND(AVERAGE(H40,J40),0),"")))</f>
        <v>599</v>
      </c>
      <c r="J40" s="3" t="n">
        <f aca="false">IF(R40="","",IFERROR(AVERAGEIFS(LH_High,LH_Key,A40,LH_Date,R40),""))</f>
        <v>699</v>
      </c>
      <c r="K40" s="13" t="n">
        <v>1</v>
      </c>
      <c r="L40" s="2" t="s">
        <v>2062</v>
      </c>
      <c r="M40" s="3" t="n">
        <f aca="false">IF(ISNUMBER(I40),I40*$K40,"")</f>
        <v>599</v>
      </c>
      <c r="N40" s="3" t="n">
        <f aca="false">IF(ISNUMBER(H40),H40*$K40,"")</f>
        <v>499</v>
      </c>
      <c r="O40" s="3" t="n">
        <f aca="false">IF(ISNUMBER(J40),J40*$K40,"")</f>
        <v>699</v>
      </c>
      <c r="P40" s="2" t="s">
        <v>2063</v>
      </c>
      <c r="Q40" s="2" t="s">
        <v>2064</v>
      </c>
      <c r="R40" s="4" t="n">
        <f aca="false">IF(COUNTIF(LH_Key,A40)=0,"",SUMPRODUCT(MAX((LH_Key=A40)*LH_Date)))</f>
        <v>46316</v>
      </c>
      <c r="S40" s="5" t="n">
        <f aca="true">IF(ISNUMBER(R40),TODAY()-R40,"")</f>
        <v>5</v>
      </c>
      <c r="T40" s="4" t="str">
        <f aca="false">IF(R40="","",IF(SUMPRODUCT(MAX((LH_Key=A40)*(LH_Date&lt;R40)*LH_Date))=0,"",SUMPRODUCT(MAX((LH_Key=A40)*(LH_Date&lt;R40)*LH_Date))))</f>
        <v/>
      </c>
      <c r="U40" s="3" t="str">
        <f aca="false">IF(T40="","",IFERROR(AVERAGEIFS(LH_Typ,LH_Key,A40,LH_Date,T40),""))</f>
        <v/>
      </c>
      <c r="V40" s="6" t="str">
        <f aca="false">IF(OR(NOT(ISNUMBER(I40)),NOT(ISNUMBER(U40))),"",I40/U40-1)</f>
        <v/>
      </c>
      <c r="W40" s="2" t="s">
        <v>1922</v>
      </c>
      <c r="X40" s="2" t="s">
        <v>27</v>
      </c>
      <c r="Y40" s="2" t="s">
        <v>2065</v>
      </c>
    </row>
    <row r="41" customFormat="false" ht="15" hidden="false" customHeight="false" outlineLevel="0" collapsed="false">
      <c r="A41" s="2" t="s">
        <v>2066</v>
      </c>
      <c r="B41" s="2" t="s">
        <v>1430</v>
      </c>
      <c r="C41" s="2" t="s">
        <v>1049</v>
      </c>
      <c r="D41" s="2" t="s">
        <v>677</v>
      </c>
      <c r="E41" s="2" t="s">
        <v>1431</v>
      </c>
      <c r="F41" s="2" t="s">
        <v>1982</v>
      </c>
      <c r="G41" s="2" t="s">
        <v>250</v>
      </c>
      <c r="H41" s="3" t="n">
        <f aca="false">IF(R41="","",IFERROR(AVERAGEIFS(LH_Low,LH_Key,A41,LH_Date,R41),""))</f>
        <v>499</v>
      </c>
      <c r="I41" s="3" t="n">
        <f aca="false">IF(R41="","",IFERROR(AVERAGEIFS(LH_Typ,LH_Key,A41,LH_Date,R41),IF(AND(ISNUMBER(H41),ISNUMBER(J41)),ROUND(AVERAGE(H41,J41),0),"")))</f>
        <v>599</v>
      </c>
      <c r="J41" s="3" t="n">
        <f aca="false">IF(R41="","",IFERROR(AVERAGEIFS(LH_High,LH_Key,A41,LH_Date,R41),""))</f>
        <v>699</v>
      </c>
      <c r="K41" s="13" t="n">
        <v>1</v>
      </c>
      <c r="L41" s="2" t="s">
        <v>2067</v>
      </c>
      <c r="M41" s="3" t="n">
        <f aca="false">IF(ISNUMBER(I41),I41*$K41,"")</f>
        <v>599</v>
      </c>
      <c r="N41" s="3" t="n">
        <f aca="false">IF(ISNUMBER(H41),H41*$K41,"")</f>
        <v>499</v>
      </c>
      <c r="O41" s="3" t="n">
        <f aca="false">IF(ISNUMBER(J41),J41*$K41,"")</f>
        <v>699</v>
      </c>
      <c r="P41" s="2" t="s">
        <v>2063</v>
      </c>
      <c r="Q41" s="2" t="s">
        <v>2064</v>
      </c>
      <c r="R41" s="4" t="n">
        <f aca="false">IF(COUNTIF(LH_Key,A41)=0,"",SUMPRODUCT(MAX((LH_Key=A41)*LH_Date)))</f>
        <v>46316</v>
      </c>
      <c r="S41" s="5" t="n">
        <f aca="true">IF(ISNUMBER(R41),TODAY()-R41,"")</f>
        <v>5</v>
      </c>
      <c r="T41" s="4" t="str">
        <f aca="false">IF(R41="","",IF(SUMPRODUCT(MAX((LH_Key=A41)*(LH_Date&lt;R41)*LH_Date))=0,"",SUMPRODUCT(MAX((LH_Key=A41)*(LH_Date&lt;R41)*LH_Date))))</f>
        <v/>
      </c>
      <c r="U41" s="3" t="str">
        <f aca="false">IF(T41="","",IFERROR(AVERAGEIFS(LH_Typ,LH_Key,A41,LH_Date,T41),""))</f>
        <v/>
      </c>
      <c r="V41" s="6" t="str">
        <f aca="false">IF(OR(NOT(ISNUMBER(I41)),NOT(ISNUMBER(U41))),"",I41/U41-1)</f>
        <v/>
      </c>
      <c r="W41" s="2" t="s">
        <v>1922</v>
      </c>
      <c r="X41" s="2" t="s">
        <v>27</v>
      </c>
      <c r="Y41" s="2" t="s">
        <v>2065</v>
      </c>
    </row>
    <row r="42" customFormat="false" ht="15" hidden="false" customHeight="false" outlineLevel="0" collapsed="false">
      <c r="A42" s="2" t="s">
        <v>2068</v>
      </c>
      <c r="B42" s="2" t="s">
        <v>1430</v>
      </c>
      <c r="C42" s="2" t="s">
        <v>1051</v>
      </c>
      <c r="D42" s="2" t="s">
        <v>677</v>
      </c>
      <c r="E42" s="2" t="s">
        <v>1431</v>
      </c>
      <c r="F42" s="2" t="s">
        <v>1982</v>
      </c>
      <c r="G42" s="2" t="s">
        <v>250</v>
      </c>
      <c r="H42" s="3" t="n">
        <f aca="false">IF(R42="","",IFERROR(AVERAGEIFS(LH_Low,LH_Key,A42,LH_Date,R42),""))</f>
        <v>899</v>
      </c>
      <c r="I42" s="3" t="n">
        <f aca="false">IF(R42="","",IFERROR(AVERAGEIFS(LH_Typ,LH_Key,A42,LH_Date,R42),IF(AND(ISNUMBER(H42),ISNUMBER(J42)),ROUND(AVERAGE(H42,J42),0),"")))</f>
        <v>1099</v>
      </c>
      <c r="J42" s="3" t="n">
        <f aca="false">IF(R42="","",IFERROR(AVERAGEIFS(LH_High,LH_Key,A42,LH_Date,R42),""))</f>
        <v>1299</v>
      </c>
      <c r="K42" s="13" t="n">
        <v>1</v>
      </c>
      <c r="L42" s="2" t="s">
        <v>2069</v>
      </c>
      <c r="M42" s="3" t="n">
        <f aca="false">IF(ISNUMBER(I42),I42*$K42,"")</f>
        <v>1099</v>
      </c>
      <c r="N42" s="3" t="n">
        <f aca="false">IF(ISNUMBER(H42),H42*$K42,"")</f>
        <v>899</v>
      </c>
      <c r="O42" s="3" t="n">
        <f aca="false">IF(ISNUMBER(J42),J42*$K42,"")</f>
        <v>1299</v>
      </c>
      <c r="P42" s="2" t="s">
        <v>2070</v>
      </c>
      <c r="Q42" s="2" t="s">
        <v>2064</v>
      </c>
      <c r="R42" s="4" t="n">
        <f aca="false">IF(COUNTIF(LH_Key,A42)=0,"",SUMPRODUCT(MAX((LH_Key=A42)*LH_Date)))</f>
        <v>46316</v>
      </c>
      <c r="S42" s="5" t="n">
        <f aca="true">IF(ISNUMBER(R42),TODAY()-R42,"")</f>
        <v>5</v>
      </c>
      <c r="T42" s="4" t="str">
        <f aca="false">IF(R42="","",IF(SUMPRODUCT(MAX((LH_Key=A42)*(LH_Date&lt;R42)*LH_Date))=0,"",SUMPRODUCT(MAX((LH_Key=A42)*(LH_Date&lt;R42)*LH_Date))))</f>
        <v/>
      </c>
      <c r="U42" s="3" t="str">
        <f aca="false">IF(T42="","",IFERROR(AVERAGEIFS(LH_Typ,LH_Key,A42,LH_Date,T42),""))</f>
        <v/>
      </c>
      <c r="V42" s="6" t="str">
        <f aca="false">IF(OR(NOT(ISNUMBER(I42)),NOT(ISNUMBER(U42))),"",I42/U42-1)</f>
        <v/>
      </c>
      <c r="W42" s="2" t="s">
        <v>1922</v>
      </c>
      <c r="X42" s="2" t="s">
        <v>27</v>
      </c>
      <c r="Y42" s="2" t="s">
        <v>2065</v>
      </c>
    </row>
    <row r="43" customFormat="false" ht="15" hidden="false" customHeight="false" outlineLevel="0" collapsed="false">
      <c r="A43" s="2" t="s">
        <v>2071</v>
      </c>
      <c r="B43" s="2" t="s">
        <v>1439</v>
      </c>
      <c r="C43" s="2" t="s">
        <v>1917</v>
      </c>
      <c r="D43" s="2" t="s">
        <v>677</v>
      </c>
      <c r="E43" s="2" t="s">
        <v>1440</v>
      </c>
      <c r="F43" s="2" t="s">
        <v>1982</v>
      </c>
      <c r="G43" s="2" t="s">
        <v>250</v>
      </c>
      <c r="H43" s="3" t="n">
        <f aca="false">IF(R43="","",IFERROR(AVERAGEIFS(LH_Low,LH_Key,A43,LH_Date,R43),""))</f>
        <v>350</v>
      </c>
      <c r="I43" s="3" t="n">
        <f aca="false">IF(R43="","",IFERROR(AVERAGEIFS(LH_Typ,LH_Key,A43,LH_Date,R43),IF(AND(ISNUMBER(H43),ISNUMBER(J43)),ROUND(AVERAGE(H43,J43),0),"")))</f>
        <v>550</v>
      </c>
      <c r="J43" s="3" t="n">
        <f aca="false">IF(R43="","",IFERROR(AVERAGEIFS(LH_High,LH_Key,A43,LH_Date,R43),""))</f>
        <v>750</v>
      </c>
      <c r="K43" s="13" t="n">
        <v>1</v>
      </c>
      <c r="L43" s="2" t="s">
        <v>2072</v>
      </c>
      <c r="M43" s="3" t="n">
        <f aca="false">IF(ISNUMBER(I43),I43*$K43,"")</f>
        <v>550</v>
      </c>
      <c r="N43" s="3" t="n">
        <f aca="false">IF(ISNUMBER(H43),H43*$K43,"")</f>
        <v>350</v>
      </c>
      <c r="O43" s="3" t="n">
        <f aca="false">IF(ISNUMBER(J43),J43*$K43,"")</f>
        <v>750</v>
      </c>
      <c r="P43" s="2" t="s">
        <v>2073</v>
      </c>
      <c r="Q43" s="2" t="s">
        <v>2074</v>
      </c>
      <c r="R43" s="4" t="n">
        <f aca="false">IF(COUNTIF(LH_Key,A43)=0,"",SUMPRODUCT(MAX((LH_Key=A43)*LH_Date)))</f>
        <v>46316</v>
      </c>
      <c r="S43" s="5" t="n">
        <f aca="true">IF(ISNUMBER(R43),TODAY()-R43,"")</f>
        <v>5</v>
      </c>
      <c r="T43" s="4" t="str">
        <f aca="false">IF(R43="","",IF(SUMPRODUCT(MAX((LH_Key=A43)*(LH_Date&lt;R43)*LH_Date))=0,"",SUMPRODUCT(MAX((LH_Key=A43)*(LH_Date&lt;R43)*LH_Date))))</f>
        <v/>
      </c>
      <c r="U43" s="3" t="str">
        <f aca="false">IF(T43="","",IFERROR(AVERAGEIFS(LH_Typ,LH_Key,A43,LH_Date,T43),""))</f>
        <v/>
      </c>
      <c r="V43" s="6" t="str">
        <f aca="false">IF(OR(NOT(ISNUMBER(I43)),NOT(ISNUMBER(U43))),"",I43/U43-1)</f>
        <v/>
      </c>
      <c r="W43" s="2" t="s">
        <v>1922</v>
      </c>
      <c r="X43" s="2" t="s">
        <v>27</v>
      </c>
      <c r="Y43" s="2" t="s">
        <v>2065</v>
      </c>
    </row>
    <row r="44" customFormat="false" ht="15" hidden="false" customHeight="false" outlineLevel="0" collapsed="false">
      <c r="A44" s="2" t="s">
        <v>2075</v>
      </c>
      <c r="B44" s="2" t="s">
        <v>1454</v>
      </c>
      <c r="C44" s="2" t="s">
        <v>1917</v>
      </c>
      <c r="D44" s="2" t="s">
        <v>699</v>
      </c>
      <c r="E44" s="2" t="s">
        <v>1455</v>
      </c>
      <c r="F44" s="2" t="s">
        <v>1982</v>
      </c>
      <c r="G44" s="2" t="s">
        <v>250</v>
      </c>
      <c r="H44" s="3" t="n">
        <f aca="false">IF(R44="","",IFERROR(AVERAGEIFS(LH_Low,LH_Key,A44,LH_Date,R44),""))</f>
        <v>150</v>
      </c>
      <c r="I44" s="3" t="n">
        <f aca="false">IF(R44="","",IFERROR(AVERAGEIFS(LH_Typ,LH_Key,A44,LH_Date,R44),IF(AND(ISNUMBER(H44),ISNUMBER(J44)),ROUND(AVERAGE(H44,J44),0),"")))</f>
        <v>550</v>
      </c>
      <c r="J44" s="3" t="n">
        <f aca="false">IF(R44="","",IFERROR(AVERAGEIFS(LH_High,LH_Key,A44,LH_Date,R44),""))</f>
        <v>1150</v>
      </c>
      <c r="K44" s="13" t="n">
        <v>1</v>
      </c>
      <c r="L44" s="2" t="s">
        <v>2076</v>
      </c>
      <c r="M44" s="3" t="n">
        <f aca="false">IF(ISNUMBER(I44),I44*$K44,"")</f>
        <v>550</v>
      </c>
      <c r="N44" s="3" t="n">
        <f aca="false">IF(ISNUMBER(H44),H44*$K44,"")</f>
        <v>150</v>
      </c>
      <c r="O44" s="3" t="n">
        <f aca="false">IF(ISNUMBER(J44),J44*$K44,"")</f>
        <v>1150</v>
      </c>
      <c r="P44" s="2" t="s">
        <v>2077</v>
      </c>
      <c r="Q44" s="2" t="s">
        <v>2078</v>
      </c>
      <c r="R44" s="4" t="n">
        <f aca="false">IF(COUNTIF(LH_Key,A44)=0,"",SUMPRODUCT(MAX((LH_Key=A44)*LH_Date)))</f>
        <v>46316</v>
      </c>
      <c r="S44" s="5" t="n">
        <f aca="true">IF(ISNUMBER(R44),TODAY()-R44,"")</f>
        <v>5</v>
      </c>
      <c r="T44" s="4" t="str">
        <f aca="false">IF(R44="","",IF(SUMPRODUCT(MAX((LH_Key=A44)*(LH_Date&lt;R44)*LH_Date))=0,"",SUMPRODUCT(MAX((LH_Key=A44)*(LH_Date&lt;R44)*LH_Date))))</f>
        <v/>
      </c>
      <c r="U44" s="3" t="str">
        <f aca="false">IF(T44="","",IFERROR(AVERAGEIFS(LH_Typ,LH_Key,A44,LH_Date,T44),""))</f>
        <v/>
      </c>
      <c r="V44" s="6" t="str">
        <f aca="false">IF(OR(NOT(ISNUMBER(I44)),NOT(ISNUMBER(U44))),"",I44/U44-1)</f>
        <v/>
      </c>
      <c r="W44" s="2" t="s">
        <v>1922</v>
      </c>
      <c r="X44" s="2" t="s">
        <v>27</v>
      </c>
      <c r="Y44" s="2" t="s">
        <v>2079</v>
      </c>
    </row>
    <row r="45" customFormat="false" ht="15" hidden="false" customHeight="false" outlineLevel="0" collapsed="false">
      <c r="A45" s="2" t="s">
        <v>2080</v>
      </c>
      <c r="B45" s="2" t="s">
        <v>1460</v>
      </c>
      <c r="C45" s="2" t="s">
        <v>1917</v>
      </c>
      <c r="D45" s="2" t="s">
        <v>699</v>
      </c>
      <c r="E45" s="2" t="s">
        <v>1461</v>
      </c>
      <c r="F45" s="2" t="s">
        <v>1982</v>
      </c>
      <c r="G45" s="2" t="s">
        <v>250</v>
      </c>
      <c r="H45" s="3" t="n">
        <f aca="false">IF(R45="","",IFERROR(AVERAGEIFS(LH_Low,LH_Key,A45,LH_Date,R45),""))</f>
        <v>300</v>
      </c>
      <c r="I45" s="3" t="n">
        <f aca="false">IF(R45="","",IFERROR(AVERAGEIFS(LH_Typ,LH_Key,A45,LH_Date,R45),IF(AND(ISNUMBER(H45),ISNUMBER(J45)),ROUND(AVERAGE(H45,J45),0),"")))</f>
        <v>450</v>
      </c>
      <c r="J45" s="3" t="n">
        <f aca="false">IF(R45="","",IFERROR(AVERAGEIFS(LH_High,LH_Key,A45,LH_Date,R45),""))</f>
        <v>1800</v>
      </c>
      <c r="K45" s="13" t="n">
        <v>1</v>
      </c>
      <c r="L45" s="2" t="s">
        <v>2081</v>
      </c>
      <c r="M45" s="3" t="n">
        <f aca="false">IF(ISNUMBER(I45),I45*$K45,"")</f>
        <v>450</v>
      </c>
      <c r="N45" s="3" t="n">
        <f aca="false">IF(ISNUMBER(H45),H45*$K45,"")</f>
        <v>300</v>
      </c>
      <c r="O45" s="3" t="n">
        <f aca="false">IF(ISNUMBER(J45),J45*$K45,"")</f>
        <v>1800</v>
      </c>
      <c r="P45" s="2" t="s">
        <v>2082</v>
      </c>
      <c r="Q45" s="2" t="s">
        <v>2083</v>
      </c>
      <c r="R45" s="4" t="n">
        <f aca="false">IF(COUNTIF(LH_Key,A45)=0,"",SUMPRODUCT(MAX((LH_Key=A45)*LH_Date)))</f>
        <v>46316</v>
      </c>
      <c r="S45" s="5" t="n">
        <f aca="true">IF(ISNUMBER(R45),TODAY()-R45,"")</f>
        <v>5</v>
      </c>
      <c r="T45" s="4" t="str">
        <f aca="false">IF(R45="","",IF(SUMPRODUCT(MAX((LH_Key=A45)*(LH_Date&lt;R45)*LH_Date))=0,"",SUMPRODUCT(MAX((LH_Key=A45)*(LH_Date&lt;R45)*LH_Date))))</f>
        <v/>
      </c>
      <c r="U45" s="3" t="str">
        <f aca="false">IF(T45="","",IFERROR(AVERAGEIFS(LH_Typ,LH_Key,A45,LH_Date,T45),""))</f>
        <v/>
      </c>
      <c r="V45" s="6" t="str">
        <f aca="false">IF(OR(NOT(ISNUMBER(I45)),NOT(ISNUMBER(U45))),"",I45/U45-1)</f>
        <v/>
      </c>
      <c r="W45" s="2" t="s">
        <v>1922</v>
      </c>
      <c r="X45" s="2" t="s">
        <v>27</v>
      </c>
      <c r="Y45" s="2" t="s">
        <v>2084</v>
      </c>
    </row>
    <row r="46" customFormat="false" ht="15" hidden="false" customHeight="false" outlineLevel="0" collapsed="false">
      <c r="A46" s="2" t="s">
        <v>2085</v>
      </c>
      <c r="B46" s="2" t="s">
        <v>1657</v>
      </c>
      <c r="C46" s="2" t="s">
        <v>1659</v>
      </c>
      <c r="D46" s="2" t="s">
        <v>939</v>
      </c>
      <c r="E46" s="2" t="s">
        <v>1658</v>
      </c>
      <c r="F46" s="2" t="s">
        <v>2086</v>
      </c>
      <c r="G46" s="2" t="s">
        <v>250</v>
      </c>
      <c r="H46" s="3" t="n">
        <f aca="false">IF(R46="","",IFERROR(AVERAGEIFS(LH_Low,LH_Key,A46,LH_Date,R46),""))</f>
        <v>644</v>
      </c>
      <c r="I46" s="3" t="n">
        <f aca="false">IF(R46="","",IFERROR(AVERAGEIFS(LH_Typ,LH_Key,A46,LH_Date,R46),IF(AND(ISNUMBER(H46),ISNUMBER(J46)),ROUND(AVERAGE(H46,J46),0),"")))</f>
        <v>943.35</v>
      </c>
      <c r="J46" s="3" t="n">
        <f aca="false">IF(R46="","",IFERROR(AVERAGEIFS(LH_High,LH_Key,A46,LH_Date,R46),""))</f>
        <v>2600</v>
      </c>
      <c r="K46" s="13" t="n">
        <v>1</v>
      </c>
      <c r="L46" s="2" t="s">
        <v>2087</v>
      </c>
      <c r="M46" s="3" t="n">
        <f aca="false">IF(ISNUMBER(I46),I46*$K46,"")</f>
        <v>943.35</v>
      </c>
      <c r="N46" s="3" t="n">
        <f aca="false">IF(ISNUMBER(H46),H46*$K46,"")</f>
        <v>644</v>
      </c>
      <c r="O46" s="3" t="n">
        <f aca="false">IF(ISNUMBER(J46),J46*$K46,"")</f>
        <v>2600</v>
      </c>
      <c r="P46" s="2" t="s">
        <v>2088</v>
      </c>
      <c r="Q46" s="2" t="s">
        <v>2089</v>
      </c>
      <c r="R46" s="4" t="n">
        <f aca="false">IF(COUNTIF(LH_Key,A46)=0,"",SUMPRODUCT(MAX((LH_Key=A46)*LH_Date)))</f>
        <v>46316</v>
      </c>
      <c r="S46" s="5" t="n">
        <f aca="true">IF(ISNUMBER(R46),TODAY()-R46,"")</f>
        <v>5</v>
      </c>
      <c r="T46" s="4" t="str">
        <f aca="false">IF(R46="","",IF(SUMPRODUCT(MAX((LH_Key=A46)*(LH_Date&lt;R46)*LH_Date))=0,"",SUMPRODUCT(MAX((LH_Key=A46)*(LH_Date&lt;R46)*LH_Date))))</f>
        <v/>
      </c>
      <c r="U46" s="3" t="str">
        <f aca="false">IF(T46="","",IFERROR(AVERAGEIFS(LH_Typ,LH_Key,A46,LH_Date,T46),""))</f>
        <v/>
      </c>
      <c r="V46" s="6" t="str">
        <f aca="false">IF(OR(NOT(ISNUMBER(I46)),NOT(ISNUMBER(U46))),"",I46/U46-1)</f>
        <v/>
      </c>
      <c r="W46" s="2" t="s">
        <v>1922</v>
      </c>
      <c r="X46" s="2" t="s">
        <v>27</v>
      </c>
      <c r="Y46" s="2" t="s">
        <v>2090</v>
      </c>
    </row>
    <row r="47" customFormat="false" ht="15" hidden="false" customHeight="false" outlineLevel="0" collapsed="false">
      <c r="A47" s="2" t="s">
        <v>2091</v>
      </c>
      <c r="B47" s="2" t="s">
        <v>1703</v>
      </c>
      <c r="C47" s="2" t="s">
        <v>1659</v>
      </c>
      <c r="D47" s="2" t="s">
        <v>939</v>
      </c>
      <c r="E47" s="2" t="s">
        <v>1704</v>
      </c>
      <c r="F47" s="2" t="s">
        <v>2086</v>
      </c>
      <c r="G47" s="2" t="s">
        <v>250</v>
      </c>
      <c r="H47" s="3" t="n">
        <f aca="false">IF(R47="","",IFERROR(AVERAGEIFS(LH_Low,LH_Key,A47,LH_Date,R47),""))</f>
        <v>1500</v>
      </c>
      <c r="I47" s="3" t="n">
        <f aca="false">IF(R47="","",IFERROR(AVERAGEIFS(LH_Typ,LH_Key,A47,LH_Date,R47),IF(AND(ISNUMBER(H47),ISNUMBER(J47)),ROUND(AVERAGE(H47,J47),0),"")))</f>
        <v>1565.02</v>
      </c>
      <c r="J47" s="3" t="n">
        <f aca="false">IF(R47="","",IFERROR(AVERAGEIFS(LH_High,LH_Key,A47,LH_Date,R47),""))</f>
        <v>4829</v>
      </c>
      <c r="K47" s="13" t="n">
        <v>1</v>
      </c>
      <c r="L47" s="2" t="s">
        <v>2087</v>
      </c>
      <c r="M47" s="3" t="n">
        <f aca="false">IF(ISNUMBER(I47),I47*$K47,"")</f>
        <v>1565.02</v>
      </c>
      <c r="N47" s="3" t="n">
        <f aca="false">IF(ISNUMBER(H47),H47*$K47,"")</f>
        <v>1500</v>
      </c>
      <c r="O47" s="3" t="n">
        <f aca="false">IF(ISNUMBER(J47),J47*$K47,"")</f>
        <v>4829</v>
      </c>
      <c r="P47" s="2" t="s">
        <v>2092</v>
      </c>
      <c r="Q47" s="2" t="s">
        <v>2093</v>
      </c>
      <c r="R47" s="4" t="n">
        <f aca="false">IF(COUNTIF(LH_Key,A47)=0,"",SUMPRODUCT(MAX((LH_Key=A47)*LH_Date)))</f>
        <v>46316</v>
      </c>
      <c r="S47" s="5" t="n">
        <f aca="true">IF(ISNUMBER(R47),TODAY()-R47,"")</f>
        <v>5</v>
      </c>
      <c r="T47" s="4" t="str">
        <f aca="false">IF(R47="","",IF(SUMPRODUCT(MAX((LH_Key=A47)*(LH_Date&lt;R47)*LH_Date))=0,"",SUMPRODUCT(MAX((LH_Key=A47)*(LH_Date&lt;R47)*LH_Date))))</f>
        <v/>
      </c>
      <c r="U47" s="3" t="str">
        <f aca="false">IF(T47="","",IFERROR(AVERAGEIFS(LH_Typ,LH_Key,A47,LH_Date,T47),""))</f>
        <v/>
      </c>
      <c r="V47" s="6" t="str">
        <f aca="false">IF(OR(NOT(ISNUMBER(I47)),NOT(ISNUMBER(U47))),"",I47/U47-1)</f>
        <v/>
      </c>
      <c r="W47" s="2" t="s">
        <v>1922</v>
      </c>
      <c r="X47" s="2" t="s">
        <v>27</v>
      </c>
      <c r="Y47" s="2" t="s">
        <v>2094</v>
      </c>
    </row>
    <row r="48" customFormat="false" ht="15" hidden="false" customHeight="false" outlineLevel="0" collapsed="false">
      <c r="A48" s="2" t="s">
        <v>2095</v>
      </c>
      <c r="B48" s="2" t="s">
        <v>1745</v>
      </c>
      <c r="C48" s="2" t="s">
        <v>1659</v>
      </c>
      <c r="D48" s="2" t="s">
        <v>939</v>
      </c>
      <c r="E48" s="2" t="s">
        <v>1746</v>
      </c>
      <c r="F48" s="2" t="s">
        <v>2086</v>
      </c>
      <c r="G48" s="2" t="s">
        <v>250</v>
      </c>
      <c r="H48" s="3" t="n">
        <f aca="false">IF(R48="","",IFERROR(AVERAGEIFS(LH_Low,LH_Key,A48,LH_Date,R48),""))</f>
        <v>800</v>
      </c>
      <c r="I48" s="3" t="n">
        <f aca="false">IF(R48="","",IFERROR(AVERAGEIFS(LH_Typ,LH_Key,A48,LH_Date,R48),IF(AND(ISNUMBER(H48),ISNUMBER(J48)),ROUND(AVERAGE(H48,J48),0),"")))</f>
        <v>1265.02</v>
      </c>
      <c r="J48" s="3" t="n">
        <f aca="false">IF(R48="","",IFERROR(AVERAGEIFS(LH_High,LH_Key,A48,LH_Date,R48),""))</f>
        <v>4000</v>
      </c>
      <c r="K48" s="13" t="n">
        <v>1</v>
      </c>
      <c r="L48" s="2" t="s">
        <v>2096</v>
      </c>
      <c r="M48" s="3" t="n">
        <f aca="false">IF(ISNUMBER(I48),I48*$K48,"")</f>
        <v>1265.02</v>
      </c>
      <c r="N48" s="3" t="n">
        <f aca="false">IF(ISNUMBER(H48),H48*$K48,"")</f>
        <v>800</v>
      </c>
      <c r="O48" s="3" t="n">
        <f aca="false">IF(ISNUMBER(J48),J48*$K48,"")</f>
        <v>4000</v>
      </c>
      <c r="P48" s="2" t="s">
        <v>2097</v>
      </c>
      <c r="Q48" s="2" t="s">
        <v>2098</v>
      </c>
      <c r="R48" s="4" t="n">
        <f aca="false">IF(COUNTIF(LH_Key,A48)=0,"",SUMPRODUCT(MAX((LH_Key=A48)*LH_Date)))</f>
        <v>46316</v>
      </c>
      <c r="S48" s="5" t="n">
        <f aca="true">IF(ISNUMBER(R48),TODAY()-R48,"")</f>
        <v>5</v>
      </c>
      <c r="T48" s="4" t="str">
        <f aca="false">IF(R48="","",IF(SUMPRODUCT(MAX((LH_Key=A48)*(LH_Date&lt;R48)*LH_Date))=0,"",SUMPRODUCT(MAX((LH_Key=A48)*(LH_Date&lt;R48)*LH_Date))))</f>
        <v/>
      </c>
      <c r="U48" s="3" t="str">
        <f aca="false">IF(T48="","",IFERROR(AVERAGEIFS(LH_Typ,LH_Key,A48,LH_Date,T48),""))</f>
        <v/>
      </c>
      <c r="V48" s="6" t="str">
        <f aca="false">IF(OR(NOT(ISNUMBER(I48)),NOT(ISNUMBER(U48))),"",I48/U48-1)</f>
        <v/>
      </c>
      <c r="W48" s="2" t="s">
        <v>1922</v>
      </c>
      <c r="X48" s="2" t="s">
        <v>27</v>
      </c>
      <c r="Y48" s="2" t="s">
        <v>2099</v>
      </c>
    </row>
    <row r="49" customFormat="false" ht="15" hidden="false" customHeight="false" outlineLevel="0" collapsed="false">
      <c r="A49" s="2" t="s">
        <v>2100</v>
      </c>
      <c r="B49" s="2" t="s">
        <v>1782</v>
      </c>
      <c r="C49" s="2" t="s">
        <v>1659</v>
      </c>
      <c r="D49" s="2" t="s">
        <v>939</v>
      </c>
      <c r="E49" s="2" t="s">
        <v>1783</v>
      </c>
      <c r="F49" s="2" t="s">
        <v>2086</v>
      </c>
      <c r="G49" s="2" t="s">
        <v>250</v>
      </c>
      <c r="H49" s="3" t="n">
        <f aca="false">IF(R49="","",IFERROR(AVERAGEIFS(LH_Low,LH_Key,A49,LH_Date,R49),""))</f>
        <v>1500</v>
      </c>
      <c r="I49" s="3" t="n">
        <f aca="false">IF(R49="","",IFERROR(AVERAGEIFS(LH_Typ,LH_Key,A49,LH_Date,R49),IF(AND(ISNUMBER(H49),ISNUMBER(J49)),ROUND(AVERAGE(H49,J49),0),"")))</f>
        <v>2086.7</v>
      </c>
      <c r="J49" s="3" t="n">
        <f aca="false">IF(R49="","",IFERROR(AVERAGEIFS(LH_High,LH_Key,A49,LH_Date,R49),""))</f>
        <v>4800</v>
      </c>
      <c r="K49" s="13" t="n">
        <v>1</v>
      </c>
      <c r="L49" s="2" t="s">
        <v>2101</v>
      </c>
      <c r="M49" s="3" t="n">
        <f aca="false">IF(ISNUMBER(I49),I49*$K49,"")</f>
        <v>2086.7</v>
      </c>
      <c r="N49" s="3" t="n">
        <f aca="false">IF(ISNUMBER(H49),H49*$K49,"")</f>
        <v>1500</v>
      </c>
      <c r="O49" s="3" t="n">
        <f aca="false">IF(ISNUMBER(J49),J49*$K49,"")</f>
        <v>4800</v>
      </c>
      <c r="P49" s="2" t="s">
        <v>2102</v>
      </c>
      <c r="Q49" s="2" t="s">
        <v>2103</v>
      </c>
      <c r="R49" s="4" t="n">
        <f aca="false">IF(COUNTIF(LH_Key,A49)=0,"",SUMPRODUCT(MAX((LH_Key=A49)*LH_Date)))</f>
        <v>46316</v>
      </c>
      <c r="S49" s="5" t="n">
        <f aca="true">IF(ISNUMBER(R49),TODAY()-R49,"")</f>
        <v>5</v>
      </c>
      <c r="T49" s="4" t="str">
        <f aca="false">IF(R49="","",IF(SUMPRODUCT(MAX((LH_Key=A49)*(LH_Date&lt;R49)*LH_Date))=0,"",SUMPRODUCT(MAX((LH_Key=A49)*(LH_Date&lt;R49)*LH_Date))))</f>
        <v/>
      </c>
      <c r="U49" s="3" t="str">
        <f aca="false">IF(T49="","",IFERROR(AVERAGEIFS(LH_Typ,LH_Key,A49,LH_Date,T49),""))</f>
        <v/>
      </c>
      <c r="V49" s="6" t="str">
        <f aca="false">IF(OR(NOT(ISNUMBER(I49)),NOT(ISNUMBER(U49))),"",I49/U49-1)</f>
        <v/>
      </c>
      <c r="W49" s="2" t="s">
        <v>1922</v>
      </c>
      <c r="X49" s="2" t="s">
        <v>27</v>
      </c>
      <c r="Y49" s="2" t="s">
        <v>2104</v>
      </c>
    </row>
    <row r="50" customFormat="false" ht="15" hidden="false" customHeight="false" outlineLevel="0" collapsed="false">
      <c r="A50" s="2" t="s">
        <v>2105</v>
      </c>
      <c r="B50" s="2" t="s">
        <v>1657</v>
      </c>
      <c r="C50" s="2" t="s">
        <v>1679</v>
      </c>
      <c r="D50" s="2" t="s">
        <v>939</v>
      </c>
      <c r="E50" s="2" t="s">
        <v>1658</v>
      </c>
      <c r="F50" s="2" t="s">
        <v>2086</v>
      </c>
      <c r="G50" s="2" t="s">
        <v>250</v>
      </c>
      <c r="H50" s="3" t="n">
        <f aca="false">IF(R50="","",IFERROR(AVERAGEIFS(LH_Low,LH_Key,A50,LH_Date,R50),""))</f>
        <v>644</v>
      </c>
      <c r="I50" s="3" t="n">
        <f aca="false">IF(R50="","",IFERROR(AVERAGEIFS(LH_Typ,LH_Key,A50,LH_Date,R50),IF(AND(ISNUMBER(H50),ISNUMBER(J50)),ROUND(AVERAGE(H50,J50),0),"")))</f>
        <v>1165.02</v>
      </c>
      <c r="J50" s="3" t="n">
        <f aca="false">IF(R50="","",IFERROR(AVERAGEIFS(LH_High,LH_Key,A50,LH_Date,R50),""))</f>
        <v>2600</v>
      </c>
      <c r="K50" s="13" t="n">
        <v>1</v>
      </c>
      <c r="L50" s="2" t="s">
        <v>2106</v>
      </c>
      <c r="M50" s="3" t="n">
        <f aca="false">IF(ISNUMBER(I50),I50*$K50,"")</f>
        <v>1165.02</v>
      </c>
      <c r="N50" s="3" t="n">
        <f aca="false">IF(ISNUMBER(H50),H50*$K50,"")</f>
        <v>644</v>
      </c>
      <c r="O50" s="3" t="n">
        <f aca="false">IF(ISNUMBER(J50),J50*$K50,"")</f>
        <v>2600</v>
      </c>
      <c r="P50" s="2" t="s">
        <v>2088</v>
      </c>
      <c r="Q50" s="2" t="s">
        <v>2089</v>
      </c>
      <c r="R50" s="4" t="n">
        <f aca="false">IF(COUNTIF(LH_Key,A50)=0,"",SUMPRODUCT(MAX((LH_Key=A50)*LH_Date)))</f>
        <v>46316</v>
      </c>
      <c r="S50" s="5" t="n">
        <f aca="true">IF(ISNUMBER(R50),TODAY()-R50,"")</f>
        <v>5</v>
      </c>
      <c r="T50" s="4" t="str">
        <f aca="false">IF(R50="","",IF(SUMPRODUCT(MAX((LH_Key=A50)*(LH_Date&lt;R50)*LH_Date))=0,"",SUMPRODUCT(MAX((LH_Key=A50)*(LH_Date&lt;R50)*LH_Date))))</f>
        <v/>
      </c>
      <c r="U50" s="3" t="str">
        <f aca="false">IF(T50="","",IFERROR(AVERAGEIFS(LH_Typ,LH_Key,A50,LH_Date,T50),""))</f>
        <v/>
      </c>
      <c r="V50" s="6" t="str">
        <f aca="false">IF(OR(NOT(ISNUMBER(I50)),NOT(ISNUMBER(U50))),"",I50/U50-1)</f>
        <v/>
      </c>
      <c r="W50" s="2" t="s">
        <v>1922</v>
      </c>
      <c r="X50" s="2" t="s">
        <v>27</v>
      </c>
      <c r="Y50" s="2" t="s">
        <v>2107</v>
      </c>
    </row>
    <row r="51" customFormat="false" ht="15" hidden="false" customHeight="false" outlineLevel="0" collapsed="false">
      <c r="A51" s="2" t="s">
        <v>2108</v>
      </c>
      <c r="B51" s="2" t="s">
        <v>1703</v>
      </c>
      <c r="C51" s="2" t="s">
        <v>1679</v>
      </c>
      <c r="D51" s="2" t="s">
        <v>939</v>
      </c>
      <c r="E51" s="2" t="s">
        <v>1704</v>
      </c>
      <c r="F51" s="2" t="s">
        <v>2086</v>
      </c>
      <c r="G51" s="2" t="s">
        <v>250</v>
      </c>
      <c r="H51" s="3" t="n">
        <f aca="false">IF(R51="","",IFERROR(AVERAGEIFS(LH_Low,LH_Key,A51,LH_Date,R51),""))</f>
        <v>1500</v>
      </c>
      <c r="I51" s="3" t="n">
        <f aca="false">IF(R51="","",IFERROR(AVERAGEIFS(LH_Typ,LH_Key,A51,LH_Date,R51),IF(AND(ISNUMBER(H51),ISNUMBER(J51)),ROUND(AVERAGE(H51,J51),0),"")))</f>
        <v>2147.54</v>
      </c>
      <c r="J51" s="3" t="n">
        <f aca="false">IF(R51="","",IFERROR(AVERAGEIFS(LH_High,LH_Key,A51,LH_Date,R51),""))</f>
        <v>4829</v>
      </c>
      <c r="K51" s="13" t="n">
        <v>1</v>
      </c>
      <c r="L51" s="2" t="s">
        <v>2106</v>
      </c>
      <c r="M51" s="3" t="n">
        <f aca="false">IF(ISNUMBER(I51),I51*$K51,"")</f>
        <v>2147.54</v>
      </c>
      <c r="N51" s="3" t="n">
        <f aca="false">IF(ISNUMBER(H51),H51*$K51,"")</f>
        <v>1500</v>
      </c>
      <c r="O51" s="3" t="n">
        <f aca="false">IF(ISNUMBER(J51),J51*$K51,"")</f>
        <v>4829</v>
      </c>
      <c r="P51" s="2" t="s">
        <v>2092</v>
      </c>
      <c r="Q51" s="2" t="s">
        <v>2093</v>
      </c>
      <c r="R51" s="4" t="n">
        <f aca="false">IF(COUNTIF(LH_Key,A51)=0,"",SUMPRODUCT(MAX((LH_Key=A51)*LH_Date)))</f>
        <v>46316</v>
      </c>
      <c r="S51" s="5" t="n">
        <f aca="true">IF(ISNUMBER(R51),TODAY()-R51,"")</f>
        <v>5</v>
      </c>
      <c r="T51" s="4" t="str">
        <f aca="false">IF(R51="","",IF(SUMPRODUCT(MAX((LH_Key=A51)*(LH_Date&lt;R51)*LH_Date))=0,"",SUMPRODUCT(MAX((LH_Key=A51)*(LH_Date&lt;R51)*LH_Date))))</f>
        <v/>
      </c>
      <c r="U51" s="3" t="str">
        <f aca="false">IF(T51="","",IFERROR(AVERAGEIFS(LH_Typ,LH_Key,A51,LH_Date,T51),""))</f>
        <v/>
      </c>
      <c r="V51" s="6" t="str">
        <f aca="false">IF(OR(NOT(ISNUMBER(I51)),NOT(ISNUMBER(U51))),"",I51/U51-1)</f>
        <v/>
      </c>
      <c r="W51" s="2" t="s">
        <v>1922</v>
      </c>
      <c r="X51" s="2" t="s">
        <v>27</v>
      </c>
      <c r="Y51" s="2" t="s">
        <v>2109</v>
      </c>
    </row>
    <row r="52" customFormat="false" ht="15" hidden="false" customHeight="false" outlineLevel="0" collapsed="false">
      <c r="A52" s="2" t="s">
        <v>2110</v>
      </c>
      <c r="B52" s="2" t="s">
        <v>1745</v>
      </c>
      <c r="C52" s="2" t="s">
        <v>1679</v>
      </c>
      <c r="D52" s="2" t="s">
        <v>939</v>
      </c>
      <c r="E52" s="2" t="s">
        <v>1746</v>
      </c>
      <c r="F52" s="2" t="s">
        <v>2086</v>
      </c>
      <c r="G52" s="2" t="s">
        <v>250</v>
      </c>
      <c r="H52" s="3" t="n">
        <f aca="false">IF(R52="","",IFERROR(AVERAGEIFS(LH_Low,LH_Key,A52,LH_Date,R52),""))</f>
        <v>800</v>
      </c>
      <c r="I52" s="3" t="n">
        <f aca="false">IF(R52="","",IFERROR(AVERAGEIFS(LH_Typ,LH_Key,A52,LH_Date,R52),IF(AND(ISNUMBER(H52),ISNUMBER(J52)),ROUND(AVERAGE(H52,J52),0),"")))</f>
        <v>1847.54</v>
      </c>
      <c r="J52" s="3" t="n">
        <f aca="false">IF(R52="","",IFERROR(AVERAGEIFS(LH_High,LH_Key,A52,LH_Date,R52),""))</f>
        <v>4000</v>
      </c>
      <c r="K52" s="13" t="n">
        <v>1</v>
      </c>
      <c r="L52" s="2" t="s">
        <v>2111</v>
      </c>
      <c r="M52" s="3" t="n">
        <f aca="false">IF(ISNUMBER(I52),I52*$K52,"")</f>
        <v>1847.54</v>
      </c>
      <c r="N52" s="3" t="n">
        <f aca="false">IF(ISNUMBER(H52),H52*$K52,"")</f>
        <v>800</v>
      </c>
      <c r="O52" s="3" t="n">
        <f aca="false">IF(ISNUMBER(J52),J52*$K52,"")</f>
        <v>4000</v>
      </c>
      <c r="P52" s="2" t="s">
        <v>2097</v>
      </c>
      <c r="Q52" s="2" t="s">
        <v>2098</v>
      </c>
      <c r="R52" s="4" t="n">
        <f aca="false">IF(COUNTIF(LH_Key,A52)=0,"",SUMPRODUCT(MAX((LH_Key=A52)*LH_Date)))</f>
        <v>46316</v>
      </c>
      <c r="S52" s="5" t="n">
        <f aca="true">IF(ISNUMBER(R52),TODAY()-R52,"")</f>
        <v>5</v>
      </c>
      <c r="T52" s="4" t="str">
        <f aca="false">IF(R52="","",IF(SUMPRODUCT(MAX((LH_Key=A52)*(LH_Date&lt;R52)*LH_Date))=0,"",SUMPRODUCT(MAX((LH_Key=A52)*(LH_Date&lt;R52)*LH_Date))))</f>
        <v/>
      </c>
      <c r="U52" s="3" t="str">
        <f aca="false">IF(T52="","",IFERROR(AVERAGEIFS(LH_Typ,LH_Key,A52,LH_Date,T52),""))</f>
        <v/>
      </c>
      <c r="V52" s="6" t="str">
        <f aca="false">IF(OR(NOT(ISNUMBER(I52)),NOT(ISNUMBER(U52))),"",I52/U52-1)</f>
        <v/>
      </c>
      <c r="W52" s="2" t="s">
        <v>1922</v>
      </c>
      <c r="X52" s="2" t="s">
        <v>27</v>
      </c>
      <c r="Y52" s="2" t="s">
        <v>2112</v>
      </c>
    </row>
    <row r="53" customFormat="false" ht="15" hidden="false" customHeight="false" outlineLevel="0" collapsed="false">
      <c r="A53" s="2" t="s">
        <v>2113</v>
      </c>
      <c r="B53" s="2" t="s">
        <v>1782</v>
      </c>
      <c r="C53" s="2" t="s">
        <v>1679</v>
      </c>
      <c r="D53" s="2" t="s">
        <v>939</v>
      </c>
      <c r="E53" s="2" t="s">
        <v>1783</v>
      </c>
      <c r="F53" s="2" t="s">
        <v>2086</v>
      </c>
      <c r="G53" s="2" t="s">
        <v>250</v>
      </c>
      <c r="H53" s="3" t="n">
        <f aca="false">IF(R53="","",IFERROR(AVERAGEIFS(LH_Low,LH_Key,A53,LH_Date,R53),""))</f>
        <v>1500</v>
      </c>
      <c r="I53" s="3" t="n">
        <f aca="false">IF(R53="","",IFERROR(AVERAGEIFS(LH_Typ,LH_Key,A53,LH_Date,R53),IF(AND(ISNUMBER(H53),ISNUMBER(J53)),ROUND(AVERAGE(H53,J53),0),"")))</f>
        <v>3530.05</v>
      </c>
      <c r="J53" s="3" t="n">
        <f aca="false">IF(R53="","",IFERROR(AVERAGEIFS(LH_High,LH_Key,A53,LH_Date,R53),""))</f>
        <v>8000</v>
      </c>
      <c r="K53" s="13" t="n">
        <v>1</v>
      </c>
      <c r="L53" s="2" t="s">
        <v>2114</v>
      </c>
      <c r="M53" s="3" t="n">
        <f aca="false">IF(ISNUMBER(I53),I53*$K53,"")</f>
        <v>3530.05</v>
      </c>
      <c r="N53" s="3" t="n">
        <f aca="false">IF(ISNUMBER(H53),H53*$K53,"")</f>
        <v>1500</v>
      </c>
      <c r="O53" s="3" t="n">
        <f aca="false">IF(ISNUMBER(J53),J53*$K53,"")</f>
        <v>8000</v>
      </c>
      <c r="P53" s="2" t="s">
        <v>2102</v>
      </c>
      <c r="Q53" s="2" t="s">
        <v>2103</v>
      </c>
      <c r="R53" s="4" t="n">
        <f aca="false">IF(COUNTIF(LH_Key,A53)=0,"",SUMPRODUCT(MAX((LH_Key=A53)*LH_Date)))</f>
        <v>46316</v>
      </c>
      <c r="S53" s="5" t="n">
        <f aca="true">IF(ISNUMBER(R53),TODAY()-R53,"")</f>
        <v>5</v>
      </c>
      <c r="T53" s="4" t="str">
        <f aca="false">IF(R53="","",IF(SUMPRODUCT(MAX((LH_Key=A53)*(LH_Date&lt;R53)*LH_Date))=0,"",SUMPRODUCT(MAX((LH_Key=A53)*(LH_Date&lt;R53)*LH_Date))))</f>
        <v/>
      </c>
      <c r="U53" s="3" t="str">
        <f aca="false">IF(T53="","",IFERROR(AVERAGEIFS(LH_Typ,LH_Key,A53,LH_Date,T53),""))</f>
        <v/>
      </c>
      <c r="V53" s="6" t="str">
        <f aca="false">IF(OR(NOT(ISNUMBER(I53)),NOT(ISNUMBER(U53))),"",I53/U53-1)</f>
        <v/>
      </c>
      <c r="W53" s="2" t="s">
        <v>1922</v>
      </c>
      <c r="X53" s="2" t="s">
        <v>27</v>
      </c>
      <c r="Y53" s="2" t="s">
        <v>2115</v>
      </c>
    </row>
    <row r="54" customFormat="false" ht="15" hidden="false" customHeight="false" outlineLevel="0" collapsed="false">
      <c r="A54" s="2" t="s">
        <v>2116</v>
      </c>
      <c r="B54" s="2" t="s">
        <v>1657</v>
      </c>
      <c r="C54" s="2" t="s">
        <v>1691</v>
      </c>
      <c r="D54" s="2" t="s">
        <v>939</v>
      </c>
      <c r="E54" s="2" t="s">
        <v>1658</v>
      </c>
      <c r="F54" s="2" t="s">
        <v>2086</v>
      </c>
      <c r="G54" s="2" t="s">
        <v>250</v>
      </c>
      <c r="H54" s="3" t="n">
        <f aca="false">IF(R54="","",IFERROR(AVERAGEIFS(LH_Low,LH_Key,A54,LH_Date,R54),""))</f>
        <v>644</v>
      </c>
      <c r="I54" s="3" t="n">
        <f aca="false">IF(R54="","",IFERROR(AVERAGEIFS(LH_Typ,LH_Key,A54,LH_Date,R54),IF(AND(ISNUMBER(H54),ISNUMBER(J54)),ROUND(AVERAGE(H54,J54),0),"")))</f>
        <v>1486.7</v>
      </c>
      <c r="J54" s="3" t="n">
        <f aca="false">IF(R54="","",IFERROR(AVERAGEIFS(LH_High,LH_Key,A54,LH_Date,R54),""))</f>
        <v>2600</v>
      </c>
      <c r="K54" s="13" t="n">
        <v>1</v>
      </c>
      <c r="L54" s="2" t="s">
        <v>2117</v>
      </c>
      <c r="M54" s="3" t="n">
        <f aca="false">IF(ISNUMBER(I54),I54*$K54,"")</f>
        <v>1486.7</v>
      </c>
      <c r="N54" s="3" t="n">
        <f aca="false">IF(ISNUMBER(H54),H54*$K54,"")</f>
        <v>644</v>
      </c>
      <c r="O54" s="3" t="n">
        <f aca="false">IF(ISNUMBER(J54),J54*$K54,"")</f>
        <v>2600</v>
      </c>
      <c r="P54" s="2" t="s">
        <v>2088</v>
      </c>
      <c r="Q54" s="2" t="s">
        <v>2089</v>
      </c>
      <c r="R54" s="4" t="n">
        <f aca="false">IF(COUNTIF(LH_Key,A54)=0,"",SUMPRODUCT(MAX((LH_Key=A54)*LH_Date)))</f>
        <v>46316</v>
      </c>
      <c r="S54" s="5" t="n">
        <f aca="true">IF(ISNUMBER(R54),TODAY()-R54,"")</f>
        <v>5</v>
      </c>
      <c r="T54" s="4" t="str">
        <f aca="false">IF(R54="","",IF(SUMPRODUCT(MAX((LH_Key=A54)*(LH_Date&lt;R54)*LH_Date))=0,"",SUMPRODUCT(MAX((LH_Key=A54)*(LH_Date&lt;R54)*LH_Date))))</f>
        <v/>
      </c>
      <c r="U54" s="3" t="str">
        <f aca="false">IF(T54="","",IFERROR(AVERAGEIFS(LH_Typ,LH_Key,A54,LH_Date,T54),""))</f>
        <v/>
      </c>
      <c r="V54" s="6" t="str">
        <f aca="false">IF(OR(NOT(ISNUMBER(I54)),NOT(ISNUMBER(U54))),"",I54/U54-1)</f>
        <v/>
      </c>
      <c r="W54" s="2" t="s">
        <v>1922</v>
      </c>
      <c r="X54" s="2" t="s">
        <v>27</v>
      </c>
      <c r="Y54" s="2" t="s">
        <v>2118</v>
      </c>
    </row>
    <row r="55" customFormat="false" ht="15" hidden="false" customHeight="false" outlineLevel="0" collapsed="false">
      <c r="A55" s="2" t="s">
        <v>2119</v>
      </c>
      <c r="B55" s="2" t="s">
        <v>1703</v>
      </c>
      <c r="C55" s="2" t="s">
        <v>1691</v>
      </c>
      <c r="D55" s="2" t="s">
        <v>939</v>
      </c>
      <c r="E55" s="2" t="s">
        <v>1704</v>
      </c>
      <c r="F55" s="2" t="s">
        <v>2086</v>
      </c>
      <c r="G55" s="2" t="s">
        <v>250</v>
      </c>
      <c r="H55" s="3" t="n">
        <f aca="false">IF(R55="","",IFERROR(AVERAGEIFS(LH_Low,LH_Key,A55,LH_Date,R55),""))</f>
        <v>1500</v>
      </c>
      <c r="I55" s="3" t="n">
        <f aca="false">IF(R55="","",IFERROR(AVERAGEIFS(LH_Typ,LH_Key,A55,LH_Date,R55),IF(AND(ISNUMBER(H55),ISNUMBER(J55)),ROUND(AVERAGE(H55,J55),0),"")))</f>
        <v>2830.05</v>
      </c>
      <c r="J55" s="3" t="n">
        <f aca="false">IF(R55="","",IFERROR(AVERAGEIFS(LH_High,LH_Key,A55,LH_Date,R55),""))</f>
        <v>4829</v>
      </c>
      <c r="K55" s="13" t="n">
        <v>1</v>
      </c>
      <c r="L55" s="2" t="s">
        <v>2117</v>
      </c>
      <c r="M55" s="3" t="n">
        <f aca="false">IF(ISNUMBER(I55),I55*$K55,"")</f>
        <v>2830.05</v>
      </c>
      <c r="N55" s="3" t="n">
        <f aca="false">IF(ISNUMBER(H55),H55*$K55,"")</f>
        <v>1500</v>
      </c>
      <c r="O55" s="3" t="n">
        <f aca="false">IF(ISNUMBER(J55),J55*$K55,"")</f>
        <v>4829</v>
      </c>
      <c r="P55" s="2" t="s">
        <v>2092</v>
      </c>
      <c r="Q55" s="2" t="s">
        <v>2093</v>
      </c>
      <c r="R55" s="4" t="n">
        <f aca="false">IF(COUNTIF(LH_Key,A55)=0,"",SUMPRODUCT(MAX((LH_Key=A55)*LH_Date)))</f>
        <v>46316</v>
      </c>
      <c r="S55" s="5" t="n">
        <f aca="true">IF(ISNUMBER(R55),TODAY()-R55,"")</f>
        <v>5</v>
      </c>
      <c r="T55" s="4" t="str">
        <f aca="false">IF(R55="","",IF(SUMPRODUCT(MAX((LH_Key=A55)*(LH_Date&lt;R55)*LH_Date))=0,"",SUMPRODUCT(MAX((LH_Key=A55)*(LH_Date&lt;R55)*LH_Date))))</f>
        <v/>
      </c>
      <c r="U55" s="3" t="str">
        <f aca="false">IF(T55="","",IFERROR(AVERAGEIFS(LH_Typ,LH_Key,A55,LH_Date,T55),""))</f>
        <v/>
      </c>
      <c r="V55" s="6" t="str">
        <f aca="false">IF(OR(NOT(ISNUMBER(I55)),NOT(ISNUMBER(U55))),"",I55/U55-1)</f>
        <v/>
      </c>
      <c r="W55" s="2" t="s">
        <v>1922</v>
      </c>
      <c r="X55" s="2" t="s">
        <v>27</v>
      </c>
      <c r="Y55" s="2" t="s">
        <v>2120</v>
      </c>
    </row>
    <row r="56" customFormat="false" ht="15" hidden="false" customHeight="false" outlineLevel="0" collapsed="false">
      <c r="A56" s="2" t="s">
        <v>2121</v>
      </c>
      <c r="B56" s="2" t="s">
        <v>1745</v>
      </c>
      <c r="C56" s="2" t="s">
        <v>1691</v>
      </c>
      <c r="D56" s="2" t="s">
        <v>939</v>
      </c>
      <c r="E56" s="2" t="s">
        <v>1746</v>
      </c>
      <c r="F56" s="2" t="s">
        <v>2086</v>
      </c>
      <c r="G56" s="2" t="s">
        <v>250</v>
      </c>
      <c r="H56" s="3" t="n">
        <f aca="false">IF(R56="","",IFERROR(AVERAGEIFS(LH_Low,LH_Key,A56,LH_Date,R56),""))</f>
        <v>800</v>
      </c>
      <c r="I56" s="3" t="n">
        <f aca="false">IF(R56="","",IFERROR(AVERAGEIFS(LH_Typ,LH_Key,A56,LH_Date,R56),IF(AND(ISNUMBER(H56),ISNUMBER(J56)),ROUND(AVERAGE(H56,J56),0),"")))</f>
        <v>2530.05</v>
      </c>
      <c r="J56" s="3" t="n">
        <f aca="false">IF(R56="","",IFERROR(AVERAGEIFS(LH_High,LH_Key,A56,LH_Date,R56),""))</f>
        <v>4000</v>
      </c>
      <c r="K56" s="13" t="n">
        <v>1</v>
      </c>
      <c r="L56" s="2" t="s">
        <v>2122</v>
      </c>
      <c r="M56" s="3" t="n">
        <f aca="false">IF(ISNUMBER(I56),I56*$K56,"")</f>
        <v>2530.05</v>
      </c>
      <c r="N56" s="3" t="n">
        <f aca="false">IF(ISNUMBER(H56),H56*$K56,"")</f>
        <v>800</v>
      </c>
      <c r="O56" s="3" t="n">
        <f aca="false">IF(ISNUMBER(J56),J56*$K56,"")</f>
        <v>4000</v>
      </c>
      <c r="P56" s="2" t="s">
        <v>2097</v>
      </c>
      <c r="Q56" s="2" t="s">
        <v>2098</v>
      </c>
      <c r="R56" s="4" t="n">
        <f aca="false">IF(COUNTIF(LH_Key,A56)=0,"",SUMPRODUCT(MAX((LH_Key=A56)*LH_Date)))</f>
        <v>46316</v>
      </c>
      <c r="S56" s="5" t="n">
        <f aca="true">IF(ISNUMBER(R56),TODAY()-R56,"")</f>
        <v>5</v>
      </c>
      <c r="T56" s="4" t="str">
        <f aca="false">IF(R56="","",IF(SUMPRODUCT(MAX((LH_Key=A56)*(LH_Date&lt;R56)*LH_Date))=0,"",SUMPRODUCT(MAX((LH_Key=A56)*(LH_Date&lt;R56)*LH_Date))))</f>
        <v/>
      </c>
      <c r="U56" s="3" t="str">
        <f aca="false">IF(T56="","",IFERROR(AVERAGEIFS(LH_Typ,LH_Key,A56,LH_Date,T56),""))</f>
        <v/>
      </c>
      <c r="V56" s="6" t="str">
        <f aca="false">IF(OR(NOT(ISNUMBER(I56)),NOT(ISNUMBER(U56))),"",I56/U56-1)</f>
        <v/>
      </c>
      <c r="W56" s="2" t="s">
        <v>1922</v>
      </c>
      <c r="X56" s="2" t="s">
        <v>27</v>
      </c>
      <c r="Y56" s="2" t="s">
        <v>2123</v>
      </c>
    </row>
    <row r="57" customFormat="false" ht="15" hidden="false" customHeight="false" outlineLevel="0" collapsed="false">
      <c r="A57" s="2" t="s">
        <v>2124</v>
      </c>
      <c r="B57" s="2" t="s">
        <v>1782</v>
      </c>
      <c r="C57" s="2" t="s">
        <v>1691</v>
      </c>
      <c r="D57" s="2" t="s">
        <v>939</v>
      </c>
      <c r="E57" s="2" t="s">
        <v>1783</v>
      </c>
      <c r="F57" s="2" t="s">
        <v>2086</v>
      </c>
      <c r="G57" s="2" t="s">
        <v>250</v>
      </c>
      <c r="H57" s="3" t="n">
        <f aca="false">IF(R57="","",IFERROR(AVERAGEIFS(LH_Low,LH_Key,A57,LH_Date,R57),""))</f>
        <v>1500</v>
      </c>
      <c r="I57" s="3" t="n">
        <f aca="false">IF(R57="","",IFERROR(AVERAGEIFS(LH_Typ,LH_Key,A57,LH_Date,R57),IF(AND(ISNUMBER(H57),ISNUMBER(J57)),ROUND(AVERAGE(H57,J57),0),"")))</f>
        <v>5373.4</v>
      </c>
      <c r="J57" s="3" t="n">
        <f aca="false">IF(R57="","",IFERROR(AVERAGEIFS(LH_High,LH_Key,A57,LH_Date,R57),""))</f>
        <v>12000</v>
      </c>
      <c r="K57" s="13" t="n">
        <v>1</v>
      </c>
      <c r="L57" s="2" t="s">
        <v>2125</v>
      </c>
      <c r="M57" s="3" t="n">
        <f aca="false">IF(ISNUMBER(I57),I57*$K57,"")</f>
        <v>5373.4</v>
      </c>
      <c r="N57" s="3" t="n">
        <f aca="false">IF(ISNUMBER(H57),H57*$K57,"")</f>
        <v>1500</v>
      </c>
      <c r="O57" s="3" t="n">
        <f aca="false">IF(ISNUMBER(J57),J57*$K57,"")</f>
        <v>12000</v>
      </c>
      <c r="P57" s="2" t="s">
        <v>2102</v>
      </c>
      <c r="Q57" s="2" t="s">
        <v>2103</v>
      </c>
      <c r="R57" s="4" t="n">
        <f aca="false">IF(COUNTIF(LH_Key,A57)=0,"",SUMPRODUCT(MAX((LH_Key=A57)*LH_Date)))</f>
        <v>46316</v>
      </c>
      <c r="S57" s="5" t="n">
        <f aca="true">IF(ISNUMBER(R57),TODAY()-R57,"")</f>
        <v>5</v>
      </c>
      <c r="T57" s="4" t="str">
        <f aca="false">IF(R57="","",IF(SUMPRODUCT(MAX((LH_Key=A57)*(LH_Date&lt;R57)*LH_Date))=0,"",SUMPRODUCT(MAX((LH_Key=A57)*(LH_Date&lt;R57)*LH_Date))))</f>
        <v/>
      </c>
      <c r="U57" s="3" t="str">
        <f aca="false">IF(T57="","",IFERROR(AVERAGEIFS(LH_Typ,LH_Key,A57,LH_Date,T57),""))</f>
        <v/>
      </c>
      <c r="V57" s="6" t="str">
        <f aca="false">IF(OR(NOT(ISNUMBER(I57)),NOT(ISNUMBER(U57))),"",I57/U57-1)</f>
        <v/>
      </c>
      <c r="W57" s="2" t="s">
        <v>1922</v>
      </c>
      <c r="X57" s="2" t="s">
        <v>27</v>
      </c>
      <c r="Y57" s="2" t="s">
        <v>2126</v>
      </c>
    </row>
    <row r="58" customFormat="false" ht="15" hidden="false" customHeight="false" outlineLevel="0" collapsed="false">
      <c r="A58" s="2" t="s">
        <v>2127</v>
      </c>
      <c r="B58" s="2" t="s">
        <v>1810</v>
      </c>
      <c r="C58" s="2" t="s">
        <v>1917</v>
      </c>
      <c r="D58" s="2" t="s">
        <v>939</v>
      </c>
      <c r="E58" s="2" t="s">
        <v>1811</v>
      </c>
      <c r="F58" s="2" t="s">
        <v>2086</v>
      </c>
      <c r="G58" s="2" t="s">
        <v>2128</v>
      </c>
      <c r="H58" s="3" t="n">
        <f aca="false">IF(R58="","",IFERROR(AVERAGEIFS(LH_Low,LH_Key,A58,LH_Date,R58),""))</f>
        <v>117</v>
      </c>
      <c r="I58" s="3" t="n">
        <f aca="false">IF(R58="","",IFERROR(AVERAGEIFS(LH_Typ,LH_Key,A58,LH_Date,R58),IF(AND(ISNUMBER(H58),ISNUMBER(J58)),ROUND(AVERAGE(H58,J58),0),"")))</f>
        <v>250</v>
      </c>
      <c r="J58" s="3" t="n">
        <f aca="false">IF(R58="","",IFERROR(AVERAGEIFS(LH_High,LH_Key,A58,LH_Date,R58),""))</f>
        <v>400</v>
      </c>
      <c r="K58" s="13" t="n">
        <v>3</v>
      </c>
      <c r="L58" s="2" t="s">
        <v>2129</v>
      </c>
      <c r="M58" s="3" t="n">
        <f aca="false">IF(ISNUMBER(I58),I58*$K58,"")</f>
        <v>750</v>
      </c>
      <c r="N58" s="3" t="n">
        <f aca="false">IF(ISNUMBER(H58),H58*$K58,"")</f>
        <v>351</v>
      </c>
      <c r="O58" s="3" t="n">
        <f aca="false">IF(ISNUMBER(J58),J58*$K58,"")</f>
        <v>1200</v>
      </c>
      <c r="P58" s="2" t="s">
        <v>2130</v>
      </c>
      <c r="Q58" s="2" t="s">
        <v>2131</v>
      </c>
      <c r="R58" s="4" t="n">
        <f aca="false">IF(COUNTIF(LH_Key,A58)=0,"",SUMPRODUCT(MAX((LH_Key=A58)*LH_Date)))</f>
        <v>46316</v>
      </c>
      <c r="S58" s="5" t="n">
        <f aca="true">IF(ISNUMBER(R58),TODAY()-R58,"")</f>
        <v>5</v>
      </c>
      <c r="T58" s="4" t="str">
        <f aca="false">IF(R58="","",IF(SUMPRODUCT(MAX((LH_Key=A58)*(LH_Date&lt;R58)*LH_Date))=0,"",SUMPRODUCT(MAX((LH_Key=A58)*(LH_Date&lt;R58)*LH_Date))))</f>
        <v/>
      </c>
      <c r="U58" s="3" t="str">
        <f aca="false">IF(T58="","",IFERROR(AVERAGEIFS(LH_Typ,LH_Key,A58,LH_Date,T58),""))</f>
        <v/>
      </c>
      <c r="V58" s="6" t="str">
        <f aca="false">IF(OR(NOT(ISNUMBER(I58)),NOT(ISNUMBER(U58))),"",I58/U58-1)</f>
        <v/>
      </c>
      <c r="W58" s="2" t="s">
        <v>1922</v>
      </c>
      <c r="X58" s="2" t="s">
        <v>27</v>
      </c>
      <c r="Y58" s="2" t="s">
        <v>2132</v>
      </c>
    </row>
    <row r="59" customFormat="false" ht="15" hidden="false" customHeight="false" outlineLevel="0" collapsed="false">
      <c r="A59" s="2" t="s">
        <v>2133</v>
      </c>
      <c r="B59" s="2" t="s">
        <v>1810</v>
      </c>
      <c r="C59" s="2" t="s">
        <v>2134</v>
      </c>
      <c r="D59" s="2" t="s">
        <v>939</v>
      </c>
      <c r="E59" s="2" t="s">
        <v>1811</v>
      </c>
      <c r="F59" s="2" t="s">
        <v>2086</v>
      </c>
      <c r="G59" s="2" t="s">
        <v>250</v>
      </c>
      <c r="H59" s="3" t="n">
        <f aca="false">IF(R59="","",IFERROR(AVERAGEIFS(LH_Low,LH_Key,A59,LH_Date,R59),""))</f>
        <v>250</v>
      </c>
      <c r="I59" s="3" t="n">
        <f aca="false">IF(R59="","",IFERROR(AVERAGEIFS(LH_Typ,LH_Key,A59,LH_Date,R59),IF(AND(ISNUMBER(H59),ISNUMBER(J59)),ROUND(AVERAGE(H59,J59),0),"")))</f>
        <v>300</v>
      </c>
      <c r="J59" s="3" t="n">
        <f aca="false">IF(R59="","",IFERROR(AVERAGEIFS(LH_High,LH_Key,A59,LH_Date,R59),""))</f>
        <v>500</v>
      </c>
      <c r="K59" s="13" t="n">
        <v>1</v>
      </c>
      <c r="L59" s="2" t="s">
        <v>2135</v>
      </c>
      <c r="M59" s="3" t="n">
        <f aca="false">IF(ISNUMBER(I59),I59*$K59,"")</f>
        <v>300</v>
      </c>
      <c r="N59" s="3" t="n">
        <f aca="false">IF(ISNUMBER(H59),H59*$K59,"")</f>
        <v>250</v>
      </c>
      <c r="O59" s="3" t="n">
        <f aca="false">IF(ISNUMBER(J59),J59*$K59,"")</f>
        <v>500</v>
      </c>
      <c r="P59" s="2" t="s">
        <v>2136</v>
      </c>
      <c r="Q59" s="2" t="s">
        <v>2137</v>
      </c>
      <c r="R59" s="4" t="n">
        <f aca="false">IF(COUNTIF(LH_Key,A59)=0,"",SUMPRODUCT(MAX((LH_Key=A59)*LH_Date)))</f>
        <v>46316</v>
      </c>
      <c r="S59" s="5" t="n">
        <f aca="true">IF(ISNUMBER(R59),TODAY()-R59,"")</f>
        <v>5</v>
      </c>
      <c r="T59" s="4" t="str">
        <f aca="false">IF(R59="","",IF(SUMPRODUCT(MAX((LH_Key=A59)*(LH_Date&lt;R59)*LH_Date))=0,"",SUMPRODUCT(MAX((LH_Key=A59)*(LH_Date&lt;R59)*LH_Date))))</f>
        <v/>
      </c>
      <c r="U59" s="3" t="str">
        <f aca="false">IF(T59="","",IFERROR(AVERAGEIFS(LH_Typ,LH_Key,A59,LH_Date,T59),""))</f>
        <v/>
      </c>
      <c r="V59" s="6" t="str">
        <f aca="false">IF(OR(NOT(ISNUMBER(I59)),NOT(ISNUMBER(U59))),"",I59/U59-1)</f>
        <v/>
      </c>
      <c r="W59" s="2" t="s">
        <v>1922</v>
      </c>
      <c r="X59" s="2" t="s">
        <v>27</v>
      </c>
      <c r="Y59" s="2" t="s">
        <v>2138</v>
      </c>
    </row>
    <row r="60" customFormat="false" ht="15" hidden="false" customHeight="false" outlineLevel="0" collapsed="false">
      <c r="A60" s="2" t="s">
        <v>2139</v>
      </c>
      <c r="B60" s="2" t="s">
        <v>1810</v>
      </c>
      <c r="C60" s="2" t="s">
        <v>2140</v>
      </c>
      <c r="D60" s="2" t="s">
        <v>939</v>
      </c>
      <c r="E60" s="2" t="s">
        <v>1811</v>
      </c>
      <c r="F60" s="2" t="s">
        <v>2086</v>
      </c>
      <c r="G60" s="2" t="s">
        <v>250</v>
      </c>
      <c r="H60" s="3" t="n">
        <f aca="false">IF(R60="","",IFERROR(AVERAGEIFS(LH_Low,LH_Key,A60,LH_Date,R60),""))</f>
        <v>250</v>
      </c>
      <c r="I60" s="3" t="n">
        <f aca="false">IF(R60="","",IFERROR(AVERAGEIFS(LH_Typ,LH_Key,A60,LH_Date,R60),IF(AND(ISNUMBER(H60),ISNUMBER(J60)),ROUND(AVERAGE(H60,J60),0),"")))</f>
        <v>350</v>
      </c>
      <c r="J60" s="3" t="n">
        <f aca="false">IF(R60="","",IFERROR(AVERAGEIFS(LH_High,LH_Key,A60,LH_Date,R60),""))</f>
        <v>700</v>
      </c>
      <c r="K60" s="13" t="n">
        <v>1</v>
      </c>
      <c r="L60" s="2" t="s">
        <v>2141</v>
      </c>
      <c r="M60" s="3" t="n">
        <f aca="false">IF(ISNUMBER(I60),I60*$K60,"")</f>
        <v>350</v>
      </c>
      <c r="N60" s="3" t="n">
        <f aca="false">IF(ISNUMBER(H60),H60*$K60,"")</f>
        <v>250</v>
      </c>
      <c r="O60" s="3" t="n">
        <f aca="false">IF(ISNUMBER(J60),J60*$K60,"")</f>
        <v>700</v>
      </c>
      <c r="P60" s="2" t="s">
        <v>2136</v>
      </c>
      <c r="Q60" s="2" t="s">
        <v>2137</v>
      </c>
      <c r="R60" s="4" t="n">
        <f aca="false">IF(COUNTIF(LH_Key,A60)=0,"",SUMPRODUCT(MAX((LH_Key=A60)*LH_Date)))</f>
        <v>46316</v>
      </c>
      <c r="S60" s="5" t="n">
        <f aca="true">IF(ISNUMBER(R60),TODAY()-R60,"")</f>
        <v>5</v>
      </c>
      <c r="T60" s="4" t="str">
        <f aca="false">IF(R60="","",IF(SUMPRODUCT(MAX((LH_Key=A60)*(LH_Date&lt;R60)*LH_Date))=0,"",SUMPRODUCT(MAX((LH_Key=A60)*(LH_Date&lt;R60)*LH_Date))))</f>
        <v/>
      </c>
      <c r="U60" s="3" t="str">
        <f aca="false">IF(T60="","",IFERROR(AVERAGEIFS(LH_Typ,LH_Key,A60,LH_Date,T60),""))</f>
        <v/>
      </c>
      <c r="V60" s="6" t="str">
        <f aca="false">IF(OR(NOT(ISNUMBER(I60)),NOT(ISNUMBER(U60))),"",I60/U60-1)</f>
        <v/>
      </c>
      <c r="W60" s="2" t="s">
        <v>1922</v>
      </c>
      <c r="X60" s="2" t="s">
        <v>27</v>
      </c>
      <c r="Y60" s="2" t="s">
        <v>2142</v>
      </c>
    </row>
    <row r="61" customFormat="false" ht="15" hidden="false" customHeight="false" outlineLevel="0" collapsed="false">
      <c r="A61" s="2" t="s">
        <v>2143</v>
      </c>
      <c r="B61" s="2" t="s">
        <v>1810</v>
      </c>
      <c r="C61" s="2" t="s">
        <v>2144</v>
      </c>
      <c r="D61" s="2" t="s">
        <v>939</v>
      </c>
      <c r="E61" s="2" t="s">
        <v>1811</v>
      </c>
      <c r="F61" s="2" t="s">
        <v>2086</v>
      </c>
      <c r="G61" s="2" t="s">
        <v>250</v>
      </c>
      <c r="H61" s="3" t="n">
        <f aca="false">IF(R61="","",IFERROR(AVERAGEIFS(LH_Low,LH_Key,A61,LH_Date,R61),""))</f>
        <v>350</v>
      </c>
      <c r="I61" s="3" t="n">
        <f aca="false">IF(R61="","",IFERROR(AVERAGEIFS(LH_Typ,LH_Key,A61,LH_Date,R61),IF(AND(ISNUMBER(H61),ISNUMBER(J61)),ROUND(AVERAGE(H61,J61),0),"")))</f>
        <v>450</v>
      </c>
      <c r="J61" s="3" t="n">
        <f aca="false">IF(R61="","",IFERROR(AVERAGEIFS(LH_High,LH_Key,A61,LH_Date,R61),""))</f>
        <v>900</v>
      </c>
      <c r="K61" s="13" t="n">
        <v>1</v>
      </c>
      <c r="L61" s="2" t="s">
        <v>2145</v>
      </c>
      <c r="M61" s="3" t="n">
        <f aca="false">IF(ISNUMBER(I61),I61*$K61,"")</f>
        <v>450</v>
      </c>
      <c r="N61" s="3" t="n">
        <f aca="false">IF(ISNUMBER(H61),H61*$K61,"")</f>
        <v>350</v>
      </c>
      <c r="O61" s="3" t="n">
        <f aca="false">IF(ISNUMBER(J61),J61*$K61,"")</f>
        <v>900</v>
      </c>
      <c r="P61" s="2" t="s">
        <v>2136</v>
      </c>
      <c r="Q61" s="2" t="s">
        <v>2137</v>
      </c>
      <c r="R61" s="4" t="n">
        <f aca="false">IF(COUNTIF(LH_Key,A61)=0,"",SUMPRODUCT(MAX((LH_Key=A61)*LH_Date)))</f>
        <v>46316</v>
      </c>
      <c r="S61" s="5" t="n">
        <f aca="true">IF(ISNUMBER(R61),TODAY()-R61,"")</f>
        <v>5</v>
      </c>
      <c r="T61" s="4" t="str">
        <f aca="false">IF(R61="","",IF(SUMPRODUCT(MAX((LH_Key=A61)*(LH_Date&lt;R61)*LH_Date))=0,"",SUMPRODUCT(MAX((LH_Key=A61)*(LH_Date&lt;R61)*LH_Date))))</f>
        <v/>
      </c>
      <c r="U61" s="3" t="str">
        <f aca="false">IF(T61="","",IFERROR(AVERAGEIFS(LH_Typ,LH_Key,A61,LH_Date,T61),""))</f>
        <v/>
      </c>
      <c r="V61" s="6" t="str">
        <f aca="false">IF(OR(NOT(ISNUMBER(I61)),NOT(ISNUMBER(U61))),"",I61/U61-1)</f>
        <v/>
      </c>
      <c r="W61" s="2" t="s">
        <v>1922</v>
      </c>
      <c r="X61" s="2" t="s">
        <v>27</v>
      </c>
      <c r="Y61" s="2" t="s">
        <v>2146</v>
      </c>
    </row>
    <row r="62" customFormat="false" ht="15" hidden="false" customHeight="false" outlineLevel="0" collapsed="false">
      <c r="A62" s="2" t="s">
        <v>2147</v>
      </c>
      <c r="B62" s="2" t="s">
        <v>1810</v>
      </c>
      <c r="C62" s="2" t="s">
        <v>2148</v>
      </c>
      <c r="D62" s="2" t="s">
        <v>939</v>
      </c>
      <c r="E62" s="2" t="s">
        <v>1811</v>
      </c>
      <c r="F62" s="2" t="s">
        <v>2086</v>
      </c>
      <c r="G62" s="2" t="s">
        <v>250</v>
      </c>
      <c r="H62" s="3" t="n">
        <f aca="false">IF(R62="","",IFERROR(AVERAGEIFS(LH_Low,LH_Key,A62,LH_Date,R62),""))</f>
        <v>400</v>
      </c>
      <c r="I62" s="3" t="n">
        <f aca="false">IF(R62="","",IFERROR(AVERAGEIFS(LH_Typ,LH_Key,A62,LH_Date,R62),IF(AND(ISNUMBER(H62),ISNUMBER(J62)),ROUND(AVERAGE(H62,J62),0),"")))</f>
        <v>550</v>
      </c>
      <c r="J62" s="3" t="n">
        <f aca="false">IF(R62="","",IFERROR(AVERAGEIFS(LH_High,LH_Key,A62,LH_Date,R62),""))</f>
        <v>1200</v>
      </c>
      <c r="K62" s="13" t="n">
        <v>1</v>
      </c>
      <c r="L62" s="2" t="s">
        <v>2149</v>
      </c>
      <c r="M62" s="3" t="n">
        <f aca="false">IF(ISNUMBER(I62),I62*$K62,"")</f>
        <v>550</v>
      </c>
      <c r="N62" s="3" t="n">
        <f aca="false">IF(ISNUMBER(H62),H62*$K62,"")</f>
        <v>400</v>
      </c>
      <c r="O62" s="3" t="n">
        <f aca="false">IF(ISNUMBER(J62),J62*$K62,"")</f>
        <v>1200</v>
      </c>
      <c r="P62" s="2" t="s">
        <v>2136</v>
      </c>
      <c r="Q62" s="2" t="s">
        <v>2137</v>
      </c>
      <c r="R62" s="4" t="n">
        <f aca="false">IF(COUNTIF(LH_Key,A62)=0,"",SUMPRODUCT(MAX((LH_Key=A62)*LH_Date)))</f>
        <v>46316</v>
      </c>
      <c r="S62" s="5" t="n">
        <f aca="true">IF(ISNUMBER(R62),TODAY()-R62,"")</f>
        <v>5</v>
      </c>
      <c r="T62" s="4" t="str">
        <f aca="false">IF(R62="","",IF(SUMPRODUCT(MAX((LH_Key=A62)*(LH_Date&lt;R62)*LH_Date))=0,"",SUMPRODUCT(MAX((LH_Key=A62)*(LH_Date&lt;R62)*LH_Date))))</f>
        <v/>
      </c>
      <c r="U62" s="3" t="str">
        <f aca="false">IF(T62="","",IFERROR(AVERAGEIFS(LH_Typ,LH_Key,A62,LH_Date,T62),""))</f>
        <v/>
      </c>
      <c r="V62" s="6" t="str">
        <f aca="false">IF(OR(NOT(ISNUMBER(I62)),NOT(ISNUMBER(U62))),"",I62/U62-1)</f>
        <v/>
      </c>
      <c r="W62" s="2" t="s">
        <v>1922</v>
      </c>
      <c r="X62" s="2" t="s">
        <v>27</v>
      </c>
      <c r="Y62" s="2" t="s">
        <v>2150</v>
      </c>
    </row>
    <row r="63" customFormat="false" ht="15" hidden="false" customHeight="false" outlineLevel="0" collapsed="false">
      <c r="A63" s="2" t="s">
        <v>2151</v>
      </c>
      <c r="B63" s="2" t="s">
        <v>1657</v>
      </c>
      <c r="C63" s="2" t="s">
        <v>2152</v>
      </c>
      <c r="D63" s="2" t="s">
        <v>939</v>
      </c>
      <c r="E63" s="2" t="s">
        <v>1658</v>
      </c>
      <c r="F63" s="2" t="s">
        <v>2086</v>
      </c>
      <c r="G63" s="2" t="s">
        <v>250</v>
      </c>
      <c r="H63" s="3" t="n">
        <f aca="false">IF(R63="","",IFERROR(AVERAGEIFS(LH_Low,LH_Key,A63,LH_Date,R63),""))</f>
        <v>250</v>
      </c>
      <c r="I63" s="3" t="n">
        <f aca="false">IF(R63="","",IFERROR(AVERAGEIFS(LH_Typ,LH_Key,A63,LH_Date,R63),IF(AND(ISNUMBER(H63),ISNUMBER(J63)),ROUND(AVERAGE(H63,J63),0),"")))</f>
        <v>250</v>
      </c>
      <c r="J63" s="3" t="n">
        <f aca="false">IF(R63="","",IFERROR(AVERAGEIFS(LH_High,LH_Key,A63,LH_Date,R63),""))</f>
        <v>250</v>
      </c>
      <c r="K63" s="13" t="n">
        <v>1</v>
      </c>
      <c r="L63" s="2" t="s">
        <v>2153</v>
      </c>
      <c r="M63" s="3" t="n">
        <f aca="false">IF(ISNUMBER(I63),I63*$K63,"")</f>
        <v>250</v>
      </c>
      <c r="N63" s="3" t="n">
        <f aca="false">IF(ISNUMBER(H63),H63*$K63,"")</f>
        <v>250</v>
      </c>
      <c r="O63" s="3" t="n">
        <f aca="false">IF(ISNUMBER(J63),J63*$K63,"")</f>
        <v>250</v>
      </c>
      <c r="P63" s="2" t="s">
        <v>2154</v>
      </c>
      <c r="Q63" s="2" t="s">
        <v>2155</v>
      </c>
      <c r="R63" s="4" t="n">
        <f aca="false">IF(COUNTIF(LH_Key,A63)=0,"",SUMPRODUCT(MAX((LH_Key=A63)*LH_Date)))</f>
        <v>46316</v>
      </c>
      <c r="S63" s="5" t="n">
        <f aca="true">IF(ISNUMBER(R63),TODAY()-R63,"")</f>
        <v>5</v>
      </c>
      <c r="T63" s="4" t="str">
        <f aca="false">IF(R63="","",IF(SUMPRODUCT(MAX((LH_Key=A63)*(LH_Date&lt;R63)*LH_Date))=0,"",SUMPRODUCT(MAX((LH_Key=A63)*(LH_Date&lt;R63)*LH_Date))))</f>
        <v/>
      </c>
      <c r="U63" s="3" t="str">
        <f aca="false">IF(T63="","",IFERROR(AVERAGEIFS(LH_Typ,LH_Key,A63,LH_Date,T63),""))</f>
        <v/>
      </c>
      <c r="V63" s="6" t="str">
        <f aca="false">IF(OR(NOT(ISNUMBER(I63)),NOT(ISNUMBER(U63))),"",I63/U63-1)</f>
        <v/>
      </c>
      <c r="W63" s="2" t="s">
        <v>1922</v>
      </c>
      <c r="X63" s="2" t="s">
        <v>27</v>
      </c>
      <c r="Y63" s="2" t="s">
        <v>2156</v>
      </c>
    </row>
    <row r="64" customFormat="false" ht="15" hidden="false" customHeight="false" outlineLevel="0" collapsed="false">
      <c r="A64" s="2" t="s">
        <v>2157</v>
      </c>
      <c r="B64" s="2" t="s">
        <v>1657</v>
      </c>
      <c r="C64" s="2" t="s">
        <v>2158</v>
      </c>
      <c r="D64" s="2" t="s">
        <v>939</v>
      </c>
      <c r="E64" s="2" t="s">
        <v>1658</v>
      </c>
      <c r="F64" s="2" t="s">
        <v>2086</v>
      </c>
      <c r="G64" s="2" t="s">
        <v>250</v>
      </c>
      <c r="H64" s="3" t="n">
        <f aca="false">IF(R64="","",IFERROR(AVERAGEIFS(LH_Low,LH_Key,A64,LH_Date,R64),""))</f>
        <v>200</v>
      </c>
      <c r="I64" s="3" t="n">
        <f aca="false">IF(R64="","",IFERROR(AVERAGEIFS(LH_Typ,LH_Key,A64,LH_Date,R64),IF(AND(ISNUMBER(H64),ISNUMBER(J64)),ROUND(AVERAGE(H64,J64),0),"")))</f>
        <v>200</v>
      </c>
      <c r="J64" s="3" t="n">
        <f aca="false">IF(R64="","",IFERROR(AVERAGEIFS(LH_High,LH_Key,A64,LH_Date,R64),""))</f>
        <v>200</v>
      </c>
      <c r="K64" s="13" t="n">
        <v>1</v>
      </c>
      <c r="L64" s="2" t="s">
        <v>2153</v>
      </c>
      <c r="M64" s="3" t="n">
        <f aca="false">IF(ISNUMBER(I64),I64*$K64,"")</f>
        <v>200</v>
      </c>
      <c r="N64" s="3" t="n">
        <f aca="false">IF(ISNUMBER(H64),H64*$K64,"")</f>
        <v>200</v>
      </c>
      <c r="O64" s="3" t="n">
        <f aca="false">IF(ISNUMBER(J64),J64*$K64,"")</f>
        <v>200</v>
      </c>
      <c r="P64" s="2" t="s">
        <v>2154</v>
      </c>
      <c r="Q64" s="2" t="s">
        <v>2155</v>
      </c>
      <c r="R64" s="4" t="n">
        <f aca="false">IF(COUNTIF(LH_Key,A64)=0,"",SUMPRODUCT(MAX((LH_Key=A64)*LH_Date)))</f>
        <v>46316</v>
      </c>
      <c r="S64" s="5" t="n">
        <f aca="true">IF(ISNUMBER(R64),TODAY()-R64,"")</f>
        <v>5</v>
      </c>
      <c r="T64" s="4" t="str">
        <f aca="false">IF(R64="","",IF(SUMPRODUCT(MAX((LH_Key=A64)*(LH_Date&lt;R64)*LH_Date))=0,"",SUMPRODUCT(MAX((LH_Key=A64)*(LH_Date&lt;R64)*LH_Date))))</f>
        <v/>
      </c>
      <c r="U64" s="3" t="str">
        <f aca="false">IF(T64="","",IFERROR(AVERAGEIFS(LH_Typ,LH_Key,A64,LH_Date,T64),""))</f>
        <v/>
      </c>
      <c r="V64" s="6" t="str">
        <f aca="false">IF(OR(NOT(ISNUMBER(I64)),NOT(ISNUMBER(U64))),"",I64/U64-1)</f>
        <v/>
      </c>
      <c r="W64" s="2" t="s">
        <v>1922</v>
      </c>
      <c r="X64" s="2" t="s">
        <v>27</v>
      </c>
      <c r="Y64" s="2" t="s">
        <v>2156</v>
      </c>
    </row>
    <row r="65" customFormat="false" ht="15" hidden="false" customHeight="false" outlineLevel="0" collapsed="false">
      <c r="A65" s="2" t="s">
        <v>2159</v>
      </c>
      <c r="B65" s="2" t="s">
        <v>1657</v>
      </c>
      <c r="C65" s="2" t="s">
        <v>2160</v>
      </c>
      <c r="D65" s="2" t="s">
        <v>939</v>
      </c>
      <c r="E65" s="2" t="s">
        <v>1658</v>
      </c>
      <c r="F65" s="2" t="s">
        <v>2086</v>
      </c>
      <c r="G65" s="2" t="s">
        <v>250</v>
      </c>
      <c r="H65" s="3" t="n">
        <f aca="false">IF(R65="","",IFERROR(AVERAGEIFS(LH_Low,LH_Key,A65,LH_Date,R65),""))</f>
        <v>250</v>
      </c>
      <c r="I65" s="3" t="n">
        <f aca="false">IF(R65="","",IFERROR(AVERAGEIFS(LH_Typ,LH_Key,A65,LH_Date,R65),IF(AND(ISNUMBER(H65),ISNUMBER(J65)),ROUND(AVERAGE(H65,J65),0),"")))</f>
        <v>250</v>
      </c>
      <c r="J65" s="3" t="n">
        <f aca="false">IF(R65="","",IFERROR(AVERAGEIFS(LH_High,LH_Key,A65,LH_Date,R65),""))</f>
        <v>250</v>
      </c>
      <c r="K65" s="13" t="n">
        <v>1</v>
      </c>
      <c r="L65" s="2" t="s">
        <v>2153</v>
      </c>
      <c r="M65" s="3" t="n">
        <f aca="false">IF(ISNUMBER(I65),I65*$K65,"")</f>
        <v>250</v>
      </c>
      <c r="N65" s="3" t="n">
        <f aca="false">IF(ISNUMBER(H65),H65*$K65,"")</f>
        <v>250</v>
      </c>
      <c r="O65" s="3" t="n">
        <f aca="false">IF(ISNUMBER(J65),J65*$K65,"")</f>
        <v>250</v>
      </c>
      <c r="P65" s="2" t="s">
        <v>2154</v>
      </c>
      <c r="Q65" s="2" t="s">
        <v>2155</v>
      </c>
      <c r="R65" s="4" t="n">
        <f aca="false">IF(COUNTIF(LH_Key,A65)=0,"",SUMPRODUCT(MAX((LH_Key=A65)*LH_Date)))</f>
        <v>46316</v>
      </c>
      <c r="S65" s="5" t="n">
        <f aca="true">IF(ISNUMBER(R65),TODAY()-R65,"")</f>
        <v>5</v>
      </c>
      <c r="T65" s="4" t="str">
        <f aca="false">IF(R65="","",IF(SUMPRODUCT(MAX((LH_Key=A65)*(LH_Date&lt;R65)*LH_Date))=0,"",SUMPRODUCT(MAX((LH_Key=A65)*(LH_Date&lt;R65)*LH_Date))))</f>
        <v/>
      </c>
      <c r="U65" s="3" t="str">
        <f aca="false">IF(T65="","",IFERROR(AVERAGEIFS(LH_Typ,LH_Key,A65,LH_Date,T65),""))</f>
        <v/>
      </c>
      <c r="V65" s="6" t="str">
        <f aca="false">IF(OR(NOT(ISNUMBER(I65)),NOT(ISNUMBER(U65))),"",I65/U65-1)</f>
        <v/>
      </c>
      <c r="W65" s="2" t="s">
        <v>1922</v>
      </c>
      <c r="X65" s="2" t="s">
        <v>27</v>
      </c>
      <c r="Y65" s="2" t="s">
        <v>2156</v>
      </c>
    </row>
    <row r="66" customFormat="false" ht="15" hidden="false" customHeight="false" outlineLevel="0" collapsed="false">
      <c r="A66" s="2" t="s">
        <v>2161</v>
      </c>
      <c r="B66" s="2" t="s">
        <v>1657</v>
      </c>
      <c r="C66" s="2" t="s">
        <v>2162</v>
      </c>
      <c r="D66" s="2" t="s">
        <v>939</v>
      </c>
      <c r="E66" s="2" t="s">
        <v>1658</v>
      </c>
      <c r="F66" s="2" t="s">
        <v>2086</v>
      </c>
      <c r="G66" s="2" t="s">
        <v>250</v>
      </c>
      <c r="H66" s="3" t="n">
        <f aca="false">IF(R66="","",IFERROR(AVERAGEIFS(LH_Low,LH_Key,A66,LH_Date,R66),""))</f>
        <v>250</v>
      </c>
      <c r="I66" s="3" t="n">
        <f aca="false">IF(R66="","",IFERROR(AVERAGEIFS(LH_Typ,LH_Key,A66,LH_Date,R66),IF(AND(ISNUMBER(H66),ISNUMBER(J66)),ROUND(AVERAGE(H66,J66),0),"")))</f>
        <v>250</v>
      </c>
      <c r="J66" s="3" t="n">
        <f aca="false">IF(R66="","",IFERROR(AVERAGEIFS(LH_High,LH_Key,A66,LH_Date,R66),""))</f>
        <v>250</v>
      </c>
      <c r="K66" s="13" t="n">
        <v>1</v>
      </c>
      <c r="L66" s="2" t="s">
        <v>2153</v>
      </c>
      <c r="M66" s="3" t="n">
        <f aca="false">IF(ISNUMBER(I66),I66*$K66,"")</f>
        <v>250</v>
      </c>
      <c r="N66" s="3" t="n">
        <f aca="false">IF(ISNUMBER(H66),H66*$K66,"")</f>
        <v>250</v>
      </c>
      <c r="O66" s="3" t="n">
        <f aca="false">IF(ISNUMBER(J66),J66*$K66,"")</f>
        <v>250</v>
      </c>
      <c r="P66" s="2" t="s">
        <v>2154</v>
      </c>
      <c r="Q66" s="2" t="s">
        <v>2155</v>
      </c>
      <c r="R66" s="4" t="n">
        <f aca="false">IF(COUNTIF(LH_Key,A66)=0,"",SUMPRODUCT(MAX((LH_Key=A66)*LH_Date)))</f>
        <v>46316</v>
      </c>
      <c r="S66" s="5" t="n">
        <f aca="true">IF(ISNUMBER(R66),TODAY()-R66,"")</f>
        <v>5</v>
      </c>
      <c r="T66" s="4" t="str">
        <f aca="false">IF(R66="","",IF(SUMPRODUCT(MAX((LH_Key=A66)*(LH_Date&lt;R66)*LH_Date))=0,"",SUMPRODUCT(MAX((LH_Key=A66)*(LH_Date&lt;R66)*LH_Date))))</f>
        <v/>
      </c>
      <c r="U66" s="3" t="str">
        <f aca="false">IF(T66="","",IFERROR(AVERAGEIFS(LH_Typ,LH_Key,A66,LH_Date,T66),""))</f>
        <v/>
      </c>
      <c r="V66" s="6" t="str">
        <f aca="false">IF(OR(NOT(ISNUMBER(I66)),NOT(ISNUMBER(U66))),"",I66/U66-1)</f>
        <v/>
      </c>
      <c r="W66" s="2" t="s">
        <v>1922</v>
      </c>
      <c r="X66" s="2" t="s">
        <v>27</v>
      </c>
      <c r="Y66" s="2" t="s">
        <v>2156</v>
      </c>
    </row>
    <row r="67" customFormat="false" ht="15" hidden="false" customHeight="false" outlineLevel="0" collapsed="false">
      <c r="A67" s="2" t="s">
        <v>2163</v>
      </c>
      <c r="B67" s="2" t="s">
        <v>1703</v>
      </c>
      <c r="C67" s="2" t="s">
        <v>2152</v>
      </c>
      <c r="D67" s="2" t="s">
        <v>939</v>
      </c>
      <c r="E67" s="2" t="s">
        <v>1704</v>
      </c>
      <c r="F67" s="2" t="s">
        <v>2086</v>
      </c>
      <c r="G67" s="2" t="s">
        <v>250</v>
      </c>
      <c r="H67" s="3" t="n">
        <f aca="false">IF(R67="","",IFERROR(AVERAGEIFS(LH_Low,LH_Key,A67,LH_Date,R67),""))</f>
        <v>250</v>
      </c>
      <c r="I67" s="3" t="n">
        <f aca="false">IF(R67="","",IFERROR(AVERAGEIFS(LH_Typ,LH_Key,A67,LH_Date,R67),IF(AND(ISNUMBER(H67),ISNUMBER(J67)),ROUND(AVERAGE(H67,J67),0),"")))</f>
        <v>250</v>
      </c>
      <c r="J67" s="3" t="n">
        <f aca="false">IF(R67="","",IFERROR(AVERAGEIFS(LH_High,LH_Key,A67,LH_Date,R67),""))</f>
        <v>250</v>
      </c>
      <c r="K67" s="13" t="n">
        <v>1</v>
      </c>
      <c r="L67" s="2" t="s">
        <v>2153</v>
      </c>
      <c r="M67" s="3" t="n">
        <f aca="false">IF(ISNUMBER(I67),I67*$K67,"")</f>
        <v>250</v>
      </c>
      <c r="N67" s="3" t="n">
        <f aca="false">IF(ISNUMBER(H67),H67*$K67,"")</f>
        <v>250</v>
      </c>
      <c r="O67" s="3" t="n">
        <f aca="false">IF(ISNUMBER(J67),J67*$K67,"")</f>
        <v>250</v>
      </c>
      <c r="P67" s="2" t="s">
        <v>2154</v>
      </c>
      <c r="Q67" s="2" t="s">
        <v>2155</v>
      </c>
      <c r="R67" s="4" t="n">
        <f aca="false">IF(COUNTIF(LH_Key,A67)=0,"",SUMPRODUCT(MAX((LH_Key=A67)*LH_Date)))</f>
        <v>46316</v>
      </c>
      <c r="S67" s="5" t="n">
        <f aca="true">IF(ISNUMBER(R67),TODAY()-R67,"")</f>
        <v>5</v>
      </c>
      <c r="T67" s="4" t="str">
        <f aca="false">IF(R67="","",IF(SUMPRODUCT(MAX((LH_Key=A67)*(LH_Date&lt;R67)*LH_Date))=0,"",SUMPRODUCT(MAX((LH_Key=A67)*(LH_Date&lt;R67)*LH_Date))))</f>
        <v/>
      </c>
      <c r="U67" s="3" t="str">
        <f aca="false">IF(T67="","",IFERROR(AVERAGEIFS(LH_Typ,LH_Key,A67,LH_Date,T67),""))</f>
        <v/>
      </c>
      <c r="V67" s="6" t="str">
        <f aca="false">IF(OR(NOT(ISNUMBER(I67)),NOT(ISNUMBER(U67))),"",I67/U67-1)</f>
        <v/>
      </c>
      <c r="W67" s="2" t="s">
        <v>1922</v>
      </c>
      <c r="X67" s="2" t="s">
        <v>27</v>
      </c>
      <c r="Y67" s="2" t="s">
        <v>2156</v>
      </c>
    </row>
    <row r="68" customFormat="false" ht="15" hidden="false" customHeight="false" outlineLevel="0" collapsed="false">
      <c r="A68" s="2" t="s">
        <v>2164</v>
      </c>
      <c r="B68" s="2" t="s">
        <v>1703</v>
      </c>
      <c r="C68" s="2" t="s">
        <v>2158</v>
      </c>
      <c r="D68" s="2" t="s">
        <v>939</v>
      </c>
      <c r="E68" s="2" t="s">
        <v>1704</v>
      </c>
      <c r="F68" s="2" t="s">
        <v>2086</v>
      </c>
      <c r="G68" s="2" t="s">
        <v>250</v>
      </c>
      <c r="H68" s="3" t="n">
        <f aca="false">IF(R68="","",IFERROR(AVERAGEIFS(LH_Low,LH_Key,A68,LH_Date,R68),""))</f>
        <v>200</v>
      </c>
      <c r="I68" s="3" t="n">
        <f aca="false">IF(R68="","",IFERROR(AVERAGEIFS(LH_Typ,LH_Key,A68,LH_Date,R68),IF(AND(ISNUMBER(H68),ISNUMBER(J68)),ROUND(AVERAGE(H68,J68),0),"")))</f>
        <v>200</v>
      </c>
      <c r="J68" s="3" t="n">
        <f aca="false">IF(R68="","",IFERROR(AVERAGEIFS(LH_High,LH_Key,A68,LH_Date,R68),""))</f>
        <v>200</v>
      </c>
      <c r="K68" s="13" t="n">
        <v>1</v>
      </c>
      <c r="L68" s="2" t="s">
        <v>2153</v>
      </c>
      <c r="M68" s="3" t="n">
        <f aca="false">IF(ISNUMBER(I68),I68*$K68,"")</f>
        <v>200</v>
      </c>
      <c r="N68" s="3" t="n">
        <f aca="false">IF(ISNUMBER(H68),H68*$K68,"")</f>
        <v>200</v>
      </c>
      <c r="O68" s="3" t="n">
        <f aca="false">IF(ISNUMBER(J68),J68*$K68,"")</f>
        <v>200</v>
      </c>
      <c r="P68" s="2" t="s">
        <v>2154</v>
      </c>
      <c r="Q68" s="2" t="s">
        <v>2155</v>
      </c>
      <c r="R68" s="4" t="n">
        <f aca="false">IF(COUNTIF(LH_Key,A68)=0,"",SUMPRODUCT(MAX((LH_Key=A68)*LH_Date)))</f>
        <v>46316</v>
      </c>
      <c r="S68" s="5" t="n">
        <f aca="true">IF(ISNUMBER(R68),TODAY()-R68,"")</f>
        <v>5</v>
      </c>
      <c r="T68" s="4" t="str">
        <f aca="false">IF(R68="","",IF(SUMPRODUCT(MAX((LH_Key=A68)*(LH_Date&lt;R68)*LH_Date))=0,"",SUMPRODUCT(MAX((LH_Key=A68)*(LH_Date&lt;R68)*LH_Date))))</f>
        <v/>
      </c>
      <c r="U68" s="3" t="str">
        <f aca="false">IF(T68="","",IFERROR(AVERAGEIFS(LH_Typ,LH_Key,A68,LH_Date,T68),""))</f>
        <v/>
      </c>
      <c r="V68" s="6" t="str">
        <f aca="false">IF(OR(NOT(ISNUMBER(I68)),NOT(ISNUMBER(U68))),"",I68/U68-1)</f>
        <v/>
      </c>
      <c r="W68" s="2" t="s">
        <v>1922</v>
      </c>
      <c r="X68" s="2" t="s">
        <v>27</v>
      </c>
      <c r="Y68" s="2" t="s">
        <v>2156</v>
      </c>
    </row>
    <row r="69" customFormat="false" ht="15" hidden="false" customHeight="false" outlineLevel="0" collapsed="false">
      <c r="A69" s="2" t="s">
        <v>2165</v>
      </c>
      <c r="B69" s="2" t="s">
        <v>1703</v>
      </c>
      <c r="C69" s="2" t="s">
        <v>2160</v>
      </c>
      <c r="D69" s="2" t="s">
        <v>939</v>
      </c>
      <c r="E69" s="2" t="s">
        <v>1704</v>
      </c>
      <c r="F69" s="2" t="s">
        <v>2086</v>
      </c>
      <c r="G69" s="2" t="s">
        <v>250</v>
      </c>
      <c r="H69" s="3" t="n">
        <f aca="false">IF(R69="","",IFERROR(AVERAGEIFS(LH_Low,LH_Key,A69,LH_Date,R69),""))</f>
        <v>250</v>
      </c>
      <c r="I69" s="3" t="n">
        <f aca="false">IF(R69="","",IFERROR(AVERAGEIFS(LH_Typ,LH_Key,A69,LH_Date,R69),IF(AND(ISNUMBER(H69),ISNUMBER(J69)),ROUND(AVERAGE(H69,J69),0),"")))</f>
        <v>250</v>
      </c>
      <c r="J69" s="3" t="n">
        <f aca="false">IF(R69="","",IFERROR(AVERAGEIFS(LH_High,LH_Key,A69,LH_Date,R69),""))</f>
        <v>250</v>
      </c>
      <c r="K69" s="13" t="n">
        <v>1</v>
      </c>
      <c r="L69" s="2" t="s">
        <v>2153</v>
      </c>
      <c r="M69" s="3" t="n">
        <f aca="false">IF(ISNUMBER(I69),I69*$K69,"")</f>
        <v>250</v>
      </c>
      <c r="N69" s="3" t="n">
        <f aca="false">IF(ISNUMBER(H69),H69*$K69,"")</f>
        <v>250</v>
      </c>
      <c r="O69" s="3" t="n">
        <f aca="false">IF(ISNUMBER(J69),J69*$K69,"")</f>
        <v>250</v>
      </c>
      <c r="P69" s="2" t="s">
        <v>2154</v>
      </c>
      <c r="Q69" s="2" t="s">
        <v>2155</v>
      </c>
      <c r="R69" s="4" t="n">
        <f aca="false">IF(COUNTIF(LH_Key,A69)=0,"",SUMPRODUCT(MAX((LH_Key=A69)*LH_Date)))</f>
        <v>46316</v>
      </c>
      <c r="S69" s="5" t="n">
        <f aca="true">IF(ISNUMBER(R69),TODAY()-R69,"")</f>
        <v>5</v>
      </c>
      <c r="T69" s="4" t="str">
        <f aca="false">IF(R69="","",IF(SUMPRODUCT(MAX((LH_Key=A69)*(LH_Date&lt;R69)*LH_Date))=0,"",SUMPRODUCT(MAX((LH_Key=A69)*(LH_Date&lt;R69)*LH_Date))))</f>
        <v/>
      </c>
      <c r="U69" s="3" t="str">
        <f aca="false">IF(T69="","",IFERROR(AVERAGEIFS(LH_Typ,LH_Key,A69,LH_Date,T69),""))</f>
        <v/>
      </c>
      <c r="V69" s="6" t="str">
        <f aca="false">IF(OR(NOT(ISNUMBER(I69)),NOT(ISNUMBER(U69))),"",I69/U69-1)</f>
        <v/>
      </c>
      <c r="W69" s="2" t="s">
        <v>1922</v>
      </c>
      <c r="X69" s="2" t="s">
        <v>27</v>
      </c>
      <c r="Y69" s="2" t="s">
        <v>2156</v>
      </c>
    </row>
    <row r="70" customFormat="false" ht="15" hidden="false" customHeight="false" outlineLevel="0" collapsed="false">
      <c r="A70" s="2" t="s">
        <v>2166</v>
      </c>
      <c r="B70" s="2" t="s">
        <v>1703</v>
      </c>
      <c r="C70" s="2" t="s">
        <v>2162</v>
      </c>
      <c r="D70" s="2" t="s">
        <v>939</v>
      </c>
      <c r="E70" s="2" t="s">
        <v>1704</v>
      </c>
      <c r="F70" s="2" t="s">
        <v>2086</v>
      </c>
      <c r="G70" s="2" t="s">
        <v>250</v>
      </c>
      <c r="H70" s="3" t="n">
        <f aca="false">IF(R70="","",IFERROR(AVERAGEIFS(LH_Low,LH_Key,A70,LH_Date,R70),""))</f>
        <v>250</v>
      </c>
      <c r="I70" s="3" t="n">
        <f aca="false">IF(R70="","",IFERROR(AVERAGEIFS(LH_Typ,LH_Key,A70,LH_Date,R70),IF(AND(ISNUMBER(H70),ISNUMBER(J70)),ROUND(AVERAGE(H70,J70),0),"")))</f>
        <v>250</v>
      </c>
      <c r="J70" s="3" t="n">
        <f aca="false">IF(R70="","",IFERROR(AVERAGEIFS(LH_High,LH_Key,A70,LH_Date,R70),""))</f>
        <v>250</v>
      </c>
      <c r="K70" s="13" t="n">
        <v>1</v>
      </c>
      <c r="L70" s="2" t="s">
        <v>2153</v>
      </c>
      <c r="M70" s="3" t="n">
        <f aca="false">IF(ISNUMBER(I70),I70*$K70,"")</f>
        <v>250</v>
      </c>
      <c r="N70" s="3" t="n">
        <f aca="false">IF(ISNUMBER(H70),H70*$K70,"")</f>
        <v>250</v>
      </c>
      <c r="O70" s="3" t="n">
        <f aca="false">IF(ISNUMBER(J70),J70*$K70,"")</f>
        <v>250</v>
      </c>
      <c r="P70" s="2" t="s">
        <v>2154</v>
      </c>
      <c r="Q70" s="2" t="s">
        <v>2155</v>
      </c>
      <c r="R70" s="4" t="n">
        <f aca="false">IF(COUNTIF(LH_Key,A70)=0,"",SUMPRODUCT(MAX((LH_Key=A70)*LH_Date)))</f>
        <v>46316</v>
      </c>
      <c r="S70" s="5" t="n">
        <f aca="true">IF(ISNUMBER(R70),TODAY()-R70,"")</f>
        <v>5</v>
      </c>
      <c r="T70" s="4" t="str">
        <f aca="false">IF(R70="","",IF(SUMPRODUCT(MAX((LH_Key=A70)*(LH_Date&lt;R70)*LH_Date))=0,"",SUMPRODUCT(MAX((LH_Key=A70)*(LH_Date&lt;R70)*LH_Date))))</f>
        <v/>
      </c>
      <c r="U70" s="3" t="str">
        <f aca="false">IF(T70="","",IFERROR(AVERAGEIFS(LH_Typ,LH_Key,A70,LH_Date,T70),""))</f>
        <v/>
      </c>
      <c r="V70" s="6" t="str">
        <f aca="false">IF(OR(NOT(ISNUMBER(I70)),NOT(ISNUMBER(U70))),"",I70/U70-1)</f>
        <v/>
      </c>
      <c r="W70" s="2" t="s">
        <v>1922</v>
      </c>
      <c r="X70" s="2" t="s">
        <v>27</v>
      </c>
      <c r="Y70" s="2" t="s">
        <v>2156</v>
      </c>
    </row>
    <row r="71" customFormat="false" ht="15" hidden="false" customHeight="false" outlineLevel="0" collapsed="false">
      <c r="A71" s="2" t="s">
        <v>2167</v>
      </c>
      <c r="B71" s="2" t="s">
        <v>1745</v>
      </c>
      <c r="C71" s="2" t="s">
        <v>2152</v>
      </c>
      <c r="D71" s="2" t="s">
        <v>939</v>
      </c>
      <c r="E71" s="2" t="s">
        <v>1746</v>
      </c>
      <c r="F71" s="2" t="s">
        <v>2086</v>
      </c>
      <c r="G71" s="2" t="s">
        <v>250</v>
      </c>
      <c r="H71" s="3" t="n">
        <f aca="false">IF(R71="","",IFERROR(AVERAGEIFS(LH_Low,LH_Key,A71,LH_Date,R71),""))</f>
        <v>250</v>
      </c>
      <c r="I71" s="3" t="n">
        <f aca="false">IF(R71="","",IFERROR(AVERAGEIFS(LH_Typ,LH_Key,A71,LH_Date,R71),IF(AND(ISNUMBER(H71),ISNUMBER(J71)),ROUND(AVERAGE(H71,J71),0),"")))</f>
        <v>250</v>
      </c>
      <c r="J71" s="3" t="n">
        <f aca="false">IF(R71="","",IFERROR(AVERAGEIFS(LH_High,LH_Key,A71,LH_Date,R71),""))</f>
        <v>250</v>
      </c>
      <c r="K71" s="13" t="n">
        <v>1</v>
      </c>
      <c r="L71" s="2" t="s">
        <v>2153</v>
      </c>
      <c r="M71" s="3" t="n">
        <f aca="false">IF(ISNUMBER(I71),I71*$K71,"")</f>
        <v>250</v>
      </c>
      <c r="N71" s="3" t="n">
        <f aca="false">IF(ISNUMBER(H71),H71*$K71,"")</f>
        <v>250</v>
      </c>
      <c r="O71" s="3" t="n">
        <f aca="false">IF(ISNUMBER(J71),J71*$K71,"")</f>
        <v>250</v>
      </c>
      <c r="P71" s="2" t="s">
        <v>2154</v>
      </c>
      <c r="Q71" s="2" t="s">
        <v>2155</v>
      </c>
      <c r="R71" s="4" t="n">
        <f aca="false">IF(COUNTIF(LH_Key,A71)=0,"",SUMPRODUCT(MAX((LH_Key=A71)*LH_Date)))</f>
        <v>46316</v>
      </c>
      <c r="S71" s="5" t="n">
        <f aca="true">IF(ISNUMBER(R71),TODAY()-R71,"")</f>
        <v>5</v>
      </c>
      <c r="T71" s="4" t="str">
        <f aca="false">IF(R71="","",IF(SUMPRODUCT(MAX((LH_Key=A71)*(LH_Date&lt;R71)*LH_Date))=0,"",SUMPRODUCT(MAX((LH_Key=A71)*(LH_Date&lt;R71)*LH_Date))))</f>
        <v/>
      </c>
      <c r="U71" s="3" t="str">
        <f aca="false">IF(T71="","",IFERROR(AVERAGEIFS(LH_Typ,LH_Key,A71,LH_Date,T71),""))</f>
        <v/>
      </c>
      <c r="V71" s="6" t="str">
        <f aca="false">IF(OR(NOT(ISNUMBER(I71)),NOT(ISNUMBER(U71))),"",I71/U71-1)</f>
        <v/>
      </c>
      <c r="W71" s="2" t="s">
        <v>1922</v>
      </c>
      <c r="X71" s="2" t="s">
        <v>27</v>
      </c>
      <c r="Y71" s="2" t="s">
        <v>2156</v>
      </c>
    </row>
    <row r="72" customFormat="false" ht="15" hidden="false" customHeight="false" outlineLevel="0" collapsed="false">
      <c r="A72" s="2" t="s">
        <v>2168</v>
      </c>
      <c r="B72" s="2" t="s">
        <v>1745</v>
      </c>
      <c r="C72" s="2" t="s">
        <v>2158</v>
      </c>
      <c r="D72" s="2" t="s">
        <v>939</v>
      </c>
      <c r="E72" s="2" t="s">
        <v>1746</v>
      </c>
      <c r="F72" s="2" t="s">
        <v>2086</v>
      </c>
      <c r="G72" s="2" t="s">
        <v>250</v>
      </c>
      <c r="H72" s="3" t="n">
        <f aca="false">IF(R72="","",IFERROR(AVERAGEIFS(LH_Low,LH_Key,A72,LH_Date,R72),""))</f>
        <v>200</v>
      </c>
      <c r="I72" s="3" t="n">
        <f aca="false">IF(R72="","",IFERROR(AVERAGEIFS(LH_Typ,LH_Key,A72,LH_Date,R72),IF(AND(ISNUMBER(H72),ISNUMBER(J72)),ROUND(AVERAGE(H72,J72),0),"")))</f>
        <v>200</v>
      </c>
      <c r="J72" s="3" t="n">
        <f aca="false">IF(R72="","",IFERROR(AVERAGEIFS(LH_High,LH_Key,A72,LH_Date,R72),""))</f>
        <v>200</v>
      </c>
      <c r="K72" s="13" t="n">
        <v>1</v>
      </c>
      <c r="L72" s="2" t="s">
        <v>2153</v>
      </c>
      <c r="M72" s="3" t="n">
        <f aca="false">IF(ISNUMBER(I72),I72*$K72,"")</f>
        <v>200</v>
      </c>
      <c r="N72" s="3" t="n">
        <f aca="false">IF(ISNUMBER(H72),H72*$K72,"")</f>
        <v>200</v>
      </c>
      <c r="O72" s="3" t="n">
        <f aca="false">IF(ISNUMBER(J72),J72*$K72,"")</f>
        <v>200</v>
      </c>
      <c r="P72" s="2" t="s">
        <v>2154</v>
      </c>
      <c r="Q72" s="2" t="s">
        <v>2155</v>
      </c>
      <c r="R72" s="4" t="n">
        <f aca="false">IF(COUNTIF(LH_Key,A72)=0,"",SUMPRODUCT(MAX((LH_Key=A72)*LH_Date)))</f>
        <v>46316</v>
      </c>
      <c r="S72" s="5" t="n">
        <f aca="true">IF(ISNUMBER(R72),TODAY()-R72,"")</f>
        <v>5</v>
      </c>
      <c r="T72" s="4" t="str">
        <f aca="false">IF(R72="","",IF(SUMPRODUCT(MAX((LH_Key=A72)*(LH_Date&lt;R72)*LH_Date))=0,"",SUMPRODUCT(MAX((LH_Key=A72)*(LH_Date&lt;R72)*LH_Date))))</f>
        <v/>
      </c>
      <c r="U72" s="3" t="str">
        <f aca="false">IF(T72="","",IFERROR(AVERAGEIFS(LH_Typ,LH_Key,A72,LH_Date,T72),""))</f>
        <v/>
      </c>
      <c r="V72" s="6" t="str">
        <f aca="false">IF(OR(NOT(ISNUMBER(I72)),NOT(ISNUMBER(U72))),"",I72/U72-1)</f>
        <v/>
      </c>
      <c r="W72" s="2" t="s">
        <v>1922</v>
      </c>
      <c r="X72" s="2" t="s">
        <v>27</v>
      </c>
      <c r="Y72" s="2" t="s">
        <v>2156</v>
      </c>
    </row>
    <row r="73" customFormat="false" ht="15" hidden="false" customHeight="false" outlineLevel="0" collapsed="false">
      <c r="A73" s="2" t="s">
        <v>2169</v>
      </c>
      <c r="B73" s="2" t="s">
        <v>1745</v>
      </c>
      <c r="C73" s="2" t="s">
        <v>2160</v>
      </c>
      <c r="D73" s="2" t="s">
        <v>939</v>
      </c>
      <c r="E73" s="2" t="s">
        <v>1746</v>
      </c>
      <c r="F73" s="2" t="s">
        <v>2086</v>
      </c>
      <c r="G73" s="2" t="s">
        <v>250</v>
      </c>
      <c r="H73" s="3" t="n">
        <f aca="false">IF(R73="","",IFERROR(AVERAGEIFS(LH_Low,LH_Key,A73,LH_Date,R73),""))</f>
        <v>250</v>
      </c>
      <c r="I73" s="3" t="n">
        <f aca="false">IF(R73="","",IFERROR(AVERAGEIFS(LH_Typ,LH_Key,A73,LH_Date,R73),IF(AND(ISNUMBER(H73),ISNUMBER(J73)),ROUND(AVERAGE(H73,J73),0),"")))</f>
        <v>250</v>
      </c>
      <c r="J73" s="3" t="n">
        <f aca="false">IF(R73="","",IFERROR(AVERAGEIFS(LH_High,LH_Key,A73,LH_Date,R73),""))</f>
        <v>250</v>
      </c>
      <c r="K73" s="13" t="n">
        <v>1</v>
      </c>
      <c r="L73" s="2" t="s">
        <v>2153</v>
      </c>
      <c r="M73" s="3" t="n">
        <f aca="false">IF(ISNUMBER(I73),I73*$K73,"")</f>
        <v>250</v>
      </c>
      <c r="N73" s="3" t="n">
        <f aca="false">IF(ISNUMBER(H73),H73*$K73,"")</f>
        <v>250</v>
      </c>
      <c r="O73" s="3" t="n">
        <f aca="false">IF(ISNUMBER(J73),J73*$K73,"")</f>
        <v>250</v>
      </c>
      <c r="P73" s="2" t="s">
        <v>2154</v>
      </c>
      <c r="Q73" s="2" t="s">
        <v>2155</v>
      </c>
      <c r="R73" s="4" t="n">
        <f aca="false">IF(COUNTIF(LH_Key,A73)=0,"",SUMPRODUCT(MAX((LH_Key=A73)*LH_Date)))</f>
        <v>46316</v>
      </c>
      <c r="S73" s="5" t="n">
        <f aca="true">IF(ISNUMBER(R73),TODAY()-R73,"")</f>
        <v>5</v>
      </c>
      <c r="T73" s="4" t="str">
        <f aca="false">IF(R73="","",IF(SUMPRODUCT(MAX((LH_Key=A73)*(LH_Date&lt;R73)*LH_Date))=0,"",SUMPRODUCT(MAX((LH_Key=A73)*(LH_Date&lt;R73)*LH_Date))))</f>
        <v/>
      </c>
      <c r="U73" s="3" t="str">
        <f aca="false">IF(T73="","",IFERROR(AVERAGEIFS(LH_Typ,LH_Key,A73,LH_Date,T73),""))</f>
        <v/>
      </c>
      <c r="V73" s="6" t="str">
        <f aca="false">IF(OR(NOT(ISNUMBER(I73)),NOT(ISNUMBER(U73))),"",I73/U73-1)</f>
        <v/>
      </c>
      <c r="W73" s="2" t="s">
        <v>1922</v>
      </c>
      <c r="X73" s="2" t="s">
        <v>27</v>
      </c>
      <c r="Y73" s="2" t="s">
        <v>2156</v>
      </c>
    </row>
    <row r="74" customFormat="false" ht="15" hidden="false" customHeight="false" outlineLevel="0" collapsed="false">
      <c r="A74" s="2" t="s">
        <v>2170</v>
      </c>
      <c r="B74" s="2" t="s">
        <v>1745</v>
      </c>
      <c r="C74" s="2" t="s">
        <v>2162</v>
      </c>
      <c r="D74" s="2" t="s">
        <v>939</v>
      </c>
      <c r="E74" s="2" t="s">
        <v>1746</v>
      </c>
      <c r="F74" s="2" t="s">
        <v>2086</v>
      </c>
      <c r="G74" s="2" t="s">
        <v>250</v>
      </c>
      <c r="H74" s="3" t="n">
        <f aca="false">IF(R74="","",IFERROR(AVERAGEIFS(LH_Low,LH_Key,A74,LH_Date,R74),""))</f>
        <v>250</v>
      </c>
      <c r="I74" s="3" t="n">
        <f aca="false">IF(R74="","",IFERROR(AVERAGEIFS(LH_Typ,LH_Key,A74,LH_Date,R74),IF(AND(ISNUMBER(H74),ISNUMBER(J74)),ROUND(AVERAGE(H74,J74),0),"")))</f>
        <v>250</v>
      </c>
      <c r="J74" s="3" t="n">
        <f aca="false">IF(R74="","",IFERROR(AVERAGEIFS(LH_High,LH_Key,A74,LH_Date,R74),""))</f>
        <v>250</v>
      </c>
      <c r="K74" s="13" t="n">
        <v>1</v>
      </c>
      <c r="L74" s="2" t="s">
        <v>2153</v>
      </c>
      <c r="M74" s="3" t="n">
        <f aca="false">IF(ISNUMBER(I74),I74*$K74,"")</f>
        <v>250</v>
      </c>
      <c r="N74" s="3" t="n">
        <f aca="false">IF(ISNUMBER(H74),H74*$K74,"")</f>
        <v>250</v>
      </c>
      <c r="O74" s="3" t="n">
        <f aca="false">IF(ISNUMBER(J74),J74*$K74,"")</f>
        <v>250</v>
      </c>
      <c r="P74" s="2" t="s">
        <v>2154</v>
      </c>
      <c r="Q74" s="2" t="s">
        <v>2155</v>
      </c>
      <c r="R74" s="4" t="n">
        <f aca="false">IF(COUNTIF(LH_Key,A74)=0,"",SUMPRODUCT(MAX((LH_Key=A74)*LH_Date)))</f>
        <v>46316</v>
      </c>
      <c r="S74" s="5" t="n">
        <f aca="true">IF(ISNUMBER(R74),TODAY()-R74,"")</f>
        <v>5</v>
      </c>
      <c r="T74" s="4" t="str">
        <f aca="false">IF(R74="","",IF(SUMPRODUCT(MAX((LH_Key=A74)*(LH_Date&lt;R74)*LH_Date))=0,"",SUMPRODUCT(MAX((LH_Key=A74)*(LH_Date&lt;R74)*LH_Date))))</f>
        <v/>
      </c>
      <c r="U74" s="3" t="str">
        <f aca="false">IF(T74="","",IFERROR(AVERAGEIFS(LH_Typ,LH_Key,A74,LH_Date,T74),""))</f>
        <v/>
      </c>
      <c r="V74" s="6" t="str">
        <f aca="false">IF(OR(NOT(ISNUMBER(I74)),NOT(ISNUMBER(U74))),"",I74/U74-1)</f>
        <v/>
      </c>
      <c r="W74" s="2" t="s">
        <v>1922</v>
      </c>
      <c r="X74" s="2" t="s">
        <v>27</v>
      </c>
      <c r="Y74" s="2" t="s">
        <v>2156</v>
      </c>
    </row>
    <row r="75" customFormat="false" ht="15" hidden="false" customHeight="false" outlineLevel="0" collapsed="false">
      <c r="A75" s="2" t="s">
        <v>2171</v>
      </c>
      <c r="B75" s="2" t="s">
        <v>1810</v>
      </c>
      <c r="C75" s="2" t="s">
        <v>2162</v>
      </c>
      <c r="D75" s="2" t="s">
        <v>939</v>
      </c>
      <c r="E75" s="2" t="s">
        <v>1811</v>
      </c>
      <c r="F75" s="2" t="s">
        <v>2086</v>
      </c>
      <c r="G75" s="2" t="s">
        <v>250</v>
      </c>
      <c r="H75" s="3" t="n">
        <f aca="false">IF(R75="","",IFERROR(AVERAGEIFS(LH_Low,LH_Key,A75,LH_Date,R75),""))</f>
        <v>250</v>
      </c>
      <c r="I75" s="3" t="n">
        <f aca="false">IF(R75="","",IFERROR(AVERAGEIFS(LH_Typ,LH_Key,A75,LH_Date,R75),IF(AND(ISNUMBER(H75),ISNUMBER(J75)),ROUND(AVERAGE(H75,J75),0),"")))</f>
        <v>250</v>
      </c>
      <c r="J75" s="3" t="n">
        <f aca="false">IF(R75="","",IFERROR(AVERAGEIFS(LH_High,LH_Key,A75,LH_Date,R75),""))</f>
        <v>250</v>
      </c>
      <c r="K75" s="13" t="n">
        <v>1</v>
      </c>
      <c r="L75" s="2" t="s">
        <v>2153</v>
      </c>
      <c r="M75" s="3" t="n">
        <f aca="false">IF(ISNUMBER(I75),I75*$K75,"")</f>
        <v>250</v>
      </c>
      <c r="N75" s="3" t="n">
        <f aca="false">IF(ISNUMBER(H75),H75*$K75,"")</f>
        <v>250</v>
      </c>
      <c r="O75" s="3" t="n">
        <f aca="false">IF(ISNUMBER(J75),J75*$K75,"")</f>
        <v>250</v>
      </c>
      <c r="P75" s="2" t="s">
        <v>2154</v>
      </c>
      <c r="Q75" s="2" t="s">
        <v>2155</v>
      </c>
      <c r="R75" s="4" t="n">
        <f aca="false">IF(COUNTIF(LH_Key,A75)=0,"",SUMPRODUCT(MAX((LH_Key=A75)*LH_Date)))</f>
        <v>46316</v>
      </c>
      <c r="S75" s="5" t="n">
        <f aca="true">IF(ISNUMBER(R75),TODAY()-R75,"")</f>
        <v>5</v>
      </c>
      <c r="T75" s="4" t="str">
        <f aca="false">IF(R75="","",IF(SUMPRODUCT(MAX((LH_Key=A75)*(LH_Date&lt;R75)*LH_Date))=0,"",SUMPRODUCT(MAX((LH_Key=A75)*(LH_Date&lt;R75)*LH_Date))))</f>
        <v/>
      </c>
      <c r="U75" s="3" t="str">
        <f aca="false">IF(T75="","",IFERROR(AVERAGEIFS(LH_Typ,LH_Key,A75,LH_Date,T75),""))</f>
        <v/>
      </c>
      <c r="V75" s="6" t="str">
        <f aca="false">IF(OR(NOT(ISNUMBER(I75)),NOT(ISNUMBER(U75))),"",I75/U75-1)</f>
        <v/>
      </c>
      <c r="W75" s="2" t="s">
        <v>1922</v>
      </c>
      <c r="X75" s="2" t="s">
        <v>27</v>
      </c>
      <c r="Y75" s="2" t="s">
        <v>2156</v>
      </c>
    </row>
    <row r="76" customFormat="false" ht="15" hidden="false" customHeight="false" outlineLevel="0" collapsed="false">
      <c r="A76" s="2" t="s">
        <v>2172</v>
      </c>
      <c r="B76" s="2" t="s">
        <v>1819</v>
      </c>
      <c r="C76" s="2" t="s">
        <v>2162</v>
      </c>
      <c r="D76" s="2" t="s">
        <v>939</v>
      </c>
      <c r="E76" s="2" t="s">
        <v>1820</v>
      </c>
      <c r="F76" s="2" t="s">
        <v>2086</v>
      </c>
      <c r="G76" s="2" t="s">
        <v>250</v>
      </c>
      <c r="H76" s="3" t="n">
        <f aca="false">IF(R76="","",IFERROR(AVERAGEIFS(LH_Low,LH_Key,A76,LH_Date,R76),""))</f>
        <v>250</v>
      </c>
      <c r="I76" s="3" t="n">
        <f aca="false">IF(R76="","",IFERROR(AVERAGEIFS(LH_Typ,LH_Key,A76,LH_Date,R76),IF(AND(ISNUMBER(H76),ISNUMBER(J76)),ROUND(AVERAGE(H76,J76),0),"")))</f>
        <v>250</v>
      </c>
      <c r="J76" s="3" t="n">
        <f aca="false">IF(R76="","",IFERROR(AVERAGEIFS(LH_High,LH_Key,A76,LH_Date,R76),""))</f>
        <v>250</v>
      </c>
      <c r="K76" s="13" t="n">
        <v>1</v>
      </c>
      <c r="L76" s="2" t="s">
        <v>2153</v>
      </c>
      <c r="M76" s="3" t="n">
        <f aca="false">IF(ISNUMBER(I76),I76*$K76,"")</f>
        <v>250</v>
      </c>
      <c r="N76" s="3" t="n">
        <f aca="false">IF(ISNUMBER(H76),H76*$K76,"")</f>
        <v>250</v>
      </c>
      <c r="O76" s="3" t="n">
        <f aca="false">IF(ISNUMBER(J76),J76*$K76,"")</f>
        <v>250</v>
      </c>
      <c r="P76" s="2" t="s">
        <v>2154</v>
      </c>
      <c r="Q76" s="2" t="s">
        <v>2155</v>
      </c>
      <c r="R76" s="4" t="n">
        <f aca="false">IF(COUNTIF(LH_Key,A76)=0,"",SUMPRODUCT(MAX((LH_Key=A76)*LH_Date)))</f>
        <v>46316</v>
      </c>
      <c r="S76" s="5" t="n">
        <f aca="true">IF(ISNUMBER(R76),TODAY()-R76,"")</f>
        <v>5</v>
      </c>
      <c r="T76" s="4" t="str">
        <f aca="false">IF(R76="","",IF(SUMPRODUCT(MAX((LH_Key=A76)*(LH_Date&lt;R76)*LH_Date))=0,"",SUMPRODUCT(MAX((LH_Key=A76)*(LH_Date&lt;R76)*LH_Date))))</f>
        <v/>
      </c>
      <c r="U76" s="3" t="str">
        <f aca="false">IF(T76="","",IFERROR(AVERAGEIFS(LH_Typ,LH_Key,A76,LH_Date,T76),""))</f>
        <v/>
      </c>
      <c r="V76" s="6" t="str">
        <f aca="false">IF(OR(NOT(ISNUMBER(I76)),NOT(ISNUMBER(U76))),"",I76/U76-1)</f>
        <v/>
      </c>
      <c r="W76" s="2" t="s">
        <v>1922</v>
      </c>
      <c r="X76" s="2" t="s">
        <v>27</v>
      </c>
      <c r="Y76" s="2" t="s">
        <v>2156</v>
      </c>
    </row>
    <row r="77" customFormat="false" ht="15" hidden="false" customHeight="false" outlineLevel="0" collapsed="false">
      <c r="A77" s="2" t="s">
        <v>2173</v>
      </c>
      <c r="B77" s="2" t="s">
        <v>1819</v>
      </c>
      <c r="C77" s="2" t="s">
        <v>1917</v>
      </c>
      <c r="D77" s="2" t="s">
        <v>939</v>
      </c>
      <c r="E77" s="2" t="s">
        <v>1820</v>
      </c>
      <c r="F77" s="2" t="s">
        <v>2086</v>
      </c>
      <c r="G77" s="2" t="s">
        <v>1919</v>
      </c>
      <c r="H77" s="3" t="n">
        <f aca="false">IF(R77="","",IFERROR(AVERAGEIFS(LH_Low,LH_Key,A77,LH_Date,R77),""))</f>
        <v>20</v>
      </c>
      <c r="I77" s="3" t="n">
        <f aca="false">IF(R77="","",IFERROR(AVERAGEIFS(LH_Typ,LH_Key,A77,LH_Date,R77),IF(AND(ISNUMBER(H77),ISNUMBER(J77)),ROUND(AVERAGE(H77,J77),0),"")))</f>
        <v>40</v>
      </c>
      <c r="J77" s="3" t="n">
        <f aca="false">IF(R77="","",IFERROR(AVERAGEIFS(LH_High,LH_Key,A77,LH_Date,R77),""))</f>
        <v>60</v>
      </c>
      <c r="K77" s="13" t="n">
        <v>20</v>
      </c>
      <c r="L77" s="2" t="s">
        <v>2174</v>
      </c>
      <c r="M77" s="3" t="n">
        <f aca="false">IF(ISNUMBER(I77),I77*$K77,"")</f>
        <v>800</v>
      </c>
      <c r="N77" s="3" t="n">
        <f aca="false">IF(ISNUMBER(H77),H77*$K77,"")</f>
        <v>400</v>
      </c>
      <c r="O77" s="3" t="n">
        <f aca="false">IF(ISNUMBER(J77),J77*$K77,"")</f>
        <v>1200</v>
      </c>
      <c r="P77" s="2" t="s">
        <v>2175</v>
      </c>
      <c r="Q77" s="2" t="s">
        <v>2137</v>
      </c>
      <c r="R77" s="4" t="n">
        <f aca="false">IF(COUNTIF(LH_Key,A77)=0,"",SUMPRODUCT(MAX((LH_Key=A77)*LH_Date)))</f>
        <v>46316</v>
      </c>
      <c r="S77" s="5" t="n">
        <f aca="true">IF(ISNUMBER(R77),TODAY()-R77,"")</f>
        <v>5</v>
      </c>
      <c r="T77" s="4" t="str">
        <f aca="false">IF(R77="","",IF(SUMPRODUCT(MAX((LH_Key=A77)*(LH_Date&lt;R77)*LH_Date))=0,"",SUMPRODUCT(MAX((LH_Key=A77)*(LH_Date&lt;R77)*LH_Date))))</f>
        <v/>
      </c>
      <c r="U77" s="3" t="str">
        <f aca="false">IF(T77="","",IFERROR(AVERAGEIFS(LH_Typ,LH_Key,A77,LH_Date,T77),""))</f>
        <v/>
      </c>
      <c r="V77" s="6" t="str">
        <f aca="false">IF(OR(NOT(ISNUMBER(I77)),NOT(ISNUMBER(U77))),"",I77/U77-1)</f>
        <v/>
      </c>
      <c r="W77" s="2" t="s">
        <v>1922</v>
      </c>
      <c r="X77" s="2" t="s">
        <v>27</v>
      </c>
      <c r="Y77" s="2" t="s">
        <v>2176</v>
      </c>
    </row>
    <row r="78" customFormat="false" ht="15" hidden="false" customHeight="false" outlineLevel="0" collapsed="false">
      <c r="A78" s="2" t="s">
        <v>2177</v>
      </c>
      <c r="B78" s="2" t="s">
        <v>1827</v>
      </c>
      <c r="C78" s="2" t="s">
        <v>1917</v>
      </c>
      <c r="D78" s="2" t="s">
        <v>939</v>
      </c>
      <c r="E78" s="2" t="s">
        <v>1828</v>
      </c>
      <c r="F78" s="2" t="s">
        <v>2086</v>
      </c>
      <c r="G78" s="2" t="s">
        <v>1919</v>
      </c>
      <c r="H78" s="3" t="n">
        <f aca="false">IF(R78="","",IFERROR(AVERAGEIFS(LH_Low,LH_Key,A78,LH_Date,R78),""))</f>
        <v>40</v>
      </c>
      <c r="I78" s="3" t="n">
        <f aca="false">IF(R78="","",IFERROR(AVERAGEIFS(LH_Typ,LH_Key,A78,LH_Date,R78),IF(AND(ISNUMBER(H78),ISNUMBER(J78)),ROUND(AVERAGE(H78,J78),0),"")))</f>
        <v>55</v>
      </c>
      <c r="J78" s="3" t="n">
        <f aca="false">IF(R78="","",IFERROR(AVERAGEIFS(LH_High,LH_Key,A78,LH_Date,R78),""))</f>
        <v>70</v>
      </c>
      <c r="K78" s="13" t="n">
        <v>20</v>
      </c>
      <c r="L78" s="2" t="s">
        <v>2178</v>
      </c>
      <c r="M78" s="3" t="n">
        <f aca="false">IF(ISNUMBER(I78),I78*$K78,"")</f>
        <v>1100</v>
      </c>
      <c r="N78" s="3" t="n">
        <f aca="false">IF(ISNUMBER(H78),H78*$K78,"")</f>
        <v>800</v>
      </c>
      <c r="O78" s="3" t="n">
        <f aca="false">IF(ISNUMBER(J78),J78*$K78,"")</f>
        <v>1400</v>
      </c>
      <c r="P78" s="2" t="s">
        <v>2179</v>
      </c>
      <c r="Q78" s="2" t="s">
        <v>2180</v>
      </c>
      <c r="R78" s="4" t="n">
        <f aca="false">IF(COUNTIF(LH_Key,A78)=0,"",SUMPRODUCT(MAX((LH_Key=A78)*LH_Date)))</f>
        <v>46316</v>
      </c>
      <c r="S78" s="5" t="n">
        <f aca="true">IF(ISNUMBER(R78),TODAY()-R78,"")</f>
        <v>5</v>
      </c>
      <c r="T78" s="4" t="str">
        <f aca="false">IF(R78="","",IF(SUMPRODUCT(MAX((LH_Key=A78)*(LH_Date&lt;R78)*LH_Date))=0,"",SUMPRODUCT(MAX((LH_Key=A78)*(LH_Date&lt;R78)*LH_Date))))</f>
        <v/>
      </c>
      <c r="U78" s="3" t="str">
        <f aca="false">IF(T78="","",IFERROR(AVERAGEIFS(LH_Typ,LH_Key,A78,LH_Date,T78),""))</f>
        <v/>
      </c>
      <c r="V78" s="6" t="str">
        <f aca="false">IF(OR(NOT(ISNUMBER(I78)),NOT(ISNUMBER(U78))),"",I78/U78-1)</f>
        <v/>
      </c>
      <c r="W78" s="2" t="s">
        <v>1922</v>
      </c>
      <c r="X78" s="2" t="s">
        <v>27</v>
      </c>
      <c r="Y78" s="2" t="s">
        <v>2181</v>
      </c>
    </row>
  </sheetData>
  <autoFilter ref="A1:Y78"/>
  <conditionalFormatting sqref="V2:V78">
    <cfRule type="expression" priority="2" aboveAverage="0" equalAverage="0" bottom="0" percent="0" rank="0" text="" dxfId="7">
      <formula>AND(ISNUMBER($V2),$V2&gt;0.05)</formula>
    </cfRule>
    <cfRule type="expression" priority="3" aboveAverage="0" equalAverage="0" bottom="0" percent="0" rank="0" text="" dxfId="8">
      <formula>AND(ISNUMBER($V2),$V2&lt;-0.05)</formula>
    </cfRule>
  </conditionalFormatting>
  <conditionalFormatting sqref="R2:S78">
    <cfRule type="expression" priority="4" aboveAverage="0" equalAverage="0" bottom="0" percent="0" rank="0" text="" dxfId="9">
      <formula>AND(ISNUMBER($R2),$R2&lt;TODAY()-7)</formula>
    </cfRule>
  </conditionalFormatting>
  <conditionalFormatting sqref="A2:Y78">
    <cfRule type="expression" priority="5" aboveAverage="0" equalAverage="0" bottom="0" percent="0" rank="0" text="" dxfId="10">
      <formula>$X2&lt;&gt;"none"</formula>
    </cfRule>
  </conditionalFormatting>
  <dataValidations count="1">
    <dataValidation allowBlank="true" errorStyle="stop" operator="between" showDropDown="false" showErrorMessage="false" showInputMessage="false" sqref="G2:G78" type="list">
      <formula1>"per job,per m²,per point,per tonnage,per seat"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9"/>
    <col collapsed="false" customWidth="true" hidden="false" outlineLevel="0" max="4" min="4" style="0" width="40"/>
    <col collapsed="false" customWidth="true" hidden="false" outlineLevel="0" max="5" min="5" style="0" width="24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3"/>
    <col collapsed="false" customWidth="true" hidden="false" outlineLevel="0" max="10" min="10" style="0" width="14"/>
    <col collapsed="false" customWidth="true" hidden="false" outlineLevel="0" max="11" min="11" style="0" width="16"/>
    <col collapsed="false" customWidth="true" hidden="false" outlineLevel="0" max="12" min="12" style="0" width="12"/>
    <col collapsed="false" customWidth="true" hidden="false" outlineLevel="0" max="13" min="13" style="0" width="13"/>
    <col collapsed="false" customWidth="true" hidden="false" outlineLevel="0" max="14" min="14" style="0" width="16"/>
    <col collapsed="false" customWidth="true" hidden="false" outlineLevel="0" max="16" min="16" style="0" width="26"/>
  </cols>
  <sheetData>
    <row r="1" customFormat="false" ht="15" hidden="false" customHeight="false" outlineLevel="0" collapsed="false">
      <c r="A1" s="0" t="s">
        <v>2182</v>
      </c>
      <c r="P1" s="0" t="s">
        <v>2183</v>
      </c>
      <c r="Q1" s="0" t="n">
        <f aca="false">COUNTIF(MW_Check,"BELOW FLOOR")</f>
        <v>2</v>
      </c>
    </row>
    <row r="2" customFormat="false" ht="28.35" hidden="false" customHeight="false" outlineLevel="0" collapsed="false">
      <c r="A2" s="1" t="s">
        <v>1900</v>
      </c>
      <c r="B2" s="1" t="s">
        <v>2184</v>
      </c>
      <c r="C2" s="1" t="s">
        <v>2185</v>
      </c>
      <c r="P2" s="0" t="s">
        <v>2186</v>
      </c>
      <c r="Q2" s="0" t="n">
        <f aca="false">COUNTIF(MW_Check,"NO LABOR DATA")</f>
        <v>0</v>
      </c>
    </row>
    <row r="3" customFormat="false" ht="15" hidden="false" customHeight="false" outlineLevel="0" collapsed="false">
      <c r="A3" s="0" t="s">
        <v>1918</v>
      </c>
      <c r="B3" s="14" t="n">
        <v>349.22</v>
      </c>
      <c r="C3" s="0" t="s">
        <v>2187</v>
      </c>
    </row>
    <row r="4" customFormat="false" ht="15" hidden="false" customHeight="false" outlineLevel="0" collapsed="false">
      <c r="A4" s="0" t="s">
        <v>1949</v>
      </c>
      <c r="B4" s="14" t="n">
        <v>349.84</v>
      </c>
      <c r="C4" s="0" t="s">
        <v>2188</v>
      </c>
    </row>
    <row r="5" customFormat="false" ht="15" hidden="false" customHeight="false" outlineLevel="0" collapsed="false">
      <c r="A5" s="0" t="s">
        <v>1966</v>
      </c>
      <c r="B5" s="14" t="n">
        <v>356.19</v>
      </c>
      <c r="C5" s="0" t="s">
        <v>2189</v>
      </c>
    </row>
    <row r="6" customFormat="false" ht="15" hidden="false" customHeight="false" outlineLevel="0" collapsed="false">
      <c r="A6" s="0" t="s">
        <v>2010</v>
      </c>
      <c r="B6" s="14" t="n">
        <v>356.19</v>
      </c>
      <c r="C6" s="0" t="s">
        <v>2190</v>
      </c>
    </row>
    <row r="7" customFormat="false" ht="15" hidden="false" customHeight="false" outlineLevel="0" collapsed="false">
      <c r="A7" s="0" t="s">
        <v>2021</v>
      </c>
      <c r="B7" s="14" t="n">
        <v>363.44</v>
      </c>
      <c r="C7" s="0" t="s">
        <v>2191</v>
      </c>
    </row>
    <row r="8" customFormat="false" ht="15" hidden="false" customHeight="false" outlineLevel="0" collapsed="false">
      <c r="A8" s="0" t="s">
        <v>2018</v>
      </c>
      <c r="B8" s="14" t="n">
        <v>363.44</v>
      </c>
      <c r="C8" s="0" t="s">
        <v>2192</v>
      </c>
    </row>
    <row r="9" customFormat="false" ht="15" hidden="false" customHeight="false" outlineLevel="0" collapsed="false">
      <c r="A9" s="0" t="s">
        <v>1925</v>
      </c>
      <c r="B9" s="14" t="n">
        <v>345.36</v>
      </c>
      <c r="C9" s="0" t="s">
        <v>2193</v>
      </c>
    </row>
    <row r="10" customFormat="false" ht="15" hidden="false" customHeight="false" outlineLevel="0" collapsed="false">
      <c r="A10" s="0" t="s">
        <v>1982</v>
      </c>
      <c r="B10" s="14" t="n">
        <v>315.04</v>
      </c>
      <c r="C10" s="0" t="s">
        <v>2194</v>
      </c>
    </row>
    <row r="11" customFormat="false" ht="15" hidden="false" customHeight="false" outlineLevel="0" collapsed="false">
      <c r="A11" s="0" t="s">
        <v>2086</v>
      </c>
      <c r="B11" s="14" t="n">
        <v>342.47</v>
      </c>
      <c r="C11" s="0" t="s">
        <v>2195</v>
      </c>
    </row>
    <row r="12" customFormat="false" ht="15" hidden="false" customHeight="false" outlineLevel="0" collapsed="false">
      <c r="A12" s="0" t="s">
        <v>2196</v>
      </c>
    </row>
    <row r="13" customFormat="false" ht="41.75" hidden="false" customHeight="false" outlineLevel="0" collapsed="false">
      <c r="A13" s="1" t="s">
        <v>1884</v>
      </c>
      <c r="B13" s="1" t="s">
        <v>1026</v>
      </c>
      <c r="C13" s="1" t="s">
        <v>1899</v>
      </c>
      <c r="D13" s="1" t="s">
        <v>1027</v>
      </c>
      <c r="E13" s="1" t="s">
        <v>1900</v>
      </c>
      <c r="F13" s="1" t="s">
        <v>2184</v>
      </c>
      <c r="G13" s="1" t="s">
        <v>2197</v>
      </c>
      <c r="H13" s="1" t="s">
        <v>2198</v>
      </c>
      <c r="I13" s="1" t="s">
        <v>2199</v>
      </c>
      <c r="J13" s="1" t="s">
        <v>1885</v>
      </c>
      <c r="K13" s="1" t="s">
        <v>2200</v>
      </c>
      <c r="L13" s="1" t="s">
        <v>2201</v>
      </c>
      <c r="M13" s="1" t="s">
        <v>2202</v>
      </c>
      <c r="N13" s="1" t="s">
        <v>2203</v>
      </c>
    </row>
    <row r="14" customFormat="false" ht="15" hidden="false" customHeight="false" outlineLevel="0" collapsed="false">
      <c r="A14" s="2" t="s">
        <v>1916</v>
      </c>
      <c r="B14" s="2" t="s">
        <v>1040</v>
      </c>
      <c r="C14" s="2" t="s">
        <v>1917</v>
      </c>
      <c r="D14" s="2" t="s">
        <v>1041</v>
      </c>
      <c r="E14" s="2" t="str">
        <f aca="false">INDEX(LR_Trade,MATCH(A14,LR_Key,0))</f>
        <v>Painter</v>
      </c>
      <c r="F14" s="3" t="n">
        <f aca="false">INDEX(MW_Daily,MATCH(E14,MW_Trade,0))</f>
        <v>349.22</v>
      </c>
      <c r="G14" s="15" t="n">
        <v>2</v>
      </c>
      <c r="H14" s="2" t="n">
        <f aca="false">ROUNDUP(G14,0)</f>
        <v>2</v>
      </c>
      <c r="I14" s="3" t="n">
        <f aca="false">F14*H14</f>
        <v>698.44</v>
      </c>
      <c r="J14" s="3" t="n">
        <f aca="false">INDEX(LR_TypLabor,MATCH(A14,LR_Key,0))</f>
        <v>4085</v>
      </c>
      <c r="K14" s="0" t="str">
        <f aca="false">IF(NOT(ISNUMBER(J14)),"NO LABOR DATA",IF(J14&lt;I14,"BELOW FLOOR","OK"))</f>
        <v>OK</v>
      </c>
      <c r="L14" s="9" t="n">
        <f aca="false">IF(ISNUMBER(J14),J14-I14,"")</f>
        <v>3386.56</v>
      </c>
      <c r="M14" s="3" t="n">
        <f aca="false">INDEX(LR_LowLabor,MATCH(A14,LR_Key,0))</f>
        <v>3440</v>
      </c>
      <c r="N14" s="0" t="str">
        <f aca="false">IF(NOT(ISNUMBER(M14)),"",IF(M14&lt;I14,"low below floor","ok"))</f>
        <v>ok</v>
      </c>
    </row>
    <row r="15" customFormat="false" ht="15" hidden="false" customHeight="false" outlineLevel="0" collapsed="false">
      <c r="A15" s="2" t="s">
        <v>1924</v>
      </c>
      <c r="B15" s="2" t="s">
        <v>1053</v>
      </c>
      <c r="C15" s="2" t="s">
        <v>1055</v>
      </c>
      <c r="D15" s="2" t="s">
        <v>1054</v>
      </c>
      <c r="E15" s="2" t="str">
        <f aca="false">INDEX(LR_Trade,MATCH(A15,LR_Key,0))</f>
        <v>Home appliance repairer</v>
      </c>
      <c r="F15" s="3" t="n">
        <f aca="false">INDEX(MW_Daily,MATCH(E15,MW_Trade,0))</f>
        <v>345.36</v>
      </c>
      <c r="G15" s="15" t="n">
        <v>0.5</v>
      </c>
      <c r="H15" s="2" t="n">
        <f aca="false">ROUNDUP(G15,0)</f>
        <v>1</v>
      </c>
      <c r="I15" s="3" t="n">
        <f aca="false">F15*H15</f>
        <v>345.36</v>
      </c>
      <c r="J15" s="3" t="n">
        <f aca="false">INDEX(LR_TypLabor,MATCH(A15,LR_Key,0))</f>
        <v>1500</v>
      </c>
      <c r="K15" s="0" t="str">
        <f aca="false">IF(NOT(ISNUMBER(J15)),"NO LABOR DATA",IF(J15&lt;I15,"BELOW FLOOR","OK"))</f>
        <v>OK</v>
      </c>
      <c r="L15" s="9" t="n">
        <f aca="false">IF(ISNUMBER(J15),J15-I15,"")</f>
        <v>1154.64</v>
      </c>
      <c r="M15" s="3" t="str">
        <f aca="false">INDEX(LR_LowLabor,MATCH(A15,LR_Key,0))</f>
        <v/>
      </c>
      <c r="N15" s="0" t="str">
        <f aca="false">IF(NOT(ISNUMBER(M15)),"",IF(M15&lt;I15,"low below floor","ok"))</f>
        <v/>
      </c>
    </row>
    <row r="16" customFormat="false" ht="15" hidden="false" customHeight="false" outlineLevel="0" collapsed="false">
      <c r="A16" s="2" t="s">
        <v>1931</v>
      </c>
      <c r="B16" s="2" t="s">
        <v>1053</v>
      </c>
      <c r="C16" s="2" t="s">
        <v>1070</v>
      </c>
      <c r="D16" s="2" t="s">
        <v>1054</v>
      </c>
      <c r="E16" s="2" t="str">
        <f aca="false">INDEX(LR_Trade,MATCH(A16,LR_Key,0))</f>
        <v>Home appliance repairer</v>
      </c>
      <c r="F16" s="3" t="n">
        <f aca="false">INDEX(MW_Daily,MATCH(E16,MW_Trade,0))</f>
        <v>345.36</v>
      </c>
      <c r="G16" s="15" t="n">
        <v>0.5</v>
      </c>
      <c r="H16" s="2" t="n">
        <f aca="false">ROUNDUP(G16,0)</f>
        <v>1</v>
      </c>
      <c r="I16" s="3" t="n">
        <f aca="false">F16*H16</f>
        <v>345.36</v>
      </c>
      <c r="J16" s="3" t="n">
        <f aca="false">INDEX(LR_TypLabor,MATCH(A16,LR_Key,0))</f>
        <v>1500</v>
      </c>
      <c r="K16" s="0" t="str">
        <f aca="false">IF(NOT(ISNUMBER(J16)),"NO LABOR DATA",IF(J16&lt;I16,"BELOW FLOOR","OK"))</f>
        <v>OK</v>
      </c>
      <c r="L16" s="9" t="n">
        <f aca="false">IF(ISNUMBER(J16),J16-I16,"")</f>
        <v>1154.64</v>
      </c>
      <c r="M16" s="3" t="str">
        <f aca="false">INDEX(LR_LowLabor,MATCH(A16,LR_Key,0))</f>
        <v/>
      </c>
      <c r="N16" s="0" t="str">
        <f aca="false">IF(NOT(ISNUMBER(M16)),"",IF(M16&lt;I16,"low below floor","ok"))</f>
        <v/>
      </c>
    </row>
    <row r="17" customFormat="false" ht="15" hidden="false" customHeight="false" outlineLevel="0" collapsed="false">
      <c r="A17" s="2" t="s">
        <v>1933</v>
      </c>
      <c r="B17" s="2" t="s">
        <v>1053</v>
      </c>
      <c r="C17" s="2" t="s">
        <v>1074</v>
      </c>
      <c r="D17" s="2" t="s">
        <v>1054</v>
      </c>
      <c r="E17" s="2" t="str">
        <f aca="false">INDEX(LR_Trade,MATCH(A17,LR_Key,0))</f>
        <v>Home appliance repairer</v>
      </c>
      <c r="F17" s="3" t="n">
        <f aca="false">INDEX(MW_Daily,MATCH(E17,MW_Trade,0))</f>
        <v>345.36</v>
      </c>
      <c r="G17" s="15" t="n">
        <v>0.5</v>
      </c>
      <c r="H17" s="2" t="n">
        <f aca="false">ROUNDUP(G17,0)</f>
        <v>1</v>
      </c>
      <c r="I17" s="3" t="n">
        <f aca="false">F17*H17</f>
        <v>345.36</v>
      </c>
      <c r="J17" s="3" t="n">
        <f aca="false">INDEX(LR_TypLabor,MATCH(A17,LR_Key,0))</f>
        <v>1800</v>
      </c>
      <c r="K17" s="0" t="str">
        <f aca="false">IF(NOT(ISNUMBER(J17)),"NO LABOR DATA",IF(J17&lt;I17,"BELOW FLOOR","OK"))</f>
        <v>OK</v>
      </c>
      <c r="L17" s="9" t="n">
        <f aca="false">IF(ISNUMBER(J17),J17-I17,"")</f>
        <v>1454.64</v>
      </c>
      <c r="M17" s="3" t="str">
        <f aca="false">INDEX(LR_LowLabor,MATCH(A17,LR_Key,0))</f>
        <v/>
      </c>
      <c r="N17" s="0" t="str">
        <f aca="false">IF(NOT(ISNUMBER(M17)),"",IF(M17&lt;I17,"low below floor","ok"))</f>
        <v/>
      </c>
    </row>
    <row r="18" customFormat="false" ht="15" hidden="false" customHeight="false" outlineLevel="0" collapsed="false">
      <c r="A18" s="2" t="s">
        <v>1935</v>
      </c>
      <c r="B18" s="2" t="s">
        <v>1053</v>
      </c>
      <c r="C18" s="2" t="s">
        <v>1078</v>
      </c>
      <c r="D18" s="2" t="s">
        <v>1054</v>
      </c>
      <c r="E18" s="2" t="str">
        <f aca="false">INDEX(LR_Trade,MATCH(A18,LR_Key,0))</f>
        <v>Home appliance repairer</v>
      </c>
      <c r="F18" s="3" t="n">
        <f aca="false">INDEX(MW_Daily,MATCH(E18,MW_Trade,0))</f>
        <v>345.36</v>
      </c>
      <c r="G18" s="15" t="n">
        <v>0.5</v>
      </c>
      <c r="H18" s="2" t="n">
        <f aca="false">ROUNDUP(G18,0)</f>
        <v>1</v>
      </c>
      <c r="I18" s="3" t="n">
        <f aca="false">F18*H18</f>
        <v>345.36</v>
      </c>
      <c r="J18" s="3" t="n">
        <f aca="false">INDEX(LR_TypLabor,MATCH(A18,LR_Key,0))</f>
        <v>2500</v>
      </c>
      <c r="K18" s="0" t="str">
        <f aca="false">IF(NOT(ISNUMBER(J18)),"NO LABOR DATA",IF(J18&lt;I18,"BELOW FLOOR","OK"))</f>
        <v>OK</v>
      </c>
      <c r="L18" s="9" t="n">
        <f aca="false">IF(ISNUMBER(J18),J18-I18,"")</f>
        <v>2154.64</v>
      </c>
      <c r="M18" s="3" t="str">
        <f aca="false">INDEX(LR_LowLabor,MATCH(A18,LR_Key,0))</f>
        <v/>
      </c>
      <c r="N18" s="0" t="str">
        <f aca="false">IF(NOT(ISNUMBER(M18)),"",IF(M18&lt;I18,"low below floor","ok"))</f>
        <v/>
      </c>
    </row>
    <row r="19" customFormat="false" ht="15" hidden="false" customHeight="false" outlineLevel="0" collapsed="false">
      <c r="A19" s="2" t="s">
        <v>1937</v>
      </c>
      <c r="B19" s="2" t="s">
        <v>1064</v>
      </c>
      <c r="C19" s="2" t="s">
        <v>1055</v>
      </c>
      <c r="D19" s="2" t="s">
        <v>1065</v>
      </c>
      <c r="E19" s="2" t="str">
        <f aca="false">INDEX(LR_Trade,MATCH(A19,LR_Key,0))</f>
        <v>Home appliance repairer</v>
      </c>
      <c r="F19" s="3" t="n">
        <f aca="false">INDEX(MW_Daily,MATCH(E19,MW_Trade,0))</f>
        <v>345.36</v>
      </c>
      <c r="G19" s="15" t="n">
        <v>0.25</v>
      </c>
      <c r="H19" s="2" t="n">
        <f aca="false">ROUNDUP(G19,0)</f>
        <v>1</v>
      </c>
      <c r="I19" s="3" t="n">
        <f aca="false">F19*H19</f>
        <v>345.36</v>
      </c>
      <c r="J19" s="3" t="n">
        <f aca="false">INDEX(LR_TypLabor,MATCH(A19,LR_Key,0))</f>
        <v>900</v>
      </c>
      <c r="K19" s="0" t="str">
        <f aca="false">IF(NOT(ISNUMBER(J19)),"NO LABOR DATA",IF(J19&lt;I19,"BELOW FLOOR","OK"))</f>
        <v>OK</v>
      </c>
      <c r="L19" s="9" t="n">
        <f aca="false">IF(ISNUMBER(J19),J19-I19,"")</f>
        <v>554.64</v>
      </c>
      <c r="M19" s="3" t="n">
        <f aca="false">INDEX(LR_LowLabor,MATCH(A19,LR_Key,0))</f>
        <v>600</v>
      </c>
      <c r="N19" s="0" t="str">
        <f aca="false">IF(NOT(ISNUMBER(M19)),"",IF(M19&lt;I19,"low below floor","ok"))</f>
        <v>ok</v>
      </c>
    </row>
    <row r="20" customFormat="false" ht="15" hidden="false" customHeight="false" outlineLevel="0" collapsed="false">
      <c r="A20" s="2" t="s">
        <v>1942</v>
      </c>
      <c r="B20" s="2" t="s">
        <v>1064</v>
      </c>
      <c r="C20" s="2" t="s">
        <v>1070</v>
      </c>
      <c r="D20" s="2" t="s">
        <v>1065</v>
      </c>
      <c r="E20" s="2" t="str">
        <f aca="false">INDEX(LR_Trade,MATCH(A20,LR_Key,0))</f>
        <v>Home appliance repairer</v>
      </c>
      <c r="F20" s="3" t="n">
        <f aca="false">INDEX(MW_Daily,MATCH(E20,MW_Trade,0))</f>
        <v>345.36</v>
      </c>
      <c r="G20" s="15" t="n">
        <v>0.25</v>
      </c>
      <c r="H20" s="2" t="n">
        <f aca="false">ROUNDUP(G20,0)</f>
        <v>1</v>
      </c>
      <c r="I20" s="3" t="n">
        <f aca="false">F20*H20</f>
        <v>345.36</v>
      </c>
      <c r="J20" s="3" t="n">
        <f aca="false">INDEX(LR_TypLabor,MATCH(A20,LR_Key,0))</f>
        <v>1050</v>
      </c>
      <c r="K20" s="0" t="str">
        <f aca="false">IF(NOT(ISNUMBER(J20)),"NO LABOR DATA",IF(J20&lt;I20,"BELOW FLOOR","OK"))</f>
        <v>OK</v>
      </c>
      <c r="L20" s="9" t="n">
        <f aca="false">IF(ISNUMBER(J20),J20-I20,"")</f>
        <v>704.64</v>
      </c>
      <c r="M20" s="3" t="n">
        <f aca="false">INDEX(LR_LowLabor,MATCH(A20,LR_Key,0))</f>
        <v>600</v>
      </c>
      <c r="N20" s="0" t="str">
        <f aca="false">IF(NOT(ISNUMBER(M20)),"",IF(M20&lt;I20,"low below floor","ok"))</f>
        <v>ok</v>
      </c>
    </row>
    <row r="21" customFormat="false" ht="15" hidden="false" customHeight="false" outlineLevel="0" collapsed="false">
      <c r="A21" s="2" t="s">
        <v>1944</v>
      </c>
      <c r="B21" s="2" t="s">
        <v>1064</v>
      </c>
      <c r="C21" s="2" t="s">
        <v>1074</v>
      </c>
      <c r="D21" s="2" t="s">
        <v>1065</v>
      </c>
      <c r="E21" s="2" t="str">
        <f aca="false">INDEX(LR_Trade,MATCH(A21,LR_Key,0))</f>
        <v>Home appliance repairer</v>
      </c>
      <c r="F21" s="3" t="n">
        <f aca="false">INDEX(MW_Daily,MATCH(E21,MW_Trade,0))</f>
        <v>345.36</v>
      </c>
      <c r="G21" s="15" t="n">
        <v>0.25</v>
      </c>
      <c r="H21" s="2" t="n">
        <f aca="false">ROUNDUP(G21,0)</f>
        <v>1</v>
      </c>
      <c r="I21" s="3" t="n">
        <f aca="false">F21*H21</f>
        <v>345.36</v>
      </c>
      <c r="J21" s="3" t="n">
        <f aca="false">INDEX(LR_TypLabor,MATCH(A21,LR_Key,0))</f>
        <v>1200</v>
      </c>
      <c r="K21" s="0" t="str">
        <f aca="false">IF(NOT(ISNUMBER(J21)),"NO LABOR DATA",IF(J21&lt;I21,"BELOW FLOOR","OK"))</f>
        <v>OK</v>
      </c>
      <c r="L21" s="9" t="n">
        <f aca="false">IF(ISNUMBER(J21),J21-I21,"")</f>
        <v>854.64</v>
      </c>
      <c r="M21" s="3" t="n">
        <f aca="false">INDEX(LR_LowLabor,MATCH(A21,LR_Key,0))</f>
        <v>600</v>
      </c>
      <c r="N21" s="0" t="str">
        <f aca="false">IF(NOT(ISNUMBER(M21)),"",IF(M21&lt;I21,"low below floor","ok"))</f>
        <v>ok</v>
      </c>
    </row>
    <row r="22" customFormat="false" ht="15" hidden="false" customHeight="false" outlineLevel="0" collapsed="false">
      <c r="A22" s="2" t="s">
        <v>1946</v>
      </c>
      <c r="B22" s="2" t="s">
        <v>1064</v>
      </c>
      <c r="C22" s="2" t="s">
        <v>1078</v>
      </c>
      <c r="D22" s="2" t="s">
        <v>1065</v>
      </c>
      <c r="E22" s="2" t="str">
        <f aca="false">INDEX(LR_Trade,MATCH(A22,LR_Key,0))</f>
        <v>Home appliance repairer</v>
      </c>
      <c r="F22" s="3" t="n">
        <f aca="false">INDEX(MW_Daily,MATCH(E22,MW_Trade,0))</f>
        <v>345.36</v>
      </c>
      <c r="G22" s="15" t="n">
        <v>0.25</v>
      </c>
      <c r="H22" s="2" t="n">
        <f aca="false">ROUNDUP(G22,0)</f>
        <v>1</v>
      </c>
      <c r="I22" s="3" t="n">
        <f aca="false">F22*H22</f>
        <v>345.36</v>
      </c>
      <c r="J22" s="3" t="n">
        <f aca="false">INDEX(LR_TypLabor,MATCH(A22,LR_Key,0))</f>
        <v>1500</v>
      </c>
      <c r="K22" s="0" t="str">
        <f aca="false">IF(NOT(ISNUMBER(J22)),"NO LABOR DATA",IF(J22&lt;I22,"BELOW FLOOR","OK"))</f>
        <v>OK</v>
      </c>
      <c r="L22" s="9" t="n">
        <f aca="false">IF(ISNUMBER(J22),J22-I22,"")</f>
        <v>1154.64</v>
      </c>
      <c r="M22" s="3" t="n">
        <f aca="false">INDEX(LR_LowLabor,MATCH(A22,LR_Key,0))</f>
        <v>600</v>
      </c>
      <c r="N22" s="0" t="str">
        <f aca="false">IF(NOT(ISNUMBER(M22)),"",IF(M22&lt;I22,"low below floor","ok"))</f>
        <v>ok</v>
      </c>
    </row>
    <row r="23" customFormat="false" ht="15" hidden="false" customHeight="false" outlineLevel="0" collapsed="false">
      <c r="A23" s="2" t="s">
        <v>1948</v>
      </c>
      <c r="B23" s="2" t="s">
        <v>1082</v>
      </c>
      <c r="C23" s="2" t="s">
        <v>1917</v>
      </c>
      <c r="D23" s="2" t="s">
        <v>1083</v>
      </c>
      <c r="E23" s="2" t="str">
        <f aca="false">INDEX(LR_Trade,MATCH(A23,LR_Key,0))</f>
        <v>Plumber</v>
      </c>
      <c r="F23" s="3" t="n">
        <f aca="false">INDEX(MW_Daily,MATCH(E23,MW_Trade,0))</f>
        <v>349.84</v>
      </c>
      <c r="G23" s="15" t="n">
        <v>0.25</v>
      </c>
      <c r="H23" s="2" t="n">
        <f aca="false">ROUNDUP(G23,0)</f>
        <v>1</v>
      </c>
      <c r="I23" s="3" t="n">
        <f aca="false">F23*H23</f>
        <v>349.84</v>
      </c>
      <c r="J23" s="3" t="n">
        <f aca="false">INDEX(LR_TypLabor,MATCH(A23,LR_Key,0))</f>
        <v>800</v>
      </c>
      <c r="K23" s="0" t="str">
        <f aca="false">IF(NOT(ISNUMBER(J23)),"NO LABOR DATA",IF(J23&lt;I23,"BELOW FLOOR","OK"))</f>
        <v>OK</v>
      </c>
      <c r="L23" s="9" t="n">
        <f aca="false">IF(ISNUMBER(J23),J23-I23,"")</f>
        <v>450.16</v>
      </c>
      <c r="M23" s="3" t="n">
        <f aca="false">INDEX(LR_LowLabor,MATCH(A23,LR_Key,0))</f>
        <v>400</v>
      </c>
      <c r="N23" s="0" t="str">
        <f aca="false">IF(NOT(ISNUMBER(M23)),"",IF(M23&lt;I23,"low below floor","ok"))</f>
        <v>ok</v>
      </c>
    </row>
    <row r="24" customFormat="false" ht="15" hidden="false" customHeight="false" outlineLevel="0" collapsed="false">
      <c r="A24" s="2" t="s">
        <v>1952</v>
      </c>
      <c r="B24" s="2" t="s">
        <v>1555</v>
      </c>
      <c r="C24" s="2" t="s">
        <v>1917</v>
      </c>
      <c r="D24" s="2" t="s">
        <v>1556</v>
      </c>
      <c r="E24" s="2" t="str">
        <f aca="false">INDEX(LR_Trade,MATCH(A24,LR_Key,0))</f>
        <v>Plumber</v>
      </c>
      <c r="F24" s="3" t="n">
        <f aca="false">INDEX(MW_Daily,MATCH(E24,MW_Trade,0))</f>
        <v>349.84</v>
      </c>
      <c r="G24" s="15" t="n">
        <v>0.25</v>
      </c>
      <c r="H24" s="2" t="n">
        <f aca="false">ROUNDUP(G24,0)</f>
        <v>1</v>
      </c>
      <c r="I24" s="3" t="n">
        <f aca="false">F24*H24</f>
        <v>349.84</v>
      </c>
      <c r="J24" s="3" t="n">
        <f aca="false">INDEX(LR_TypLabor,MATCH(A24,LR_Key,0))</f>
        <v>650</v>
      </c>
      <c r="K24" s="0" t="str">
        <f aca="false">IF(NOT(ISNUMBER(J24)),"NO LABOR DATA",IF(J24&lt;I24,"BELOW FLOOR","OK"))</f>
        <v>OK</v>
      </c>
      <c r="L24" s="9" t="n">
        <f aca="false">IF(ISNUMBER(J24),J24-I24,"")</f>
        <v>300.16</v>
      </c>
      <c r="M24" s="3" t="n">
        <f aca="false">INDEX(LR_LowLabor,MATCH(A24,LR_Key,0))</f>
        <v>350</v>
      </c>
      <c r="N24" s="0" t="str">
        <f aca="false">IF(NOT(ISNUMBER(M24)),"",IF(M24&lt;I24,"low below floor","ok"))</f>
        <v>ok</v>
      </c>
    </row>
    <row r="25" customFormat="false" ht="15" hidden="false" customHeight="false" outlineLevel="0" collapsed="false">
      <c r="A25" s="2" t="s">
        <v>1955</v>
      </c>
      <c r="B25" s="2" t="s">
        <v>1569</v>
      </c>
      <c r="C25" s="2" t="s">
        <v>1917</v>
      </c>
      <c r="D25" s="2" t="s">
        <v>1570</v>
      </c>
      <c r="E25" s="2" t="str">
        <f aca="false">INDEX(LR_Trade,MATCH(A25,LR_Key,0))</f>
        <v>Plumber</v>
      </c>
      <c r="F25" s="3" t="n">
        <f aca="false">INDEX(MW_Daily,MATCH(E25,MW_Trade,0))</f>
        <v>349.84</v>
      </c>
      <c r="G25" s="15" t="n">
        <v>0.25</v>
      </c>
      <c r="H25" s="2" t="n">
        <f aca="false">ROUNDUP(G25,0)</f>
        <v>1</v>
      </c>
      <c r="I25" s="3" t="n">
        <f aca="false">F25*H25</f>
        <v>349.84</v>
      </c>
      <c r="J25" s="3" t="n">
        <f aca="false">INDEX(LR_TypLabor,MATCH(A25,LR_Key,0))</f>
        <v>650</v>
      </c>
      <c r="K25" s="0" t="str">
        <f aca="false">IF(NOT(ISNUMBER(J25)),"NO LABOR DATA",IF(J25&lt;I25,"BELOW FLOOR","OK"))</f>
        <v>OK</v>
      </c>
      <c r="L25" s="9" t="n">
        <f aca="false">IF(ISNUMBER(J25),J25-I25,"")</f>
        <v>300.16</v>
      </c>
      <c r="M25" s="3" t="n">
        <f aca="false">INDEX(LR_LowLabor,MATCH(A25,LR_Key,0))</f>
        <v>350</v>
      </c>
      <c r="N25" s="0" t="str">
        <f aca="false">IF(NOT(ISNUMBER(M25)),"",IF(M25&lt;I25,"low below floor","ok"))</f>
        <v>ok</v>
      </c>
    </row>
    <row r="26" customFormat="false" ht="15" hidden="false" customHeight="false" outlineLevel="0" collapsed="false">
      <c r="A26" s="2" t="s">
        <v>1956</v>
      </c>
      <c r="B26" s="2" t="s">
        <v>1088</v>
      </c>
      <c r="C26" s="2" t="s">
        <v>1917</v>
      </c>
      <c r="D26" s="2" t="s">
        <v>1089</v>
      </c>
      <c r="E26" s="2" t="str">
        <f aca="false">INDEX(LR_Trade,MATCH(A26,LR_Key,0))</f>
        <v>Plumber</v>
      </c>
      <c r="F26" s="3" t="n">
        <f aca="false">INDEX(MW_Daily,MATCH(E26,MW_Trade,0))</f>
        <v>349.84</v>
      </c>
      <c r="G26" s="15" t="n">
        <v>0.5</v>
      </c>
      <c r="H26" s="2" t="n">
        <f aca="false">ROUNDUP(G26,0)</f>
        <v>1</v>
      </c>
      <c r="I26" s="3" t="n">
        <f aca="false">F26*H26</f>
        <v>349.84</v>
      </c>
      <c r="J26" s="3" t="n">
        <f aca="false">INDEX(LR_TypLabor,MATCH(A26,LR_Key,0))</f>
        <v>1800</v>
      </c>
      <c r="K26" s="0" t="str">
        <f aca="false">IF(NOT(ISNUMBER(J26)),"NO LABOR DATA",IF(J26&lt;I26,"BELOW FLOOR","OK"))</f>
        <v>OK</v>
      </c>
      <c r="L26" s="9" t="n">
        <f aca="false">IF(ISNUMBER(J26),J26-I26,"")</f>
        <v>1450.16</v>
      </c>
      <c r="M26" s="3" t="n">
        <f aca="false">INDEX(LR_LowLabor,MATCH(A26,LR_Key,0))</f>
        <v>1200</v>
      </c>
      <c r="N26" s="0" t="str">
        <f aca="false">IF(NOT(ISNUMBER(M26)),"",IF(M26&lt;I26,"low below floor","ok"))</f>
        <v>ok</v>
      </c>
    </row>
    <row r="27" customFormat="false" ht="15" hidden="false" customHeight="false" outlineLevel="0" collapsed="false">
      <c r="A27" s="2" t="s">
        <v>1958</v>
      </c>
      <c r="B27" s="2" t="s">
        <v>1117</v>
      </c>
      <c r="C27" s="2" t="s">
        <v>1917</v>
      </c>
      <c r="D27" s="2" t="s">
        <v>1118</v>
      </c>
      <c r="E27" s="2" t="str">
        <f aca="false">INDEX(LR_Trade,MATCH(A27,LR_Key,0))</f>
        <v>Plumber</v>
      </c>
      <c r="F27" s="3" t="n">
        <f aca="false">INDEX(MW_Daily,MATCH(E27,MW_Trade,0))</f>
        <v>349.84</v>
      </c>
      <c r="G27" s="15" t="n">
        <v>0.25</v>
      </c>
      <c r="H27" s="2" t="n">
        <f aca="false">ROUNDUP(G27,0)</f>
        <v>1</v>
      </c>
      <c r="I27" s="3" t="n">
        <f aca="false">F27*H27</f>
        <v>349.84</v>
      </c>
      <c r="J27" s="3" t="n">
        <f aca="false">INDEX(LR_TypLabor,MATCH(A27,LR_Key,0))</f>
        <v>965</v>
      </c>
      <c r="K27" s="0" t="str">
        <f aca="false">IF(NOT(ISNUMBER(J27)),"NO LABOR DATA",IF(J27&lt;I27,"BELOW FLOOR","OK"))</f>
        <v>OK</v>
      </c>
      <c r="L27" s="9" t="n">
        <f aca="false">IF(ISNUMBER(J27),J27-I27,"")</f>
        <v>615.16</v>
      </c>
      <c r="M27" s="3" t="n">
        <f aca="false">INDEX(LR_LowLabor,MATCH(A27,LR_Key,0))</f>
        <v>643</v>
      </c>
      <c r="N27" s="0" t="str">
        <f aca="false">IF(NOT(ISNUMBER(M27)),"",IF(M27&lt;I27,"low below floor","ok"))</f>
        <v>ok</v>
      </c>
    </row>
    <row r="28" customFormat="false" ht="15" hidden="false" customHeight="false" outlineLevel="0" collapsed="false">
      <c r="A28" s="2" t="s">
        <v>1963</v>
      </c>
      <c r="B28" s="2" t="s">
        <v>1097</v>
      </c>
      <c r="C28" s="2" t="s">
        <v>1917</v>
      </c>
      <c r="D28" s="2" t="s">
        <v>1098</v>
      </c>
      <c r="E28" s="2" t="str">
        <f aca="false">INDEX(LR_Trade,MATCH(A28,LR_Key,0))</f>
        <v>Plumber</v>
      </c>
      <c r="F28" s="3" t="n">
        <f aca="false">INDEX(MW_Daily,MATCH(E28,MW_Trade,0))</f>
        <v>349.84</v>
      </c>
      <c r="G28" s="15" t="n">
        <v>0.25</v>
      </c>
      <c r="H28" s="2" t="n">
        <f aca="false">ROUNDUP(G28,0)</f>
        <v>1</v>
      </c>
      <c r="I28" s="3" t="n">
        <f aca="false">F28*H28</f>
        <v>349.84</v>
      </c>
      <c r="J28" s="3" t="n">
        <f aca="false">INDEX(LR_TypLabor,MATCH(A28,LR_Key,0))</f>
        <v>1150</v>
      </c>
      <c r="K28" s="0" t="str">
        <f aca="false">IF(NOT(ISNUMBER(J28)),"NO LABOR DATA",IF(J28&lt;I28,"BELOW FLOOR","OK"))</f>
        <v>OK</v>
      </c>
      <c r="L28" s="9" t="n">
        <f aca="false">IF(ISNUMBER(J28),J28-I28,"")</f>
        <v>800.16</v>
      </c>
      <c r="M28" s="3" t="n">
        <f aca="false">INDEX(LR_LowLabor,MATCH(A28,LR_Key,0))</f>
        <v>500</v>
      </c>
      <c r="N28" s="0" t="str">
        <f aca="false">IF(NOT(ISNUMBER(M28)),"",IF(M28&lt;I28,"low below floor","ok"))</f>
        <v>ok</v>
      </c>
    </row>
    <row r="29" customFormat="false" ht="15" hidden="false" customHeight="false" outlineLevel="0" collapsed="false">
      <c r="A29" s="2" t="s">
        <v>1965</v>
      </c>
      <c r="B29" s="2" t="s">
        <v>1596</v>
      </c>
      <c r="C29" s="2" t="s">
        <v>1917</v>
      </c>
      <c r="D29" s="2" t="s">
        <v>1597</v>
      </c>
      <c r="E29" s="2" t="str">
        <f aca="false">INDEX(LR_Trade,MATCH(A29,LR_Key,0))</f>
        <v>Electrician</v>
      </c>
      <c r="F29" s="3" t="n">
        <f aca="false">INDEX(MW_Daily,MATCH(E29,MW_Trade,0))</f>
        <v>356.19</v>
      </c>
      <c r="G29" s="15" t="n">
        <v>0.25</v>
      </c>
      <c r="H29" s="2" t="n">
        <f aca="false">ROUNDUP(G29,0)</f>
        <v>1</v>
      </c>
      <c r="I29" s="3" t="n">
        <f aca="false">F29*H29</f>
        <v>356.19</v>
      </c>
      <c r="J29" s="3" t="n">
        <f aca="false">INDEX(LR_TypLabor,MATCH(A29,LR_Key,0))</f>
        <v>375</v>
      </c>
      <c r="K29" s="0" t="str">
        <f aca="false">IF(NOT(ISNUMBER(J29)),"NO LABOR DATA",IF(J29&lt;I29,"BELOW FLOOR","OK"))</f>
        <v>OK</v>
      </c>
      <c r="L29" s="9" t="n">
        <f aca="false">IF(ISNUMBER(J29),J29-I29,"")</f>
        <v>18.81</v>
      </c>
      <c r="M29" s="3" t="n">
        <f aca="false">INDEX(LR_LowLabor,MATCH(A29,LR_Key,0))</f>
        <v>250</v>
      </c>
      <c r="N29" s="0" t="str">
        <f aca="false">IF(NOT(ISNUMBER(M29)),"",IF(M29&lt;I29,"low below floor","ok"))</f>
        <v>low below floor</v>
      </c>
    </row>
    <row r="30" customFormat="false" ht="15" hidden="false" customHeight="false" outlineLevel="0" collapsed="false">
      <c r="A30" s="2" t="s">
        <v>1972</v>
      </c>
      <c r="B30" s="2" t="s">
        <v>1620</v>
      </c>
      <c r="C30" s="2" t="s">
        <v>1917</v>
      </c>
      <c r="D30" s="2" t="s">
        <v>1621</v>
      </c>
      <c r="E30" s="2" t="str">
        <f aca="false">INDEX(LR_Trade,MATCH(A30,LR_Key,0))</f>
        <v>Electrician</v>
      </c>
      <c r="F30" s="3" t="n">
        <f aca="false">INDEX(MW_Daily,MATCH(E30,MW_Trade,0))</f>
        <v>356.19</v>
      </c>
      <c r="G30" s="15" t="n">
        <v>0.25</v>
      </c>
      <c r="H30" s="2" t="n">
        <f aca="false">ROUNDUP(G30,0)</f>
        <v>1</v>
      </c>
      <c r="I30" s="3" t="n">
        <f aca="false">F30*H30</f>
        <v>356.19</v>
      </c>
      <c r="J30" s="3" t="n">
        <f aca="false">INDEX(LR_TypLabor,MATCH(A30,LR_Key,0))</f>
        <v>400</v>
      </c>
      <c r="K30" s="0" t="str">
        <f aca="false">IF(NOT(ISNUMBER(J30)),"NO LABOR DATA",IF(J30&lt;I30,"BELOW FLOOR","OK"))</f>
        <v>OK</v>
      </c>
      <c r="L30" s="9" t="n">
        <f aca="false">IF(ISNUMBER(J30),J30-I30,"")</f>
        <v>43.81</v>
      </c>
      <c r="M30" s="3" t="n">
        <f aca="false">INDEX(LR_LowLabor,MATCH(A30,LR_Key,0))</f>
        <v>250</v>
      </c>
      <c r="N30" s="0" t="str">
        <f aca="false">IF(NOT(ISNUMBER(M30)),"",IF(M30&lt;I30,"low below floor","ok"))</f>
        <v>low below floor</v>
      </c>
    </row>
    <row r="31" customFormat="false" ht="15" hidden="false" customHeight="false" outlineLevel="0" collapsed="false">
      <c r="A31" s="2" t="s">
        <v>1974</v>
      </c>
      <c r="B31" s="2" t="s">
        <v>1126</v>
      </c>
      <c r="C31" s="2" t="s">
        <v>1917</v>
      </c>
      <c r="D31" s="2" t="s">
        <v>1127</v>
      </c>
      <c r="E31" s="2" t="str">
        <f aca="false">INDEX(LR_Trade,MATCH(A31,LR_Key,0))</f>
        <v>Electrician</v>
      </c>
      <c r="F31" s="3" t="n">
        <f aca="false">INDEX(MW_Daily,MATCH(E31,MW_Trade,0))</f>
        <v>356.19</v>
      </c>
      <c r="G31" s="15" t="n">
        <v>0.5</v>
      </c>
      <c r="H31" s="2" t="n">
        <f aca="false">ROUNDUP(G31,0)</f>
        <v>1</v>
      </c>
      <c r="I31" s="3" t="n">
        <f aca="false">F31*H31</f>
        <v>356.19</v>
      </c>
      <c r="J31" s="3" t="n">
        <f aca="false">INDEX(LR_TypLabor,MATCH(A31,LR_Key,0))</f>
        <v>800</v>
      </c>
      <c r="K31" s="0" t="str">
        <f aca="false">IF(NOT(ISNUMBER(J31)),"NO LABOR DATA",IF(J31&lt;I31,"BELOW FLOOR","OK"))</f>
        <v>OK</v>
      </c>
      <c r="L31" s="9" t="n">
        <f aca="false">IF(ISNUMBER(J31),J31-I31,"")</f>
        <v>443.81</v>
      </c>
      <c r="M31" s="3" t="n">
        <f aca="false">INDEX(LR_LowLabor,MATCH(A31,LR_Key,0))</f>
        <v>483</v>
      </c>
      <c r="N31" s="0" t="str">
        <f aca="false">IF(NOT(ISNUMBER(M31)),"",IF(M31&lt;I31,"low below floor","ok"))</f>
        <v>ok</v>
      </c>
    </row>
    <row r="32" customFormat="false" ht="15" hidden="false" customHeight="false" outlineLevel="0" collapsed="false">
      <c r="A32" s="2" t="s">
        <v>1976</v>
      </c>
      <c r="B32" s="2" t="s">
        <v>1151</v>
      </c>
      <c r="C32" s="2" t="s">
        <v>1917</v>
      </c>
      <c r="D32" s="2" t="s">
        <v>1152</v>
      </c>
      <c r="E32" s="2" t="str">
        <f aca="false">INDEX(LR_Trade,MATCH(A32,LR_Key,0))</f>
        <v>Electrician</v>
      </c>
      <c r="F32" s="3" t="n">
        <f aca="false">INDEX(MW_Daily,MATCH(E32,MW_Trade,0))</f>
        <v>356.19</v>
      </c>
      <c r="G32" s="15" t="n">
        <v>0.5</v>
      </c>
      <c r="H32" s="2" t="n">
        <f aca="false">ROUNDUP(G32,0)</f>
        <v>1</v>
      </c>
      <c r="I32" s="3" t="n">
        <f aca="false">F32*H32</f>
        <v>356.19</v>
      </c>
      <c r="J32" s="3" t="n">
        <f aca="false">INDEX(LR_TypLabor,MATCH(A32,LR_Key,0))</f>
        <v>900</v>
      </c>
      <c r="K32" s="0" t="str">
        <f aca="false">IF(NOT(ISNUMBER(J32)),"NO LABOR DATA",IF(J32&lt;I32,"BELOW FLOOR","OK"))</f>
        <v>OK</v>
      </c>
      <c r="L32" s="9" t="n">
        <f aca="false">IF(ISNUMBER(J32),J32-I32,"")</f>
        <v>543.81</v>
      </c>
      <c r="M32" s="3" t="n">
        <f aca="false">INDEX(LR_LowLabor,MATCH(A32,LR_Key,0))</f>
        <v>700</v>
      </c>
      <c r="N32" s="0" t="str">
        <f aca="false">IF(NOT(ISNUMBER(M32)),"",IF(M32&lt;I32,"low below floor","ok"))</f>
        <v>ok</v>
      </c>
    </row>
    <row r="33" customFormat="false" ht="15" hidden="false" customHeight="false" outlineLevel="0" collapsed="false">
      <c r="A33" s="2" t="s">
        <v>1979</v>
      </c>
      <c r="B33" s="2" t="s">
        <v>1136</v>
      </c>
      <c r="C33" s="2" t="s">
        <v>1917</v>
      </c>
      <c r="D33" s="2" t="s">
        <v>1137</v>
      </c>
      <c r="E33" s="2" t="str">
        <f aca="false">INDEX(LR_Trade,MATCH(A33,LR_Key,0))</f>
        <v>Electrician</v>
      </c>
      <c r="F33" s="3" t="n">
        <f aca="false">INDEX(MW_Daily,MATCH(E33,MW_Trade,0))</f>
        <v>356.19</v>
      </c>
      <c r="G33" s="15" t="n">
        <v>0.25</v>
      </c>
      <c r="H33" s="2" t="n">
        <f aca="false">ROUNDUP(G33,0)</f>
        <v>1</v>
      </c>
      <c r="I33" s="3" t="n">
        <f aca="false">F33*H33</f>
        <v>356.19</v>
      </c>
      <c r="J33" s="3" t="n">
        <f aca="false">INDEX(LR_TypLabor,MATCH(A33,LR_Key,0))</f>
        <v>500</v>
      </c>
      <c r="K33" s="0" t="str">
        <f aca="false">IF(NOT(ISNUMBER(J33)),"NO LABOR DATA",IF(J33&lt;I33,"BELOW FLOOR","OK"))</f>
        <v>OK</v>
      </c>
      <c r="L33" s="9" t="n">
        <f aca="false">IF(ISNUMBER(J33),J33-I33,"")</f>
        <v>143.81</v>
      </c>
      <c r="M33" s="3" t="n">
        <f aca="false">INDEX(LR_LowLabor,MATCH(A33,LR_Key,0))</f>
        <v>450</v>
      </c>
      <c r="N33" s="0" t="str">
        <f aca="false">IF(NOT(ISNUMBER(M33)),"",IF(M33&lt;I33,"low below floor","ok"))</f>
        <v>ok</v>
      </c>
    </row>
    <row r="34" customFormat="false" ht="15" hidden="false" customHeight="false" outlineLevel="0" collapsed="false">
      <c r="A34" s="2" t="s">
        <v>1981</v>
      </c>
      <c r="B34" s="2" t="s">
        <v>1161</v>
      </c>
      <c r="C34" s="2" t="s">
        <v>1917</v>
      </c>
      <c r="D34" s="2" t="s">
        <v>1162</v>
      </c>
      <c r="E34" s="2" t="str">
        <f aca="false">INDEX(LR_Trade,MATCH(A34,LR_Key,0))</f>
        <v>General</v>
      </c>
      <c r="F34" s="3" t="n">
        <f aca="false">INDEX(MW_Daily,MATCH(E34,MW_Trade,0))</f>
        <v>315.04</v>
      </c>
      <c r="G34" s="15" t="n">
        <v>0.25</v>
      </c>
      <c r="H34" s="2" t="n">
        <f aca="false">ROUNDUP(G34,0)</f>
        <v>1</v>
      </c>
      <c r="I34" s="3" t="n">
        <f aca="false">F34*H34</f>
        <v>315.04</v>
      </c>
      <c r="J34" s="3" t="n">
        <f aca="false">INDEX(LR_TypLabor,MATCH(A34,LR_Key,0))</f>
        <v>1200</v>
      </c>
      <c r="K34" s="0" t="str">
        <f aca="false">IF(NOT(ISNUMBER(J34)),"NO LABOR DATA",IF(J34&lt;I34,"BELOW FLOOR","OK"))</f>
        <v>OK</v>
      </c>
      <c r="L34" s="9" t="n">
        <f aca="false">IF(ISNUMBER(J34),J34-I34,"")</f>
        <v>884.96</v>
      </c>
      <c r="M34" s="3" t="n">
        <f aca="false">INDEX(LR_LowLabor,MATCH(A34,LR_Key,0))</f>
        <v>455</v>
      </c>
      <c r="N34" s="0" t="str">
        <f aca="false">IF(NOT(ISNUMBER(M34)),"",IF(M34&lt;I34,"low below floor","ok"))</f>
        <v>ok</v>
      </c>
    </row>
    <row r="35" customFormat="false" ht="15" hidden="false" customHeight="false" outlineLevel="0" collapsed="false">
      <c r="A35" s="2" t="s">
        <v>1987</v>
      </c>
      <c r="B35" s="2" t="s">
        <v>1171</v>
      </c>
      <c r="C35" s="2" t="s">
        <v>1917</v>
      </c>
      <c r="D35" s="2" t="s">
        <v>1172</v>
      </c>
      <c r="E35" s="2" t="str">
        <f aca="false">INDEX(LR_Trade,MATCH(A35,LR_Key,0))</f>
        <v>General</v>
      </c>
      <c r="F35" s="3" t="n">
        <f aca="false">INDEX(MW_Daily,MATCH(E35,MW_Trade,0))</f>
        <v>315.04</v>
      </c>
      <c r="G35" s="15" t="n">
        <v>1</v>
      </c>
      <c r="H35" s="2" t="n">
        <f aca="false">ROUNDUP(G35,0)</f>
        <v>1</v>
      </c>
      <c r="I35" s="3" t="n">
        <f aca="false">F35*H35</f>
        <v>315.04</v>
      </c>
      <c r="J35" s="3" t="n">
        <f aca="false">INDEX(LR_TypLabor,MATCH(A35,LR_Key,0))</f>
        <v>3582</v>
      </c>
      <c r="K35" s="0" t="str">
        <f aca="false">IF(NOT(ISNUMBER(J35)),"NO LABOR DATA",IF(J35&lt;I35,"BELOW FLOOR","OK"))</f>
        <v>OK</v>
      </c>
      <c r="L35" s="9" t="n">
        <f aca="false">IF(ISNUMBER(J35),J35-I35,"")</f>
        <v>3266.96</v>
      </c>
      <c r="M35" s="3" t="n">
        <f aca="false">INDEX(LR_LowLabor,MATCH(A35,LR_Key,0))</f>
        <v>1000</v>
      </c>
      <c r="N35" s="0" t="str">
        <f aca="false">IF(NOT(ISNUMBER(M35)),"",IF(M35&lt;I35,"low below floor","ok"))</f>
        <v>ok</v>
      </c>
    </row>
    <row r="36" customFormat="false" ht="15" hidden="false" customHeight="false" outlineLevel="0" collapsed="false">
      <c r="A36" s="2" t="s">
        <v>1992</v>
      </c>
      <c r="B36" s="2" t="s">
        <v>1178</v>
      </c>
      <c r="C36" s="2" t="s">
        <v>1917</v>
      </c>
      <c r="D36" s="2" t="s">
        <v>1179</v>
      </c>
      <c r="E36" s="2" t="str">
        <f aca="false">INDEX(LR_Trade,MATCH(A36,LR_Key,0))</f>
        <v>General</v>
      </c>
      <c r="F36" s="3" t="n">
        <f aca="false">INDEX(MW_Daily,MATCH(E36,MW_Trade,0))</f>
        <v>315.04</v>
      </c>
      <c r="G36" s="15" t="n">
        <v>0.25</v>
      </c>
      <c r="H36" s="2" t="n">
        <f aca="false">ROUNDUP(G36,0)</f>
        <v>1</v>
      </c>
      <c r="I36" s="3" t="n">
        <f aca="false">F36*H36</f>
        <v>315.04</v>
      </c>
      <c r="J36" s="3" t="n">
        <f aca="false">INDEX(LR_TypLabor,MATCH(A36,LR_Key,0))</f>
        <v>1200</v>
      </c>
      <c r="K36" s="0" t="str">
        <f aca="false">IF(NOT(ISNUMBER(J36)),"NO LABOR DATA",IF(J36&lt;I36,"BELOW FLOOR","OK"))</f>
        <v>OK</v>
      </c>
      <c r="L36" s="9" t="n">
        <f aca="false">IF(ISNUMBER(J36),J36-I36,"")</f>
        <v>884.96</v>
      </c>
      <c r="M36" s="3" t="n">
        <f aca="false">INDEX(LR_LowLabor,MATCH(A36,LR_Key,0))</f>
        <v>857</v>
      </c>
      <c r="N36" s="0" t="str">
        <f aca="false">IF(NOT(ISNUMBER(M36)),"",IF(M36&lt;I36,"low below floor","ok"))</f>
        <v>ok</v>
      </c>
    </row>
    <row r="37" customFormat="false" ht="15" hidden="false" customHeight="false" outlineLevel="0" collapsed="false">
      <c r="A37" s="2" t="s">
        <v>1995</v>
      </c>
      <c r="B37" s="2" t="s">
        <v>1185</v>
      </c>
      <c r="C37" s="2" t="s">
        <v>1917</v>
      </c>
      <c r="D37" s="2" t="s">
        <v>1186</v>
      </c>
      <c r="E37" s="2" t="str">
        <f aca="false">INDEX(LR_Trade,MATCH(A37,LR_Key,0))</f>
        <v>General</v>
      </c>
      <c r="F37" s="3" t="n">
        <f aca="false">INDEX(MW_Daily,MATCH(E37,MW_Trade,0))</f>
        <v>315.04</v>
      </c>
      <c r="G37" s="15" t="n">
        <v>0.25</v>
      </c>
      <c r="H37" s="2" t="n">
        <f aca="false">ROUNDUP(G37,0)</f>
        <v>1</v>
      </c>
      <c r="I37" s="3" t="n">
        <f aca="false">F37*H37</f>
        <v>315.04</v>
      </c>
      <c r="J37" s="3" t="n">
        <f aca="false">INDEX(LR_TypLabor,MATCH(A37,LR_Key,0))</f>
        <v>330</v>
      </c>
      <c r="K37" s="0" t="str">
        <f aca="false">IF(NOT(ISNUMBER(J37)),"NO LABOR DATA",IF(J37&lt;I37,"BELOW FLOOR","OK"))</f>
        <v>OK</v>
      </c>
      <c r="L37" s="9" t="n">
        <f aca="false">IF(ISNUMBER(J37),J37-I37,"")</f>
        <v>14.96</v>
      </c>
      <c r="M37" s="3" t="n">
        <f aca="false">INDEX(LR_LowLabor,MATCH(A37,LR_Key,0))</f>
        <v>180</v>
      </c>
      <c r="N37" s="0" t="str">
        <f aca="false">IF(NOT(ISNUMBER(M37)),"",IF(M37&lt;I37,"low below floor","ok"))</f>
        <v>low below floor</v>
      </c>
    </row>
    <row r="38" customFormat="false" ht="15" hidden="false" customHeight="false" outlineLevel="0" collapsed="false">
      <c r="A38" s="2" t="s">
        <v>1998</v>
      </c>
      <c r="B38" s="2" t="s">
        <v>1228</v>
      </c>
      <c r="C38" s="2" t="s">
        <v>1917</v>
      </c>
      <c r="D38" s="2" t="s">
        <v>1229</v>
      </c>
      <c r="E38" s="2" t="str">
        <f aca="false">INDEX(LR_Trade,MATCH(A38,LR_Key,0))</f>
        <v>General</v>
      </c>
      <c r="F38" s="3" t="n">
        <f aca="false">INDEX(MW_Daily,MATCH(E38,MW_Trade,0))</f>
        <v>315.04</v>
      </c>
      <c r="G38" s="15" t="n">
        <v>0.5</v>
      </c>
      <c r="H38" s="2" t="n">
        <f aca="false">ROUNDUP(G38,0)</f>
        <v>1</v>
      </c>
      <c r="I38" s="3" t="n">
        <f aca="false">F38*H38</f>
        <v>315.04</v>
      </c>
      <c r="J38" s="3" t="n">
        <f aca="false">INDEX(LR_TypLabor,MATCH(A38,LR_Key,0))</f>
        <v>342</v>
      </c>
      <c r="K38" s="0" t="str">
        <f aca="false">IF(NOT(ISNUMBER(J38)),"NO LABOR DATA",IF(J38&lt;I38,"BELOW FLOOR","OK"))</f>
        <v>OK</v>
      </c>
      <c r="L38" s="9" t="n">
        <f aca="false">IF(ISNUMBER(J38),J38-I38,"")</f>
        <v>26.96</v>
      </c>
      <c r="M38" s="3" t="n">
        <f aca="false">INDEX(LR_LowLabor,MATCH(A38,LR_Key,0))</f>
        <v>256</v>
      </c>
      <c r="N38" s="0" t="str">
        <f aca="false">IF(NOT(ISNUMBER(M38)),"",IF(M38&lt;I38,"low below floor","ok"))</f>
        <v>low below floor</v>
      </c>
    </row>
    <row r="39" customFormat="false" ht="15" hidden="false" customHeight="false" outlineLevel="0" collapsed="false">
      <c r="A39" s="2" t="s">
        <v>2003</v>
      </c>
      <c r="B39" s="2" t="s">
        <v>1249</v>
      </c>
      <c r="C39" s="2" t="s">
        <v>1917</v>
      </c>
      <c r="D39" s="2" t="s">
        <v>1250</v>
      </c>
      <c r="E39" s="2" t="str">
        <f aca="false">INDEX(LR_Trade,MATCH(A39,LR_Key,0))</f>
        <v>General</v>
      </c>
      <c r="F39" s="3" t="n">
        <f aca="false">INDEX(MW_Daily,MATCH(E39,MW_Trade,0))</f>
        <v>315.04</v>
      </c>
      <c r="G39" s="15" t="n">
        <v>0.25</v>
      </c>
      <c r="H39" s="2" t="n">
        <f aca="false">ROUNDUP(G39,0)</f>
        <v>1</v>
      </c>
      <c r="I39" s="3" t="n">
        <f aca="false">F39*H39</f>
        <v>315.04</v>
      </c>
      <c r="J39" s="3" t="n">
        <f aca="false">INDEX(LR_TypLabor,MATCH(A39,LR_Key,0))</f>
        <v>335</v>
      </c>
      <c r="K39" s="0" t="str">
        <f aca="false">IF(NOT(ISNUMBER(J39)),"NO LABOR DATA",IF(J39&lt;I39,"BELOW FLOOR","OK"))</f>
        <v>OK</v>
      </c>
      <c r="L39" s="9" t="n">
        <f aca="false">IF(ISNUMBER(J39),J39-I39,"")</f>
        <v>19.96</v>
      </c>
      <c r="M39" s="3" t="n">
        <f aca="false">INDEX(LR_LowLabor,MATCH(A39,LR_Key,0))</f>
        <v>220</v>
      </c>
      <c r="N39" s="0" t="str">
        <f aca="false">IF(NOT(ISNUMBER(M39)),"",IF(M39&lt;I39,"low below floor","ok"))</f>
        <v>low below floor</v>
      </c>
    </row>
    <row r="40" customFormat="false" ht="15" hidden="false" customHeight="false" outlineLevel="0" collapsed="false">
      <c r="A40" s="2" t="s">
        <v>2009</v>
      </c>
      <c r="B40" s="2" t="s">
        <v>1267</v>
      </c>
      <c r="C40" s="2" t="s">
        <v>1917</v>
      </c>
      <c r="D40" s="2" t="s">
        <v>1268</v>
      </c>
      <c r="E40" s="2" t="str">
        <f aca="false">INDEX(LR_Trade,MATCH(A40,LR_Key,0))</f>
        <v>Tile setter</v>
      </c>
      <c r="F40" s="3" t="n">
        <f aca="false">INDEX(MW_Daily,MATCH(E40,MW_Trade,0))</f>
        <v>356.19</v>
      </c>
      <c r="G40" s="15" t="n">
        <v>1</v>
      </c>
      <c r="H40" s="2" t="n">
        <f aca="false">ROUNDUP(G40,0)</f>
        <v>1</v>
      </c>
      <c r="I40" s="3" t="n">
        <f aca="false">F40*H40</f>
        <v>356.19</v>
      </c>
      <c r="J40" s="3" t="n">
        <f aca="false">INDEX(LR_TypLabor,MATCH(A40,LR_Key,0))</f>
        <v>3560</v>
      </c>
      <c r="K40" s="0" t="str">
        <f aca="false">IF(NOT(ISNUMBER(J40)),"NO LABOR DATA",IF(J40&lt;I40,"BELOW FLOOR","OK"))</f>
        <v>OK</v>
      </c>
      <c r="L40" s="9" t="n">
        <f aca="false">IF(ISNUMBER(J40),J40-I40,"")</f>
        <v>3203.81</v>
      </c>
      <c r="M40" s="3" t="n">
        <f aca="false">INDEX(LR_LowLabor,MATCH(A40,LR_Key,0))</f>
        <v>2400</v>
      </c>
      <c r="N40" s="0" t="str">
        <f aca="false">IF(NOT(ISNUMBER(M40)),"",IF(M40&lt;I40,"low below floor","ok"))</f>
        <v>ok</v>
      </c>
    </row>
    <row r="41" customFormat="false" ht="15" hidden="false" customHeight="false" outlineLevel="0" collapsed="false">
      <c r="A41" s="2" t="s">
        <v>2012</v>
      </c>
      <c r="B41" s="2" t="s">
        <v>1284</v>
      </c>
      <c r="C41" s="2" t="s">
        <v>1917</v>
      </c>
      <c r="D41" s="2" t="s">
        <v>1285</v>
      </c>
      <c r="E41" s="2" t="str">
        <f aca="false">INDEX(LR_Trade,MATCH(A41,LR_Key,0))</f>
        <v>Tile setter</v>
      </c>
      <c r="F41" s="3" t="n">
        <f aca="false">INDEX(MW_Daily,MATCH(E41,MW_Trade,0))</f>
        <v>356.19</v>
      </c>
      <c r="G41" s="15" t="n">
        <v>1</v>
      </c>
      <c r="H41" s="2" t="n">
        <f aca="false">ROUNDUP(G41,0)</f>
        <v>1</v>
      </c>
      <c r="I41" s="3" t="n">
        <f aca="false">F41*H41</f>
        <v>356.19</v>
      </c>
      <c r="J41" s="3" t="n">
        <f aca="false">INDEX(LR_TypLabor,MATCH(A41,LR_Key,0))</f>
        <v>2000</v>
      </c>
      <c r="K41" s="0" t="str">
        <f aca="false">IF(NOT(ISNUMBER(J41)),"NO LABOR DATA",IF(J41&lt;I41,"BELOW FLOOR","OK"))</f>
        <v>OK</v>
      </c>
      <c r="L41" s="9" t="n">
        <f aca="false">IF(ISNUMBER(J41),J41-I41,"")</f>
        <v>1643.81</v>
      </c>
      <c r="M41" s="3" t="n">
        <f aca="false">INDEX(LR_LowLabor,MATCH(A41,LR_Key,0))</f>
        <v>1500</v>
      </c>
      <c r="N41" s="0" t="str">
        <f aca="false">IF(NOT(ISNUMBER(M41)),"",IF(M41&lt;I41,"low below floor","ok"))</f>
        <v>ok</v>
      </c>
    </row>
    <row r="42" customFormat="false" ht="15" hidden="false" customHeight="false" outlineLevel="0" collapsed="false">
      <c r="A42" s="2" t="s">
        <v>2017</v>
      </c>
      <c r="B42" s="2" t="s">
        <v>1291</v>
      </c>
      <c r="C42" s="2" t="s">
        <v>1917</v>
      </c>
      <c r="D42" s="2" t="s">
        <v>1292</v>
      </c>
      <c r="E42" s="2" t="str">
        <f aca="false">INDEX(LR_Trade,MATCH(A42,LR_Key,0))</f>
        <v>Carpenter (obra negra)</v>
      </c>
      <c r="F42" s="3" t="n">
        <f aca="false">INDEX(MW_Daily,MATCH(E42,MW_Trade,0))</f>
        <v>363.44</v>
      </c>
      <c r="G42" s="15" t="n">
        <v>1</v>
      </c>
      <c r="H42" s="2" t="n">
        <f aca="false">ROUNDUP(G42,0)</f>
        <v>1</v>
      </c>
      <c r="I42" s="3" t="n">
        <f aca="false">F42*H42</f>
        <v>363.44</v>
      </c>
      <c r="J42" s="3" t="n">
        <f aca="false">INDEX(LR_TypLabor,MATCH(A42,LR_Key,0))</f>
        <v>3600</v>
      </c>
      <c r="K42" s="0" t="str">
        <f aca="false">IF(NOT(ISNUMBER(J42)),"NO LABOR DATA",IF(J42&lt;I42,"BELOW FLOOR","OK"))</f>
        <v>OK</v>
      </c>
      <c r="L42" s="9" t="n">
        <f aca="false">IF(ISNUMBER(J42),J42-I42,"")</f>
        <v>3236.56</v>
      </c>
      <c r="M42" s="3" t="n">
        <f aca="false">INDEX(LR_LowLabor,MATCH(A42,LR_Key,0))</f>
        <v>2000</v>
      </c>
      <c r="N42" s="0" t="str">
        <f aca="false">IF(NOT(ISNUMBER(M42)),"",IF(M42&lt;I42,"low below floor","ok"))</f>
        <v>ok</v>
      </c>
    </row>
    <row r="43" customFormat="false" ht="15" hidden="false" customHeight="false" outlineLevel="0" collapsed="false">
      <c r="A43" s="2" t="s">
        <v>2020</v>
      </c>
      <c r="B43" s="2" t="s">
        <v>1318</v>
      </c>
      <c r="C43" s="2" t="s">
        <v>1917</v>
      </c>
      <c r="D43" s="2" t="s">
        <v>1319</v>
      </c>
      <c r="E43" s="2" t="str">
        <f aca="false">INDEX(LR_Trade,MATCH(A43,LR_Key,0))</f>
        <v>Mason / albañil</v>
      </c>
      <c r="F43" s="3" t="n">
        <f aca="false">INDEX(MW_Daily,MATCH(E43,MW_Trade,0))</f>
        <v>363.44</v>
      </c>
      <c r="G43" s="15" t="n">
        <v>0.5</v>
      </c>
      <c r="H43" s="2" t="n">
        <f aca="false">ROUNDUP(G43,0)</f>
        <v>1</v>
      </c>
      <c r="I43" s="3" t="n">
        <f aca="false">F43*H43</f>
        <v>363.44</v>
      </c>
      <c r="J43" s="3" t="n">
        <f aca="false">INDEX(LR_TypLabor,MATCH(A43,LR_Key,0))</f>
        <v>2250</v>
      </c>
      <c r="K43" s="0" t="str">
        <f aca="false">IF(NOT(ISNUMBER(J43)),"NO LABOR DATA",IF(J43&lt;I43,"BELOW FLOOR","OK"))</f>
        <v>OK</v>
      </c>
      <c r="L43" s="9" t="n">
        <f aca="false">IF(ISNUMBER(J43),J43-I43,"")</f>
        <v>1886.56</v>
      </c>
      <c r="M43" s="3" t="n">
        <f aca="false">INDEX(LR_LowLabor,MATCH(A43,LR_Key,0))</f>
        <v>1500</v>
      </c>
      <c r="N43" s="0" t="str">
        <f aca="false">IF(NOT(ISNUMBER(M43)),"",IF(M43&lt;I43,"low below floor","ok"))</f>
        <v>ok</v>
      </c>
    </row>
    <row r="44" customFormat="false" ht="15" hidden="false" customHeight="false" outlineLevel="0" collapsed="false">
      <c r="A44" s="2" t="s">
        <v>2025</v>
      </c>
      <c r="B44" s="2" t="s">
        <v>1334</v>
      </c>
      <c r="C44" s="2" t="s">
        <v>1917</v>
      </c>
      <c r="D44" s="2" t="s">
        <v>1335</v>
      </c>
      <c r="E44" s="2" t="str">
        <f aca="false">INDEX(LR_Trade,MATCH(A44,LR_Key,0))</f>
        <v>Mason / albañil</v>
      </c>
      <c r="F44" s="3" t="n">
        <f aca="false">INDEX(MW_Daily,MATCH(E44,MW_Trade,0))</f>
        <v>363.44</v>
      </c>
      <c r="G44" s="15" t="n">
        <v>1</v>
      </c>
      <c r="H44" s="2" t="n">
        <f aca="false">ROUNDUP(G44,0)</f>
        <v>1</v>
      </c>
      <c r="I44" s="3" t="n">
        <f aca="false">F44*H44</f>
        <v>363.44</v>
      </c>
      <c r="J44" s="3" t="n">
        <f aca="false">INDEX(LR_TypLabor,MATCH(A44,LR_Key,0))</f>
        <v>2100</v>
      </c>
      <c r="K44" s="0" t="str">
        <f aca="false">IF(NOT(ISNUMBER(J44)),"NO LABOR DATA",IF(J44&lt;I44,"BELOW FLOOR","OK"))</f>
        <v>OK</v>
      </c>
      <c r="L44" s="9" t="n">
        <f aca="false">IF(ISNUMBER(J44),J44-I44,"")</f>
        <v>1736.56</v>
      </c>
      <c r="M44" s="3" t="n">
        <f aca="false">INDEX(LR_LowLabor,MATCH(A44,LR_Key,0))</f>
        <v>1800</v>
      </c>
      <c r="N44" s="0" t="str">
        <f aca="false">IF(NOT(ISNUMBER(M44)),"",IF(M44&lt;I44,"low below floor","ok"))</f>
        <v>ok</v>
      </c>
    </row>
    <row r="45" customFormat="false" ht="15" hidden="false" customHeight="false" outlineLevel="0" collapsed="false">
      <c r="A45" s="2" t="s">
        <v>2030</v>
      </c>
      <c r="B45" s="2" t="s">
        <v>1365</v>
      </c>
      <c r="C45" s="2" t="s">
        <v>1917</v>
      </c>
      <c r="D45" s="2" t="s">
        <v>1366</v>
      </c>
      <c r="E45" s="2" t="str">
        <f aca="false">INDEX(LR_Trade,MATCH(A45,LR_Key,0))</f>
        <v>Mason / albañil</v>
      </c>
      <c r="F45" s="3" t="n">
        <f aca="false">INDEX(MW_Daily,MATCH(E45,MW_Trade,0))</f>
        <v>363.44</v>
      </c>
      <c r="G45" s="15" t="n">
        <v>0.5</v>
      </c>
      <c r="H45" s="2" t="n">
        <f aca="false">ROUNDUP(G45,0)</f>
        <v>1</v>
      </c>
      <c r="I45" s="3" t="n">
        <f aca="false">F45*H45</f>
        <v>363.44</v>
      </c>
      <c r="J45" s="3" t="n">
        <f aca="false">INDEX(LR_TypLabor,MATCH(A45,LR_Key,0))</f>
        <v>1600</v>
      </c>
      <c r="K45" s="0" t="str">
        <f aca="false">IF(NOT(ISNUMBER(J45)),"NO LABOR DATA",IF(J45&lt;I45,"BELOW FLOOR","OK"))</f>
        <v>OK</v>
      </c>
      <c r="L45" s="9" t="n">
        <f aca="false">IF(ISNUMBER(J45),J45-I45,"")</f>
        <v>1236.56</v>
      </c>
      <c r="M45" s="3" t="n">
        <f aca="false">INDEX(LR_LowLabor,MATCH(A45,LR_Key,0))</f>
        <v>643.6</v>
      </c>
      <c r="N45" s="0" t="str">
        <f aca="false">IF(NOT(ISNUMBER(M45)),"",IF(M45&lt;I45,"low below floor","ok"))</f>
        <v>ok</v>
      </c>
    </row>
    <row r="46" customFormat="false" ht="15" hidden="false" customHeight="false" outlineLevel="0" collapsed="false">
      <c r="A46" s="2" t="s">
        <v>2035</v>
      </c>
      <c r="B46" s="2" t="s">
        <v>1372</v>
      </c>
      <c r="C46" s="2" t="s">
        <v>1917</v>
      </c>
      <c r="D46" s="2" t="s">
        <v>1373</v>
      </c>
      <c r="E46" s="2" t="str">
        <f aca="false">INDEX(LR_Trade,MATCH(A46,LR_Key,0))</f>
        <v>Carpenter (obra negra)</v>
      </c>
      <c r="F46" s="3" t="n">
        <f aca="false">INDEX(MW_Daily,MATCH(E46,MW_Trade,0))</f>
        <v>363.44</v>
      </c>
      <c r="G46" s="15" t="n">
        <v>0.25</v>
      </c>
      <c r="H46" s="2" t="n">
        <f aca="false">ROUNDUP(G46,0)</f>
        <v>1</v>
      </c>
      <c r="I46" s="3" t="n">
        <f aca="false">F46*H46</f>
        <v>363.44</v>
      </c>
      <c r="J46" s="3" t="n">
        <f aca="false">INDEX(LR_TypLabor,MATCH(A46,LR_Key,0))</f>
        <v>240</v>
      </c>
      <c r="K46" s="0" t="str">
        <f aca="false">IF(NOT(ISNUMBER(J46)),"NO LABOR DATA",IF(J46&lt;I46,"BELOW FLOOR","OK"))</f>
        <v>BELOW FLOOR</v>
      </c>
      <c r="L46" s="9" t="n">
        <f aca="false">IF(ISNUMBER(J46),J46-I46,"")</f>
        <v>-123.44</v>
      </c>
      <c r="M46" s="3" t="n">
        <f aca="false">INDEX(LR_LowLabor,MATCH(A46,LR_Key,0))</f>
        <v>180</v>
      </c>
      <c r="N46" s="0" t="str">
        <f aca="false">IF(NOT(ISNUMBER(M46)),"",IF(M46&lt;I46,"low below floor","ok"))</f>
        <v>low below floor</v>
      </c>
    </row>
    <row r="47" customFormat="false" ht="15" hidden="false" customHeight="false" outlineLevel="0" collapsed="false">
      <c r="A47" s="2" t="s">
        <v>2040</v>
      </c>
      <c r="B47" s="2" t="s">
        <v>1386</v>
      </c>
      <c r="C47" s="2" t="s">
        <v>1917</v>
      </c>
      <c r="D47" s="2" t="s">
        <v>1387</v>
      </c>
      <c r="E47" s="2" t="str">
        <f aca="false">INDEX(LR_Trade,MATCH(A47,LR_Key,0))</f>
        <v>Home appliance repairer</v>
      </c>
      <c r="F47" s="3" t="n">
        <f aca="false">INDEX(MW_Daily,MATCH(E47,MW_Trade,0))</f>
        <v>345.36</v>
      </c>
      <c r="G47" s="15" t="n">
        <v>0.25</v>
      </c>
      <c r="H47" s="2" t="n">
        <f aca="false">ROUNDUP(G47,0)</f>
        <v>1</v>
      </c>
      <c r="I47" s="3" t="n">
        <f aca="false">F47*H47</f>
        <v>345.36</v>
      </c>
      <c r="J47" s="3" t="n">
        <f aca="false">INDEX(LR_TypLabor,MATCH(A47,LR_Key,0))</f>
        <v>994</v>
      </c>
      <c r="K47" s="0" t="str">
        <f aca="false">IF(NOT(ISNUMBER(J47)),"NO LABOR DATA",IF(J47&lt;I47,"BELOW FLOOR","OK"))</f>
        <v>OK</v>
      </c>
      <c r="L47" s="9" t="n">
        <f aca="false">IF(ISNUMBER(J47),J47-I47,"")</f>
        <v>648.64</v>
      </c>
      <c r="M47" s="3" t="n">
        <f aca="false">INDEX(LR_LowLabor,MATCH(A47,LR_Key,0))</f>
        <v>650</v>
      </c>
      <c r="N47" s="0" t="str">
        <f aca="false">IF(NOT(ISNUMBER(M47)),"",IF(M47&lt;I47,"low below floor","ok"))</f>
        <v>ok</v>
      </c>
    </row>
    <row r="48" customFormat="false" ht="15" hidden="false" customHeight="false" outlineLevel="0" collapsed="false">
      <c r="A48" s="2" t="s">
        <v>2045</v>
      </c>
      <c r="B48" s="2" t="s">
        <v>1396</v>
      </c>
      <c r="C48" s="2" t="s">
        <v>1917</v>
      </c>
      <c r="D48" s="2" t="s">
        <v>1397</v>
      </c>
      <c r="E48" s="2" t="str">
        <f aca="false">INDEX(LR_Trade,MATCH(A48,LR_Key,0))</f>
        <v>Home appliance repairer</v>
      </c>
      <c r="F48" s="3" t="n">
        <f aca="false">INDEX(MW_Daily,MATCH(E48,MW_Trade,0))</f>
        <v>345.36</v>
      </c>
      <c r="G48" s="15" t="n">
        <v>0.5</v>
      </c>
      <c r="H48" s="2" t="n">
        <f aca="false">ROUNDUP(G48,0)</f>
        <v>1</v>
      </c>
      <c r="I48" s="3" t="n">
        <f aca="false">F48*H48</f>
        <v>345.36</v>
      </c>
      <c r="J48" s="3" t="n">
        <f aca="false">INDEX(LR_TypLabor,MATCH(A48,LR_Key,0))</f>
        <v>1850</v>
      </c>
      <c r="K48" s="0" t="str">
        <f aca="false">IF(NOT(ISNUMBER(J48)),"NO LABOR DATA",IF(J48&lt;I48,"BELOW FLOOR","OK"))</f>
        <v>OK</v>
      </c>
      <c r="L48" s="9" t="n">
        <f aca="false">IF(ISNUMBER(J48),J48-I48,"")</f>
        <v>1504.64</v>
      </c>
      <c r="M48" s="3" t="n">
        <f aca="false">INDEX(LR_LowLabor,MATCH(A48,LR_Key,0))</f>
        <v>900</v>
      </c>
      <c r="N48" s="0" t="str">
        <f aca="false">IF(NOT(ISNUMBER(M48)),"",IF(M48&lt;I48,"low below floor","ok"))</f>
        <v>ok</v>
      </c>
    </row>
    <row r="49" customFormat="false" ht="15" hidden="false" customHeight="false" outlineLevel="0" collapsed="false">
      <c r="A49" s="2" t="s">
        <v>2050</v>
      </c>
      <c r="B49" s="2" t="s">
        <v>1415</v>
      </c>
      <c r="C49" s="2" t="s">
        <v>1042</v>
      </c>
      <c r="D49" s="2" t="s">
        <v>1416</v>
      </c>
      <c r="E49" s="2" t="str">
        <f aca="false">INDEX(LR_Trade,MATCH(A49,LR_Key,0))</f>
        <v>Mason / albañil</v>
      </c>
      <c r="F49" s="3" t="n">
        <f aca="false">INDEX(MW_Daily,MATCH(E49,MW_Trade,0))</f>
        <v>363.44</v>
      </c>
      <c r="G49" s="15" t="n">
        <v>1</v>
      </c>
      <c r="H49" s="2" t="n">
        <f aca="false">ROUNDUP(G49,0)</f>
        <v>1</v>
      </c>
      <c r="I49" s="3" t="n">
        <f aca="false">F49*H49</f>
        <v>363.44</v>
      </c>
      <c r="J49" s="3" t="n">
        <f aca="false">INDEX(LR_TypLabor,MATCH(A49,LR_Key,0))</f>
        <v>3900</v>
      </c>
      <c r="K49" s="0" t="str">
        <f aca="false">IF(NOT(ISNUMBER(J49)),"NO LABOR DATA",IF(J49&lt;I49,"BELOW FLOOR","OK"))</f>
        <v>OK</v>
      </c>
      <c r="L49" s="9" t="n">
        <f aca="false">IF(ISNUMBER(J49),J49-I49,"")</f>
        <v>3536.56</v>
      </c>
      <c r="M49" s="3" t="n">
        <f aca="false">INDEX(LR_LowLabor,MATCH(A49,LR_Key,0))</f>
        <v>3250</v>
      </c>
      <c r="N49" s="0" t="str">
        <f aca="false">IF(NOT(ISNUMBER(M49)),"",IF(M49&lt;I49,"low below floor","ok"))</f>
        <v>ok</v>
      </c>
    </row>
    <row r="50" customFormat="false" ht="15" hidden="false" customHeight="false" outlineLevel="0" collapsed="false">
      <c r="A50" s="2" t="s">
        <v>2055</v>
      </c>
      <c r="B50" s="2" t="s">
        <v>1415</v>
      </c>
      <c r="C50" s="2" t="s">
        <v>1049</v>
      </c>
      <c r="D50" s="2" t="s">
        <v>1416</v>
      </c>
      <c r="E50" s="2" t="str">
        <f aca="false">INDEX(LR_Trade,MATCH(A50,LR_Key,0))</f>
        <v>Mason / albañil</v>
      </c>
      <c r="F50" s="3" t="n">
        <f aca="false">INDEX(MW_Daily,MATCH(E50,MW_Trade,0))</f>
        <v>363.44</v>
      </c>
      <c r="G50" s="15" t="n">
        <v>1</v>
      </c>
      <c r="H50" s="2" t="n">
        <f aca="false">ROUNDUP(G50,0)</f>
        <v>1</v>
      </c>
      <c r="I50" s="3" t="n">
        <f aca="false">F50*H50</f>
        <v>363.44</v>
      </c>
      <c r="J50" s="3" t="n">
        <f aca="false">INDEX(LR_TypLabor,MATCH(A50,LR_Key,0))</f>
        <v>3900</v>
      </c>
      <c r="K50" s="0" t="str">
        <f aca="false">IF(NOT(ISNUMBER(J50)),"NO LABOR DATA",IF(J50&lt;I50,"BELOW FLOOR","OK"))</f>
        <v>OK</v>
      </c>
      <c r="L50" s="9" t="n">
        <f aca="false">IF(ISNUMBER(J50),J50-I50,"")</f>
        <v>3536.56</v>
      </c>
      <c r="M50" s="3" t="n">
        <f aca="false">INDEX(LR_LowLabor,MATCH(A50,LR_Key,0))</f>
        <v>3250</v>
      </c>
      <c r="N50" s="0" t="str">
        <f aca="false">IF(NOT(ISNUMBER(M50)),"",IF(M50&lt;I50,"low below floor","ok"))</f>
        <v>ok</v>
      </c>
    </row>
    <row r="51" customFormat="false" ht="15" hidden="false" customHeight="false" outlineLevel="0" collapsed="false">
      <c r="A51" s="2" t="s">
        <v>2056</v>
      </c>
      <c r="B51" s="2" t="s">
        <v>1415</v>
      </c>
      <c r="C51" s="2" t="s">
        <v>1051</v>
      </c>
      <c r="D51" s="2" t="s">
        <v>1416</v>
      </c>
      <c r="E51" s="2" t="str">
        <f aca="false">INDEX(LR_Trade,MATCH(A51,LR_Key,0))</f>
        <v>Mason / albañil</v>
      </c>
      <c r="F51" s="3" t="n">
        <f aca="false">INDEX(MW_Daily,MATCH(E51,MW_Trade,0))</f>
        <v>363.44</v>
      </c>
      <c r="G51" s="15" t="n">
        <v>1</v>
      </c>
      <c r="H51" s="2" t="n">
        <f aca="false">ROUNDUP(G51,0)</f>
        <v>1</v>
      </c>
      <c r="I51" s="3" t="n">
        <f aca="false">F51*H51</f>
        <v>363.44</v>
      </c>
      <c r="J51" s="3" t="n">
        <f aca="false">INDEX(LR_TypLabor,MATCH(A51,LR_Key,0))</f>
        <v>5250</v>
      </c>
      <c r="K51" s="0" t="str">
        <f aca="false">IF(NOT(ISNUMBER(J51)),"NO LABOR DATA",IF(J51&lt;I51,"BELOW FLOOR","OK"))</f>
        <v>OK</v>
      </c>
      <c r="L51" s="9" t="n">
        <f aca="false">IF(ISNUMBER(J51),J51-I51,"")</f>
        <v>4886.56</v>
      </c>
      <c r="M51" s="3" t="n">
        <f aca="false">INDEX(LR_LowLabor,MATCH(A51,LR_Key,0))</f>
        <v>4500</v>
      </c>
      <c r="N51" s="0" t="str">
        <f aca="false">IF(NOT(ISNUMBER(M51)),"",IF(M51&lt;I51,"low below floor","ok"))</f>
        <v>ok</v>
      </c>
    </row>
    <row r="52" customFormat="false" ht="15" hidden="false" customHeight="false" outlineLevel="0" collapsed="false">
      <c r="A52" s="2" t="s">
        <v>2061</v>
      </c>
      <c r="B52" s="2" t="s">
        <v>1430</v>
      </c>
      <c r="C52" s="2" t="s">
        <v>1042</v>
      </c>
      <c r="D52" s="2" t="s">
        <v>1431</v>
      </c>
      <c r="E52" s="2" t="str">
        <f aca="false">INDEX(LR_Trade,MATCH(A52,LR_Key,0))</f>
        <v>General</v>
      </c>
      <c r="F52" s="3" t="n">
        <f aca="false">INDEX(MW_Daily,MATCH(E52,MW_Trade,0))</f>
        <v>315.04</v>
      </c>
      <c r="G52" s="15" t="n">
        <v>0.25</v>
      </c>
      <c r="H52" s="2" t="n">
        <f aca="false">ROUNDUP(G52,0)</f>
        <v>1</v>
      </c>
      <c r="I52" s="3" t="n">
        <f aca="false">F52*H52</f>
        <v>315.04</v>
      </c>
      <c r="J52" s="3" t="n">
        <f aca="false">INDEX(LR_TypLabor,MATCH(A52,LR_Key,0))</f>
        <v>599</v>
      </c>
      <c r="K52" s="0" t="str">
        <f aca="false">IF(NOT(ISNUMBER(J52)),"NO LABOR DATA",IF(J52&lt;I52,"BELOW FLOOR","OK"))</f>
        <v>OK</v>
      </c>
      <c r="L52" s="9" t="n">
        <f aca="false">IF(ISNUMBER(J52),J52-I52,"")</f>
        <v>283.96</v>
      </c>
      <c r="M52" s="3" t="n">
        <f aca="false">INDEX(LR_LowLabor,MATCH(A52,LR_Key,0))</f>
        <v>499</v>
      </c>
      <c r="N52" s="0" t="str">
        <f aca="false">IF(NOT(ISNUMBER(M52)),"",IF(M52&lt;I52,"low below floor","ok"))</f>
        <v>ok</v>
      </c>
    </row>
    <row r="53" customFormat="false" ht="15" hidden="false" customHeight="false" outlineLevel="0" collapsed="false">
      <c r="A53" s="2" t="s">
        <v>2066</v>
      </c>
      <c r="B53" s="2" t="s">
        <v>1430</v>
      </c>
      <c r="C53" s="2" t="s">
        <v>1049</v>
      </c>
      <c r="D53" s="2" t="s">
        <v>1431</v>
      </c>
      <c r="E53" s="2" t="str">
        <f aca="false">INDEX(LR_Trade,MATCH(A53,LR_Key,0))</f>
        <v>General</v>
      </c>
      <c r="F53" s="3" t="n">
        <f aca="false">INDEX(MW_Daily,MATCH(E53,MW_Trade,0))</f>
        <v>315.04</v>
      </c>
      <c r="G53" s="15" t="n">
        <v>0.25</v>
      </c>
      <c r="H53" s="2" t="n">
        <f aca="false">ROUNDUP(G53,0)</f>
        <v>1</v>
      </c>
      <c r="I53" s="3" t="n">
        <f aca="false">F53*H53</f>
        <v>315.04</v>
      </c>
      <c r="J53" s="3" t="n">
        <f aca="false">INDEX(LR_TypLabor,MATCH(A53,LR_Key,0))</f>
        <v>599</v>
      </c>
      <c r="K53" s="0" t="str">
        <f aca="false">IF(NOT(ISNUMBER(J53)),"NO LABOR DATA",IF(J53&lt;I53,"BELOW FLOOR","OK"))</f>
        <v>OK</v>
      </c>
      <c r="L53" s="9" t="n">
        <f aca="false">IF(ISNUMBER(J53),J53-I53,"")</f>
        <v>283.96</v>
      </c>
      <c r="M53" s="3" t="n">
        <f aca="false">INDEX(LR_LowLabor,MATCH(A53,LR_Key,0))</f>
        <v>499</v>
      </c>
      <c r="N53" s="0" t="str">
        <f aca="false">IF(NOT(ISNUMBER(M53)),"",IF(M53&lt;I53,"low below floor","ok"))</f>
        <v>ok</v>
      </c>
    </row>
    <row r="54" customFormat="false" ht="15" hidden="false" customHeight="false" outlineLevel="0" collapsed="false">
      <c r="A54" s="2" t="s">
        <v>2068</v>
      </c>
      <c r="B54" s="2" t="s">
        <v>1430</v>
      </c>
      <c r="C54" s="2" t="s">
        <v>1051</v>
      </c>
      <c r="D54" s="2" t="s">
        <v>1431</v>
      </c>
      <c r="E54" s="2" t="str">
        <f aca="false">INDEX(LR_Trade,MATCH(A54,LR_Key,0))</f>
        <v>General</v>
      </c>
      <c r="F54" s="3" t="n">
        <f aca="false">INDEX(MW_Daily,MATCH(E54,MW_Trade,0))</f>
        <v>315.04</v>
      </c>
      <c r="G54" s="15" t="n">
        <v>0.25</v>
      </c>
      <c r="H54" s="2" t="n">
        <f aca="false">ROUNDUP(G54,0)</f>
        <v>1</v>
      </c>
      <c r="I54" s="3" t="n">
        <f aca="false">F54*H54</f>
        <v>315.04</v>
      </c>
      <c r="J54" s="3" t="n">
        <f aca="false">INDEX(LR_TypLabor,MATCH(A54,LR_Key,0))</f>
        <v>1099</v>
      </c>
      <c r="K54" s="0" t="str">
        <f aca="false">IF(NOT(ISNUMBER(J54)),"NO LABOR DATA",IF(J54&lt;I54,"BELOW FLOOR","OK"))</f>
        <v>OK</v>
      </c>
      <c r="L54" s="9" t="n">
        <f aca="false">IF(ISNUMBER(J54),J54-I54,"")</f>
        <v>783.96</v>
      </c>
      <c r="M54" s="3" t="n">
        <f aca="false">INDEX(LR_LowLabor,MATCH(A54,LR_Key,0))</f>
        <v>899</v>
      </c>
      <c r="N54" s="0" t="str">
        <f aca="false">IF(NOT(ISNUMBER(M54)),"",IF(M54&lt;I54,"low below floor","ok"))</f>
        <v>ok</v>
      </c>
    </row>
    <row r="55" customFormat="false" ht="15" hidden="false" customHeight="false" outlineLevel="0" collapsed="false">
      <c r="A55" s="2" t="s">
        <v>2071</v>
      </c>
      <c r="B55" s="2" t="s">
        <v>1439</v>
      </c>
      <c r="C55" s="2" t="s">
        <v>1917</v>
      </c>
      <c r="D55" s="2" t="s">
        <v>1440</v>
      </c>
      <c r="E55" s="2" t="str">
        <f aca="false">INDEX(LR_Trade,MATCH(A55,LR_Key,0))</f>
        <v>General</v>
      </c>
      <c r="F55" s="3" t="n">
        <f aca="false">INDEX(MW_Daily,MATCH(E55,MW_Trade,0))</f>
        <v>315.04</v>
      </c>
      <c r="G55" s="15" t="n">
        <v>0.25</v>
      </c>
      <c r="H55" s="2" t="n">
        <f aca="false">ROUNDUP(G55,0)</f>
        <v>1</v>
      </c>
      <c r="I55" s="3" t="n">
        <f aca="false">F55*H55</f>
        <v>315.04</v>
      </c>
      <c r="J55" s="3" t="n">
        <f aca="false">INDEX(LR_TypLabor,MATCH(A55,LR_Key,0))</f>
        <v>550</v>
      </c>
      <c r="K55" s="0" t="str">
        <f aca="false">IF(NOT(ISNUMBER(J55)),"NO LABOR DATA",IF(J55&lt;I55,"BELOW FLOOR","OK"))</f>
        <v>OK</v>
      </c>
      <c r="L55" s="9" t="n">
        <f aca="false">IF(ISNUMBER(J55),J55-I55,"")</f>
        <v>234.96</v>
      </c>
      <c r="M55" s="3" t="n">
        <f aca="false">INDEX(LR_LowLabor,MATCH(A55,LR_Key,0))</f>
        <v>350</v>
      </c>
      <c r="N55" s="0" t="str">
        <f aca="false">IF(NOT(ISNUMBER(M55)),"",IF(M55&lt;I55,"low below floor","ok"))</f>
        <v>ok</v>
      </c>
    </row>
    <row r="56" customFormat="false" ht="15" hidden="false" customHeight="false" outlineLevel="0" collapsed="false">
      <c r="A56" s="2" t="s">
        <v>2075</v>
      </c>
      <c r="B56" s="2" t="s">
        <v>1454</v>
      </c>
      <c r="C56" s="2" t="s">
        <v>1917</v>
      </c>
      <c r="D56" s="2" t="s">
        <v>1455</v>
      </c>
      <c r="E56" s="2" t="str">
        <f aca="false">INDEX(LR_Trade,MATCH(A56,LR_Key,0))</f>
        <v>General</v>
      </c>
      <c r="F56" s="3" t="n">
        <f aca="false">INDEX(MW_Daily,MATCH(E56,MW_Trade,0))</f>
        <v>315.04</v>
      </c>
      <c r="G56" s="15" t="n">
        <v>0.25</v>
      </c>
      <c r="H56" s="2" t="n">
        <f aca="false">ROUNDUP(G56,0)</f>
        <v>1</v>
      </c>
      <c r="I56" s="3" t="n">
        <f aca="false">F56*H56</f>
        <v>315.04</v>
      </c>
      <c r="J56" s="3" t="n">
        <f aca="false">INDEX(LR_TypLabor,MATCH(A56,LR_Key,0))</f>
        <v>550</v>
      </c>
      <c r="K56" s="0" t="str">
        <f aca="false">IF(NOT(ISNUMBER(J56)),"NO LABOR DATA",IF(J56&lt;I56,"BELOW FLOOR","OK"))</f>
        <v>OK</v>
      </c>
      <c r="L56" s="9" t="n">
        <f aca="false">IF(ISNUMBER(J56),J56-I56,"")</f>
        <v>234.96</v>
      </c>
      <c r="M56" s="3" t="n">
        <f aca="false">INDEX(LR_LowLabor,MATCH(A56,LR_Key,0))</f>
        <v>150</v>
      </c>
      <c r="N56" s="0" t="str">
        <f aca="false">IF(NOT(ISNUMBER(M56)),"",IF(M56&lt;I56,"low below floor","ok"))</f>
        <v>low below floor</v>
      </c>
    </row>
    <row r="57" customFormat="false" ht="15" hidden="false" customHeight="false" outlineLevel="0" collapsed="false">
      <c r="A57" s="2" t="s">
        <v>2080</v>
      </c>
      <c r="B57" s="2" t="s">
        <v>1460</v>
      </c>
      <c r="C57" s="2" t="s">
        <v>1917</v>
      </c>
      <c r="D57" s="2" t="s">
        <v>1461</v>
      </c>
      <c r="E57" s="2" t="str">
        <f aca="false">INDEX(LR_Trade,MATCH(A57,LR_Key,0))</f>
        <v>General</v>
      </c>
      <c r="F57" s="3" t="n">
        <f aca="false">INDEX(MW_Daily,MATCH(E57,MW_Trade,0))</f>
        <v>315.04</v>
      </c>
      <c r="G57" s="15" t="n">
        <v>0.25</v>
      </c>
      <c r="H57" s="2" t="n">
        <f aca="false">ROUNDUP(G57,0)</f>
        <v>1</v>
      </c>
      <c r="I57" s="3" t="n">
        <f aca="false">F57*H57</f>
        <v>315.04</v>
      </c>
      <c r="J57" s="3" t="n">
        <f aca="false">INDEX(LR_TypLabor,MATCH(A57,LR_Key,0))</f>
        <v>450</v>
      </c>
      <c r="K57" s="0" t="str">
        <f aca="false">IF(NOT(ISNUMBER(J57)),"NO LABOR DATA",IF(J57&lt;I57,"BELOW FLOOR","OK"))</f>
        <v>OK</v>
      </c>
      <c r="L57" s="9" t="n">
        <f aca="false">IF(ISNUMBER(J57),J57-I57,"")</f>
        <v>134.96</v>
      </c>
      <c r="M57" s="3" t="n">
        <f aca="false">INDEX(LR_LowLabor,MATCH(A57,LR_Key,0))</f>
        <v>300</v>
      </c>
      <c r="N57" s="0" t="str">
        <f aca="false">IF(NOT(ISNUMBER(M57)),"",IF(M57&lt;I57,"low below floor","ok"))</f>
        <v>low below floor</v>
      </c>
    </row>
    <row r="58" customFormat="false" ht="15" hidden="false" customHeight="false" outlineLevel="0" collapsed="false">
      <c r="A58" s="2" t="s">
        <v>2085</v>
      </c>
      <c r="B58" s="2" t="s">
        <v>1657</v>
      </c>
      <c r="C58" s="2" t="s">
        <v>1659</v>
      </c>
      <c r="D58" s="2" t="s">
        <v>1658</v>
      </c>
      <c r="E58" s="2" t="str">
        <f aca="false">INDEX(LR_Trade,MATCH(A58,LR_Key,0))</f>
        <v>Domestic worker / cleaner</v>
      </c>
      <c r="F58" s="3" t="n">
        <f aca="false">INDEX(MW_Daily,MATCH(E58,MW_Trade,0))</f>
        <v>342.47</v>
      </c>
      <c r="G58" s="15" t="n">
        <v>0.38</v>
      </c>
      <c r="H58" s="2" t="n">
        <f aca="false">ROUNDUP(G58,0)</f>
        <v>1</v>
      </c>
      <c r="I58" s="3" t="n">
        <f aca="false">F58*H58</f>
        <v>342.47</v>
      </c>
      <c r="J58" s="3" t="n">
        <f aca="false">INDEX(LR_TypLabor,MATCH(A58,LR_Key,0))</f>
        <v>943.35</v>
      </c>
      <c r="K58" s="0" t="str">
        <f aca="false">IF(NOT(ISNUMBER(J58)),"NO LABOR DATA",IF(J58&lt;I58,"BELOW FLOOR","OK"))</f>
        <v>OK</v>
      </c>
      <c r="L58" s="9" t="n">
        <f aca="false">IF(ISNUMBER(J58),J58-I58,"")</f>
        <v>600.88</v>
      </c>
      <c r="M58" s="3" t="n">
        <f aca="false">INDEX(LR_LowLabor,MATCH(A58,LR_Key,0))</f>
        <v>644</v>
      </c>
      <c r="N58" s="0" t="str">
        <f aca="false">IF(NOT(ISNUMBER(M58)),"",IF(M58&lt;I58,"low below floor","ok"))</f>
        <v>ok</v>
      </c>
    </row>
    <row r="59" customFormat="false" ht="15" hidden="false" customHeight="false" outlineLevel="0" collapsed="false">
      <c r="A59" s="2" t="s">
        <v>2091</v>
      </c>
      <c r="B59" s="2" t="s">
        <v>1703</v>
      </c>
      <c r="C59" s="2" t="s">
        <v>1659</v>
      </c>
      <c r="D59" s="2" t="s">
        <v>1704</v>
      </c>
      <c r="E59" s="2" t="str">
        <f aca="false">INDEX(LR_Trade,MATCH(A59,LR_Key,0))</f>
        <v>Domestic worker / cleaner</v>
      </c>
      <c r="F59" s="3" t="n">
        <f aca="false">INDEX(MW_Daily,MATCH(E59,MW_Trade,0))</f>
        <v>342.47</v>
      </c>
      <c r="G59" s="15" t="n">
        <v>0.62</v>
      </c>
      <c r="H59" s="2" t="n">
        <f aca="false">ROUNDUP(G59,0)</f>
        <v>1</v>
      </c>
      <c r="I59" s="3" t="n">
        <f aca="false">F59*H59</f>
        <v>342.47</v>
      </c>
      <c r="J59" s="3" t="n">
        <f aca="false">INDEX(LR_TypLabor,MATCH(A59,LR_Key,0))</f>
        <v>1565.02</v>
      </c>
      <c r="K59" s="0" t="str">
        <f aca="false">IF(NOT(ISNUMBER(J59)),"NO LABOR DATA",IF(J59&lt;I59,"BELOW FLOOR","OK"))</f>
        <v>OK</v>
      </c>
      <c r="L59" s="9" t="n">
        <f aca="false">IF(ISNUMBER(J59),J59-I59,"")</f>
        <v>1222.55</v>
      </c>
      <c r="M59" s="3" t="n">
        <f aca="false">INDEX(LR_LowLabor,MATCH(A59,LR_Key,0))</f>
        <v>1500</v>
      </c>
      <c r="N59" s="0" t="str">
        <f aca="false">IF(NOT(ISNUMBER(M59)),"",IF(M59&lt;I59,"low below floor","ok"))</f>
        <v>ok</v>
      </c>
    </row>
    <row r="60" customFormat="false" ht="15" hidden="false" customHeight="false" outlineLevel="0" collapsed="false">
      <c r="A60" s="2" t="s">
        <v>2095</v>
      </c>
      <c r="B60" s="2" t="s">
        <v>1745</v>
      </c>
      <c r="C60" s="2" t="s">
        <v>1659</v>
      </c>
      <c r="D60" s="2" t="s">
        <v>1746</v>
      </c>
      <c r="E60" s="2" t="str">
        <f aca="false">INDEX(LR_Trade,MATCH(A60,LR_Key,0))</f>
        <v>Domestic worker / cleaner</v>
      </c>
      <c r="F60" s="3" t="n">
        <f aca="false">INDEX(MW_Daily,MATCH(E60,MW_Trade,0))</f>
        <v>342.47</v>
      </c>
      <c r="G60" s="15" t="n">
        <v>0.62</v>
      </c>
      <c r="H60" s="2" t="n">
        <f aca="false">ROUNDUP(G60,0)</f>
        <v>1</v>
      </c>
      <c r="I60" s="3" t="n">
        <f aca="false">F60*H60</f>
        <v>342.47</v>
      </c>
      <c r="J60" s="3" t="n">
        <f aca="false">INDEX(LR_TypLabor,MATCH(A60,LR_Key,0))</f>
        <v>1265.02</v>
      </c>
      <c r="K60" s="0" t="str">
        <f aca="false">IF(NOT(ISNUMBER(J60)),"NO LABOR DATA",IF(J60&lt;I60,"BELOW FLOOR","OK"))</f>
        <v>OK</v>
      </c>
      <c r="L60" s="9" t="n">
        <f aca="false">IF(ISNUMBER(J60),J60-I60,"")</f>
        <v>922.55</v>
      </c>
      <c r="M60" s="3" t="n">
        <f aca="false">INDEX(LR_LowLabor,MATCH(A60,LR_Key,0))</f>
        <v>800</v>
      </c>
      <c r="N60" s="0" t="str">
        <f aca="false">IF(NOT(ISNUMBER(M60)),"",IF(M60&lt;I60,"low below floor","ok"))</f>
        <v>ok</v>
      </c>
    </row>
    <row r="61" customFormat="false" ht="15" hidden="false" customHeight="false" outlineLevel="0" collapsed="false">
      <c r="A61" s="2" t="s">
        <v>2100</v>
      </c>
      <c r="B61" s="2" t="s">
        <v>1782</v>
      </c>
      <c r="C61" s="2" t="s">
        <v>1659</v>
      </c>
      <c r="D61" s="2" t="s">
        <v>1783</v>
      </c>
      <c r="E61" s="2" t="str">
        <f aca="false">INDEX(LR_Trade,MATCH(A61,LR_Key,0))</f>
        <v>Domestic worker / cleaner</v>
      </c>
      <c r="F61" s="3" t="n">
        <f aca="false">INDEX(MW_Daily,MATCH(E61,MW_Trade,0))</f>
        <v>342.47</v>
      </c>
      <c r="G61" s="15" t="n">
        <v>1</v>
      </c>
      <c r="H61" s="2" t="n">
        <f aca="false">ROUNDUP(G61,0)</f>
        <v>1</v>
      </c>
      <c r="I61" s="3" t="n">
        <f aca="false">F61*H61</f>
        <v>342.47</v>
      </c>
      <c r="J61" s="3" t="n">
        <f aca="false">INDEX(LR_TypLabor,MATCH(A61,LR_Key,0))</f>
        <v>2086.7</v>
      </c>
      <c r="K61" s="0" t="str">
        <f aca="false">IF(NOT(ISNUMBER(J61)),"NO LABOR DATA",IF(J61&lt;I61,"BELOW FLOOR","OK"))</f>
        <v>OK</v>
      </c>
      <c r="L61" s="9" t="n">
        <f aca="false">IF(ISNUMBER(J61),J61-I61,"")</f>
        <v>1744.23</v>
      </c>
      <c r="M61" s="3" t="n">
        <f aca="false">INDEX(LR_LowLabor,MATCH(A61,LR_Key,0))</f>
        <v>1500</v>
      </c>
      <c r="N61" s="0" t="str">
        <f aca="false">IF(NOT(ISNUMBER(M61)),"",IF(M61&lt;I61,"low below floor","ok"))</f>
        <v>ok</v>
      </c>
    </row>
    <row r="62" customFormat="false" ht="15" hidden="false" customHeight="false" outlineLevel="0" collapsed="false">
      <c r="A62" s="2" t="s">
        <v>2105</v>
      </c>
      <c r="B62" s="2" t="s">
        <v>1657</v>
      </c>
      <c r="C62" s="2" t="s">
        <v>1679</v>
      </c>
      <c r="D62" s="2" t="s">
        <v>1658</v>
      </c>
      <c r="E62" s="2" t="str">
        <f aca="false">INDEX(LR_Trade,MATCH(A62,LR_Key,0))</f>
        <v>Domestic worker / cleaner</v>
      </c>
      <c r="F62" s="3" t="n">
        <f aca="false">INDEX(MW_Daily,MATCH(E62,MW_Trade,0))</f>
        <v>342.47</v>
      </c>
      <c r="G62" s="15" t="n">
        <v>0.56</v>
      </c>
      <c r="H62" s="2" t="n">
        <f aca="false">ROUNDUP(G62,0)</f>
        <v>1</v>
      </c>
      <c r="I62" s="3" t="n">
        <f aca="false">F62*H62</f>
        <v>342.47</v>
      </c>
      <c r="J62" s="3" t="n">
        <f aca="false">INDEX(LR_TypLabor,MATCH(A62,LR_Key,0))</f>
        <v>1165.02</v>
      </c>
      <c r="K62" s="0" t="str">
        <f aca="false">IF(NOT(ISNUMBER(J62)),"NO LABOR DATA",IF(J62&lt;I62,"BELOW FLOOR","OK"))</f>
        <v>OK</v>
      </c>
      <c r="L62" s="9" t="n">
        <f aca="false">IF(ISNUMBER(J62),J62-I62,"")</f>
        <v>822.55</v>
      </c>
      <c r="M62" s="3" t="n">
        <f aca="false">INDEX(LR_LowLabor,MATCH(A62,LR_Key,0))</f>
        <v>644</v>
      </c>
      <c r="N62" s="0" t="str">
        <f aca="false">IF(NOT(ISNUMBER(M62)),"",IF(M62&lt;I62,"low below floor","ok"))</f>
        <v>ok</v>
      </c>
    </row>
    <row r="63" customFormat="false" ht="15" hidden="false" customHeight="false" outlineLevel="0" collapsed="false">
      <c r="A63" s="2" t="s">
        <v>2108</v>
      </c>
      <c r="B63" s="2" t="s">
        <v>1703</v>
      </c>
      <c r="C63" s="2" t="s">
        <v>1679</v>
      </c>
      <c r="D63" s="2" t="s">
        <v>1704</v>
      </c>
      <c r="E63" s="2" t="str">
        <f aca="false">INDEX(LR_Trade,MATCH(A63,LR_Key,0))</f>
        <v>Domestic worker / cleaner</v>
      </c>
      <c r="F63" s="3" t="n">
        <f aca="false">INDEX(MW_Daily,MATCH(E63,MW_Trade,0))</f>
        <v>342.47</v>
      </c>
      <c r="G63" s="15" t="n">
        <v>0.88</v>
      </c>
      <c r="H63" s="2" t="n">
        <f aca="false">ROUNDUP(G63,0)</f>
        <v>1</v>
      </c>
      <c r="I63" s="3" t="n">
        <f aca="false">F63*H63</f>
        <v>342.47</v>
      </c>
      <c r="J63" s="3" t="n">
        <f aca="false">INDEX(LR_TypLabor,MATCH(A63,LR_Key,0))</f>
        <v>2147.54</v>
      </c>
      <c r="K63" s="0" t="str">
        <f aca="false">IF(NOT(ISNUMBER(J63)),"NO LABOR DATA",IF(J63&lt;I63,"BELOW FLOOR","OK"))</f>
        <v>OK</v>
      </c>
      <c r="L63" s="9" t="n">
        <f aca="false">IF(ISNUMBER(J63),J63-I63,"")</f>
        <v>1805.07</v>
      </c>
      <c r="M63" s="3" t="n">
        <f aca="false">INDEX(LR_LowLabor,MATCH(A63,LR_Key,0))</f>
        <v>1500</v>
      </c>
      <c r="N63" s="0" t="str">
        <f aca="false">IF(NOT(ISNUMBER(M63)),"",IF(M63&lt;I63,"low below floor","ok"))</f>
        <v>ok</v>
      </c>
    </row>
    <row r="64" customFormat="false" ht="15" hidden="false" customHeight="false" outlineLevel="0" collapsed="false">
      <c r="A64" s="2" t="s">
        <v>2110</v>
      </c>
      <c r="B64" s="2" t="s">
        <v>1745</v>
      </c>
      <c r="C64" s="2" t="s">
        <v>1679</v>
      </c>
      <c r="D64" s="2" t="s">
        <v>1746</v>
      </c>
      <c r="E64" s="2" t="str">
        <f aca="false">INDEX(LR_Trade,MATCH(A64,LR_Key,0))</f>
        <v>Domestic worker / cleaner</v>
      </c>
      <c r="F64" s="3" t="n">
        <f aca="false">INDEX(MW_Daily,MATCH(E64,MW_Trade,0))</f>
        <v>342.47</v>
      </c>
      <c r="G64" s="15" t="n">
        <v>0.88</v>
      </c>
      <c r="H64" s="2" t="n">
        <f aca="false">ROUNDUP(G64,0)</f>
        <v>1</v>
      </c>
      <c r="I64" s="3" t="n">
        <f aca="false">F64*H64</f>
        <v>342.47</v>
      </c>
      <c r="J64" s="3" t="n">
        <f aca="false">INDEX(LR_TypLabor,MATCH(A64,LR_Key,0))</f>
        <v>1847.54</v>
      </c>
      <c r="K64" s="0" t="str">
        <f aca="false">IF(NOT(ISNUMBER(J64)),"NO LABOR DATA",IF(J64&lt;I64,"BELOW FLOOR","OK"))</f>
        <v>OK</v>
      </c>
      <c r="L64" s="9" t="n">
        <f aca="false">IF(ISNUMBER(J64),J64-I64,"")</f>
        <v>1505.07</v>
      </c>
      <c r="M64" s="3" t="n">
        <f aca="false">INDEX(LR_LowLabor,MATCH(A64,LR_Key,0))</f>
        <v>800</v>
      </c>
      <c r="N64" s="0" t="str">
        <f aca="false">IF(NOT(ISNUMBER(M64)),"",IF(M64&lt;I64,"low below floor","ok"))</f>
        <v>ok</v>
      </c>
    </row>
    <row r="65" customFormat="false" ht="15" hidden="false" customHeight="false" outlineLevel="0" collapsed="false">
      <c r="A65" s="2" t="s">
        <v>2113</v>
      </c>
      <c r="B65" s="2" t="s">
        <v>1782</v>
      </c>
      <c r="C65" s="2" t="s">
        <v>1679</v>
      </c>
      <c r="D65" s="2" t="s">
        <v>1783</v>
      </c>
      <c r="E65" s="2" t="str">
        <f aca="false">INDEX(LR_Trade,MATCH(A65,LR_Key,0))</f>
        <v>Domestic worker / cleaner</v>
      </c>
      <c r="F65" s="3" t="n">
        <f aca="false">INDEX(MW_Daily,MATCH(E65,MW_Trade,0))</f>
        <v>342.47</v>
      </c>
      <c r="G65" s="15" t="n">
        <v>1.5</v>
      </c>
      <c r="H65" s="2" t="n">
        <f aca="false">ROUNDUP(G65,0)</f>
        <v>2</v>
      </c>
      <c r="I65" s="3" t="n">
        <f aca="false">F65*H65</f>
        <v>684.94</v>
      </c>
      <c r="J65" s="3" t="n">
        <f aca="false">INDEX(LR_TypLabor,MATCH(A65,LR_Key,0))</f>
        <v>3530.05</v>
      </c>
      <c r="K65" s="0" t="str">
        <f aca="false">IF(NOT(ISNUMBER(J65)),"NO LABOR DATA",IF(J65&lt;I65,"BELOW FLOOR","OK"))</f>
        <v>OK</v>
      </c>
      <c r="L65" s="9" t="n">
        <f aca="false">IF(ISNUMBER(J65),J65-I65,"")</f>
        <v>2845.11</v>
      </c>
      <c r="M65" s="3" t="n">
        <f aca="false">INDEX(LR_LowLabor,MATCH(A65,LR_Key,0))</f>
        <v>1500</v>
      </c>
      <c r="N65" s="0" t="str">
        <f aca="false">IF(NOT(ISNUMBER(M65)),"",IF(M65&lt;I65,"low below floor","ok"))</f>
        <v>ok</v>
      </c>
    </row>
    <row r="66" customFormat="false" ht="15" hidden="false" customHeight="false" outlineLevel="0" collapsed="false">
      <c r="A66" s="2" t="s">
        <v>2116</v>
      </c>
      <c r="B66" s="2" t="s">
        <v>1657</v>
      </c>
      <c r="C66" s="2" t="s">
        <v>1691</v>
      </c>
      <c r="D66" s="2" t="s">
        <v>1658</v>
      </c>
      <c r="E66" s="2" t="str">
        <f aca="false">INDEX(LR_Trade,MATCH(A66,LR_Key,0))</f>
        <v>Domestic worker / cleaner</v>
      </c>
      <c r="F66" s="3" t="n">
        <f aca="false">INDEX(MW_Daily,MATCH(E66,MW_Trade,0))</f>
        <v>342.47</v>
      </c>
      <c r="G66" s="15" t="n">
        <v>0.75</v>
      </c>
      <c r="H66" s="2" t="n">
        <f aca="false">ROUNDUP(G66,0)</f>
        <v>1</v>
      </c>
      <c r="I66" s="3" t="n">
        <f aca="false">F66*H66</f>
        <v>342.47</v>
      </c>
      <c r="J66" s="3" t="n">
        <f aca="false">INDEX(LR_TypLabor,MATCH(A66,LR_Key,0))</f>
        <v>1486.7</v>
      </c>
      <c r="K66" s="0" t="str">
        <f aca="false">IF(NOT(ISNUMBER(J66)),"NO LABOR DATA",IF(J66&lt;I66,"BELOW FLOOR","OK"))</f>
        <v>OK</v>
      </c>
      <c r="L66" s="9" t="n">
        <f aca="false">IF(ISNUMBER(J66),J66-I66,"")</f>
        <v>1144.23</v>
      </c>
      <c r="M66" s="3" t="n">
        <f aca="false">INDEX(LR_LowLabor,MATCH(A66,LR_Key,0))</f>
        <v>644</v>
      </c>
      <c r="N66" s="0" t="str">
        <f aca="false">IF(NOT(ISNUMBER(M66)),"",IF(M66&lt;I66,"low below floor","ok"))</f>
        <v>ok</v>
      </c>
    </row>
    <row r="67" customFormat="false" ht="15" hidden="false" customHeight="false" outlineLevel="0" collapsed="false">
      <c r="A67" s="2" t="s">
        <v>2119</v>
      </c>
      <c r="B67" s="2" t="s">
        <v>1703</v>
      </c>
      <c r="C67" s="2" t="s">
        <v>1691</v>
      </c>
      <c r="D67" s="2" t="s">
        <v>1704</v>
      </c>
      <c r="E67" s="2" t="str">
        <f aca="false">INDEX(LR_Trade,MATCH(A67,LR_Key,0))</f>
        <v>Domestic worker / cleaner</v>
      </c>
      <c r="F67" s="3" t="n">
        <f aca="false">INDEX(MW_Daily,MATCH(E67,MW_Trade,0))</f>
        <v>342.47</v>
      </c>
      <c r="G67" s="15" t="n">
        <v>1.12</v>
      </c>
      <c r="H67" s="2" t="n">
        <f aca="false">ROUNDUP(G67,0)</f>
        <v>2</v>
      </c>
      <c r="I67" s="3" t="n">
        <f aca="false">F67*H67</f>
        <v>684.94</v>
      </c>
      <c r="J67" s="3" t="n">
        <f aca="false">INDEX(LR_TypLabor,MATCH(A67,LR_Key,0))</f>
        <v>2830.05</v>
      </c>
      <c r="K67" s="0" t="str">
        <f aca="false">IF(NOT(ISNUMBER(J67)),"NO LABOR DATA",IF(J67&lt;I67,"BELOW FLOOR","OK"))</f>
        <v>OK</v>
      </c>
      <c r="L67" s="9" t="n">
        <f aca="false">IF(ISNUMBER(J67),J67-I67,"")</f>
        <v>2145.11</v>
      </c>
      <c r="M67" s="3" t="n">
        <f aca="false">INDEX(LR_LowLabor,MATCH(A67,LR_Key,0))</f>
        <v>1500</v>
      </c>
      <c r="N67" s="0" t="str">
        <f aca="false">IF(NOT(ISNUMBER(M67)),"",IF(M67&lt;I67,"low below floor","ok"))</f>
        <v>ok</v>
      </c>
    </row>
    <row r="68" customFormat="false" ht="15" hidden="false" customHeight="false" outlineLevel="0" collapsed="false">
      <c r="A68" s="2" t="s">
        <v>2121</v>
      </c>
      <c r="B68" s="2" t="s">
        <v>1745</v>
      </c>
      <c r="C68" s="2" t="s">
        <v>1691</v>
      </c>
      <c r="D68" s="2" t="s">
        <v>1746</v>
      </c>
      <c r="E68" s="2" t="str">
        <f aca="false">INDEX(LR_Trade,MATCH(A68,LR_Key,0))</f>
        <v>Domestic worker / cleaner</v>
      </c>
      <c r="F68" s="3" t="n">
        <f aca="false">INDEX(MW_Daily,MATCH(E68,MW_Trade,0))</f>
        <v>342.47</v>
      </c>
      <c r="G68" s="15" t="n">
        <v>1.12</v>
      </c>
      <c r="H68" s="2" t="n">
        <f aca="false">ROUNDUP(G68,0)</f>
        <v>2</v>
      </c>
      <c r="I68" s="3" t="n">
        <f aca="false">F68*H68</f>
        <v>684.94</v>
      </c>
      <c r="J68" s="3" t="n">
        <f aca="false">INDEX(LR_TypLabor,MATCH(A68,LR_Key,0))</f>
        <v>2530.05</v>
      </c>
      <c r="K68" s="0" t="str">
        <f aca="false">IF(NOT(ISNUMBER(J68)),"NO LABOR DATA",IF(J68&lt;I68,"BELOW FLOOR","OK"))</f>
        <v>OK</v>
      </c>
      <c r="L68" s="9" t="n">
        <f aca="false">IF(ISNUMBER(J68),J68-I68,"")</f>
        <v>1845.11</v>
      </c>
      <c r="M68" s="3" t="n">
        <f aca="false">INDEX(LR_LowLabor,MATCH(A68,LR_Key,0))</f>
        <v>800</v>
      </c>
      <c r="N68" s="0" t="str">
        <f aca="false">IF(NOT(ISNUMBER(M68)),"",IF(M68&lt;I68,"low below floor","ok"))</f>
        <v>ok</v>
      </c>
    </row>
    <row r="69" customFormat="false" ht="15" hidden="false" customHeight="false" outlineLevel="0" collapsed="false">
      <c r="A69" s="2" t="s">
        <v>2124</v>
      </c>
      <c r="B69" s="2" t="s">
        <v>1782</v>
      </c>
      <c r="C69" s="2" t="s">
        <v>1691</v>
      </c>
      <c r="D69" s="2" t="s">
        <v>1783</v>
      </c>
      <c r="E69" s="2" t="str">
        <f aca="false">INDEX(LR_Trade,MATCH(A69,LR_Key,0))</f>
        <v>Domestic worker / cleaner</v>
      </c>
      <c r="F69" s="3" t="n">
        <f aca="false">INDEX(MW_Daily,MATCH(E69,MW_Trade,0))</f>
        <v>342.47</v>
      </c>
      <c r="G69" s="15" t="n">
        <v>2</v>
      </c>
      <c r="H69" s="2" t="n">
        <f aca="false">ROUNDUP(G69,0)</f>
        <v>2</v>
      </c>
      <c r="I69" s="3" t="n">
        <f aca="false">F69*H69</f>
        <v>684.94</v>
      </c>
      <c r="J69" s="3" t="n">
        <f aca="false">INDEX(LR_TypLabor,MATCH(A69,LR_Key,0))</f>
        <v>5373.4</v>
      </c>
      <c r="K69" s="0" t="str">
        <f aca="false">IF(NOT(ISNUMBER(J69)),"NO LABOR DATA",IF(J69&lt;I69,"BELOW FLOOR","OK"))</f>
        <v>OK</v>
      </c>
      <c r="L69" s="9" t="n">
        <f aca="false">IF(ISNUMBER(J69),J69-I69,"")</f>
        <v>4688.46</v>
      </c>
      <c r="M69" s="3" t="n">
        <f aca="false">INDEX(LR_LowLabor,MATCH(A69,LR_Key,0))</f>
        <v>1500</v>
      </c>
      <c r="N69" s="0" t="str">
        <f aca="false">IF(NOT(ISNUMBER(M69)),"",IF(M69&lt;I69,"low below floor","ok"))</f>
        <v>ok</v>
      </c>
    </row>
    <row r="70" customFormat="false" ht="15" hidden="false" customHeight="false" outlineLevel="0" collapsed="false">
      <c r="A70" s="2" t="s">
        <v>2127</v>
      </c>
      <c r="B70" s="2" t="s">
        <v>1810</v>
      </c>
      <c r="C70" s="2" t="s">
        <v>1917</v>
      </c>
      <c r="D70" s="2" t="s">
        <v>1811</v>
      </c>
      <c r="E70" s="2" t="str">
        <f aca="false">INDEX(LR_Trade,MATCH(A70,LR_Key,0))</f>
        <v>Domestic worker / cleaner</v>
      </c>
      <c r="F70" s="3" t="n">
        <f aca="false">INDEX(MW_Daily,MATCH(E70,MW_Trade,0))</f>
        <v>342.47</v>
      </c>
      <c r="G70" s="15" t="n">
        <v>0.25</v>
      </c>
      <c r="H70" s="2" t="n">
        <f aca="false">ROUNDUP(G70,0)</f>
        <v>1</v>
      </c>
      <c r="I70" s="3" t="n">
        <f aca="false">F70*H70</f>
        <v>342.47</v>
      </c>
      <c r="J70" s="3" t="n">
        <f aca="false">INDEX(LR_TypLabor,MATCH(A70,LR_Key,0))</f>
        <v>750</v>
      </c>
      <c r="K70" s="0" t="str">
        <f aca="false">IF(NOT(ISNUMBER(J70)),"NO LABOR DATA",IF(J70&lt;I70,"BELOW FLOOR","OK"))</f>
        <v>OK</v>
      </c>
      <c r="L70" s="9" t="n">
        <f aca="false">IF(ISNUMBER(J70),J70-I70,"")</f>
        <v>407.53</v>
      </c>
      <c r="M70" s="3" t="n">
        <f aca="false">INDEX(LR_LowLabor,MATCH(A70,LR_Key,0))</f>
        <v>351</v>
      </c>
      <c r="N70" s="0" t="str">
        <f aca="false">IF(NOT(ISNUMBER(M70)),"",IF(M70&lt;I70,"low below floor","ok"))</f>
        <v>ok</v>
      </c>
    </row>
    <row r="71" customFormat="false" ht="15" hidden="false" customHeight="false" outlineLevel="0" collapsed="false">
      <c r="A71" s="2" t="s">
        <v>2133</v>
      </c>
      <c r="B71" s="2" t="s">
        <v>1810</v>
      </c>
      <c r="C71" s="2" t="s">
        <v>2134</v>
      </c>
      <c r="D71" s="2" t="s">
        <v>1811</v>
      </c>
      <c r="E71" s="2" t="str">
        <f aca="false">INDEX(LR_Trade,MATCH(A71,LR_Key,0))</f>
        <v>Domestic worker / cleaner</v>
      </c>
      <c r="F71" s="3" t="n">
        <f aca="false">INDEX(MW_Daily,MATCH(E71,MW_Trade,0))</f>
        <v>342.47</v>
      </c>
      <c r="G71" s="15" t="n">
        <v>0.12</v>
      </c>
      <c r="H71" s="2" t="n">
        <f aca="false">ROUNDUP(G71,0)</f>
        <v>1</v>
      </c>
      <c r="I71" s="3" t="n">
        <f aca="false">F71*H71</f>
        <v>342.47</v>
      </c>
      <c r="J71" s="3" t="n">
        <f aca="false">INDEX(LR_TypLabor,MATCH(A71,LR_Key,0))</f>
        <v>300</v>
      </c>
      <c r="K71" s="0" t="str">
        <f aca="false">IF(NOT(ISNUMBER(J71)),"NO LABOR DATA",IF(J71&lt;I71,"BELOW FLOOR","OK"))</f>
        <v>BELOW FLOOR</v>
      </c>
      <c r="L71" s="9" t="n">
        <f aca="false">IF(ISNUMBER(J71),J71-I71,"")</f>
        <v>-42.47</v>
      </c>
      <c r="M71" s="3" t="n">
        <f aca="false">INDEX(LR_LowLabor,MATCH(A71,LR_Key,0))</f>
        <v>250</v>
      </c>
      <c r="N71" s="0" t="str">
        <f aca="false">IF(NOT(ISNUMBER(M71)),"",IF(M71&lt;I71,"low below floor","ok"))</f>
        <v>low below floor</v>
      </c>
    </row>
    <row r="72" customFormat="false" ht="15" hidden="false" customHeight="false" outlineLevel="0" collapsed="false">
      <c r="A72" s="2" t="s">
        <v>2139</v>
      </c>
      <c r="B72" s="2" t="s">
        <v>1810</v>
      </c>
      <c r="C72" s="2" t="s">
        <v>2140</v>
      </c>
      <c r="D72" s="2" t="s">
        <v>1811</v>
      </c>
      <c r="E72" s="2" t="str">
        <f aca="false">INDEX(LR_Trade,MATCH(A72,LR_Key,0))</f>
        <v>Domestic worker / cleaner</v>
      </c>
      <c r="F72" s="3" t="n">
        <f aca="false">INDEX(MW_Daily,MATCH(E72,MW_Trade,0))</f>
        <v>342.47</v>
      </c>
      <c r="G72" s="15" t="n">
        <v>0.12</v>
      </c>
      <c r="H72" s="2" t="n">
        <f aca="false">ROUNDUP(G72,0)</f>
        <v>1</v>
      </c>
      <c r="I72" s="3" t="n">
        <f aca="false">F72*H72</f>
        <v>342.47</v>
      </c>
      <c r="J72" s="3" t="n">
        <f aca="false">INDEX(LR_TypLabor,MATCH(A72,LR_Key,0))</f>
        <v>350</v>
      </c>
      <c r="K72" s="0" t="str">
        <f aca="false">IF(NOT(ISNUMBER(J72)),"NO LABOR DATA",IF(J72&lt;I72,"BELOW FLOOR","OK"))</f>
        <v>OK</v>
      </c>
      <c r="L72" s="9" t="n">
        <f aca="false">IF(ISNUMBER(J72),J72-I72,"")</f>
        <v>7.52999999999997</v>
      </c>
      <c r="M72" s="3" t="n">
        <f aca="false">INDEX(LR_LowLabor,MATCH(A72,LR_Key,0))</f>
        <v>250</v>
      </c>
      <c r="N72" s="0" t="str">
        <f aca="false">IF(NOT(ISNUMBER(M72)),"",IF(M72&lt;I72,"low below floor","ok"))</f>
        <v>low below floor</v>
      </c>
    </row>
    <row r="73" customFormat="false" ht="15" hidden="false" customHeight="false" outlineLevel="0" collapsed="false">
      <c r="A73" s="2" t="s">
        <v>2143</v>
      </c>
      <c r="B73" s="2" t="s">
        <v>1810</v>
      </c>
      <c r="C73" s="2" t="s">
        <v>2144</v>
      </c>
      <c r="D73" s="2" t="s">
        <v>1811</v>
      </c>
      <c r="E73" s="2" t="str">
        <f aca="false">INDEX(LR_Trade,MATCH(A73,LR_Key,0))</f>
        <v>Domestic worker / cleaner</v>
      </c>
      <c r="F73" s="3" t="n">
        <f aca="false">INDEX(MW_Daily,MATCH(E73,MW_Trade,0))</f>
        <v>342.47</v>
      </c>
      <c r="G73" s="15" t="n">
        <v>0.12</v>
      </c>
      <c r="H73" s="2" t="n">
        <f aca="false">ROUNDUP(G73,0)</f>
        <v>1</v>
      </c>
      <c r="I73" s="3" t="n">
        <f aca="false">F73*H73</f>
        <v>342.47</v>
      </c>
      <c r="J73" s="3" t="n">
        <f aca="false">INDEX(LR_TypLabor,MATCH(A73,LR_Key,0))</f>
        <v>450</v>
      </c>
      <c r="K73" s="0" t="str">
        <f aca="false">IF(NOT(ISNUMBER(J73)),"NO LABOR DATA",IF(J73&lt;I73,"BELOW FLOOR","OK"))</f>
        <v>OK</v>
      </c>
      <c r="L73" s="9" t="n">
        <f aca="false">IF(ISNUMBER(J73),J73-I73,"")</f>
        <v>107.53</v>
      </c>
      <c r="M73" s="3" t="n">
        <f aca="false">INDEX(LR_LowLabor,MATCH(A73,LR_Key,0))</f>
        <v>350</v>
      </c>
      <c r="N73" s="0" t="str">
        <f aca="false">IF(NOT(ISNUMBER(M73)),"",IF(M73&lt;I73,"low below floor","ok"))</f>
        <v>ok</v>
      </c>
    </row>
    <row r="74" customFormat="false" ht="15" hidden="false" customHeight="false" outlineLevel="0" collapsed="false">
      <c r="A74" s="2" t="s">
        <v>2147</v>
      </c>
      <c r="B74" s="2" t="s">
        <v>1810</v>
      </c>
      <c r="C74" s="2" t="s">
        <v>2148</v>
      </c>
      <c r="D74" s="2" t="s">
        <v>1811</v>
      </c>
      <c r="E74" s="2" t="str">
        <f aca="false">INDEX(LR_Trade,MATCH(A74,LR_Key,0))</f>
        <v>Domestic worker / cleaner</v>
      </c>
      <c r="F74" s="3" t="n">
        <f aca="false">INDEX(MW_Daily,MATCH(E74,MW_Trade,0))</f>
        <v>342.47</v>
      </c>
      <c r="G74" s="15" t="n">
        <v>0.12</v>
      </c>
      <c r="H74" s="2" t="n">
        <f aca="false">ROUNDUP(G74,0)</f>
        <v>1</v>
      </c>
      <c r="I74" s="3" t="n">
        <f aca="false">F74*H74</f>
        <v>342.47</v>
      </c>
      <c r="J74" s="3" t="n">
        <f aca="false">INDEX(LR_TypLabor,MATCH(A74,LR_Key,0))</f>
        <v>550</v>
      </c>
      <c r="K74" s="0" t="str">
        <f aca="false">IF(NOT(ISNUMBER(J74)),"NO LABOR DATA",IF(J74&lt;I74,"BELOW FLOOR","OK"))</f>
        <v>OK</v>
      </c>
      <c r="L74" s="9" t="n">
        <f aca="false">IF(ISNUMBER(J74),J74-I74,"")</f>
        <v>207.53</v>
      </c>
      <c r="M74" s="3" t="n">
        <f aca="false">INDEX(LR_LowLabor,MATCH(A74,LR_Key,0))</f>
        <v>400</v>
      </c>
      <c r="N74" s="0" t="str">
        <f aca="false">IF(NOT(ISNUMBER(M74)),"",IF(M74&lt;I74,"low below floor","ok"))</f>
        <v>ok</v>
      </c>
    </row>
    <row r="75" customFormat="false" ht="15" hidden="false" customHeight="false" outlineLevel="0" collapsed="false">
      <c r="A75" s="2" t="s">
        <v>2151</v>
      </c>
      <c r="B75" s="2" t="s">
        <v>1657</v>
      </c>
      <c r="C75" s="2" t="s">
        <v>2152</v>
      </c>
      <c r="D75" s="2" t="s">
        <v>1658</v>
      </c>
      <c r="E75" s="2" t="str">
        <f aca="false">INDEX(LR_Trade,MATCH(A75,LR_Key,0))</f>
        <v>Domestic worker / cleaner</v>
      </c>
      <c r="F75" s="3" t="n">
        <f aca="false">INDEX(MW_Daily,MATCH(E75,MW_Trade,0))</f>
        <v>342.47</v>
      </c>
      <c r="G75" s="15" t="n">
        <v>0.5</v>
      </c>
      <c r="H75" s="2" t="n">
        <f aca="false">ROUNDUP(G75,0)</f>
        <v>1</v>
      </c>
      <c r="I75" s="3" t="n">
        <f aca="false">F75*H75</f>
        <v>342.47</v>
      </c>
      <c r="J75" s="3" t="n">
        <f aca="false">INDEX(LR_TypLabor,MATCH(A75,LR_Key,0))</f>
        <v>250</v>
      </c>
      <c r="K75" s="0" t="s">
        <v>2204</v>
      </c>
      <c r="L75" s="9" t="n">
        <f aca="false">IF(ISNUMBER(J75),J75-I75,"")</f>
        <v>-92.47</v>
      </c>
      <c r="M75" s="3" t="n">
        <f aca="false">INDEX(LR_LowLabor,MATCH(A75,LR_Key,0))</f>
        <v>250</v>
      </c>
      <c r="N75" s="0" t="str">
        <f aca="false">IF(NOT(ISNUMBER(M75)),"",IF(M75&lt;I75,"low below floor","ok"))</f>
        <v>low below floor</v>
      </c>
    </row>
    <row r="76" customFormat="false" ht="15" hidden="false" customHeight="false" outlineLevel="0" collapsed="false">
      <c r="A76" s="2" t="s">
        <v>2157</v>
      </c>
      <c r="B76" s="2" t="s">
        <v>1657</v>
      </c>
      <c r="C76" s="2" t="s">
        <v>2158</v>
      </c>
      <c r="D76" s="2" t="s">
        <v>1658</v>
      </c>
      <c r="E76" s="2" t="str">
        <f aca="false">INDEX(LR_Trade,MATCH(A76,LR_Key,0))</f>
        <v>Domestic worker / cleaner</v>
      </c>
      <c r="F76" s="3" t="n">
        <f aca="false">INDEX(MW_Daily,MATCH(E76,MW_Trade,0))</f>
        <v>342.47</v>
      </c>
      <c r="G76" s="15" t="n">
        <v>0.5</v>
      </c>
      <c r="H76" s="2" t="n">
        <f aca="false">ROUNDUP(G76,0)</f>
        <v>1</v>
      </c>
      <c r="I76" s="3" t="n">
        <f aca="false">F76*H76</f>
        <v>342.47</v>
      </c>
      <c r="J76" s="3" t="n">
        <f aca="false">INDEX(LR_TypLabor,MATCH(A76,LR_Key,0))</f>
        <v>200</v>
      </c>
      <c r="K76" s="0" t="s">
        <v>2204</v>
      </c>
      <c r="L76" s="9" t="n">
        <f aca="false">IF(ISNUMBER(J76),J76-I76,"")</f>
        <v>-142.47</v>
      </c>
      <c r="M76" s="3" t="n">
        <f aca="false">INDEX(LR_LowLabor,MATCH(A76,LR_Key,0))</f>
        <v>200</v>
      </c>
      <c r="N76" s="0" t="str">
        <f aca="false">IF(NOT(ISNUMBER(M76)),"",IF(M76&lt;I76,"low below floor","ok"))</f>
        <v>low below floor</v>
      </c>
    </row>
    <row r="77" customFormat="false" ht="15" hidden="false" customHeight="false" outlineLevel="0" collapsed="false">
      <c r="A77" s="2" t="s">
        <v>2159</v>
      </c>
      <c r="B77" s="2" t="s">
        <v>1657</v>
      </c>
      <c r="C77" s="2" t="s">
        <v>2160</v>
      </c>
      <c r="D77" s="2" t="s">
        <v>1658</v>
      </c>
      <c r="E77" s="2" t="str">
        <f aca="false">INDEX(LR_Trade,MATCH(A77,LR_Key,0))</f>
        <v>Domestic worker / cleaner</v>
      </c>
      <c r="F77" s="3" t="n">
        <f aca="false">INDEX(MW_Daily,MATCH(E77,MW_Trade,0))</f>
        <v>342.47</v>
      </c>
      <c r="G77" s="15" t="n">
        <v>0.5</v>
      </c>
      <c r="H77" s="2" t="n">
        <f aca="false">ROUNDUP(G77,0)</f>
        <v>1</v>
      </c>
      <c r="I77" s="3" t="n">
        <f aca="false">F77*H77</f>
        <v>342.47</v>
      </c>
      <c r="J77" s="3" t="n">
        <f aca="false">INDEX(LR_TypLabor,MATCH(A77,LR_Key,0))</f>
        <v>250</v>
      </c>
      <c r="K77" s="0" t="s">
        <v>2204</v>
      </c>
      <c r="L77" s="9" t="n">
        <f aca="false">IF(ISNUMBER(J77),J77-I77,"")</f>
        <v>-92.47</v>
      </c>
      <c r="M77" s="3" t="n">
        <f aca="false">INDEX(LR_LowLabor,MATCH(A77,LR_Key,0))</f>
        <v>250</v>
      </c>
      <c r="N77" s="0" t="str">
        <f aca="false">IF(NOT(ISNUMBER(M77)),"",IF(M77&lt;I77,"low below floor","ok"))</f>
        <v>low below floor</v>
      </c>
    </row>
    <row r="78" customFormat="false" ht="15" hidden="false" customHeight="false" outlineLevel="0" collapsed="false">
      <c r="A78" s="2" t="s">
        <v>2161</v>
      </c>
      <c r="B78" s="2" t="s">
        <v>1657</v>
      </c>
      <c r="C78" s="2" t="s">
        <v>2162</v>
      </c>
      <c r="D78" s="2" t="s">
        <v>1658</v>
      </c>
      <c r="E78" s="2" t="str">
        <f aca="false">INDEX(LR_Trade,MATCH(A78,LR_Key,0))</f>
        <v>Domestic worker / cleaner</v>
      </c>
      <c r="F78" s="3" t="n">
        <f aca="false">INDEX(MW_Daily,MATCH(E78,MW_Trade,0))</f>
        <v>342.47</v>
      </c>
      <c r="G78" s="15" t="n">
        <v>0.5</v>
      </c>
      <c r="H78" s="2" t="n">
        <f aca="false">ROUNDUP(G78,0)</f>
        <v>1</v>
      </c>
      <c r="I78" s="3" t="n">
        <f aca="false">F78*H78</f>
        <v>342.47</v>
      </c>
      <c r="J78" s="3" t="n">
        <f aca="false">INDEX(LR_TypLabor,MATCH(A78,LR_Key,0))</f>
        <v>250</v>
      </c>
      <c r="K78" s="0" t="s">
        <v>2204</v>
      </c>
      <c r="L78" s="9" t="n">
        <f aca="false">IF(ISNUMBER(J78),J78-I78,"")</f>
        <v>-92.47</v>
      </c>
      <c r="M78" s="3" t="n">
        <f aca="false">INDEX(LR_LowLabor,MATCH(A78,LR_Key,0))</f>
        <v>250</v>
      </c>
      <c r="N78" s="0" t="str">
        <f aca="false">IF(NOT(ISNUMBER(M78)),"",IF(M78&lt;I78,"low below floor","ok"))</f>
        <v>low below floor</v>
      </c>
    </row>
    <row r="79" customFormat="false" ht="15" hidden="false" customHeight="false" outlineLevel="0" collapsed="false">
      <c r="A79" s="2" t="s">
        <v>2163</v>
      </c>
      <c r="B79" s="2" t="s">
        <v>1703</v>
      </c>
      <c r="C79" s="2" t="s">
        <v>2152</v>
      </c>
      <c r="D79" s="2" t="s">
        <v>1704</v>
      </c>
      <c r="E79" s="2" t="str">
        <f aca="false">INDEX(LR_Trade,MATCH(A79,LR_Key,0))</f>
        <v>Domestic worker / cleaner</v>
      </c>
      <c r="F79" s="3" t="n">
        <f aca="false">INDEX(MW_Daily,MATCH(E79,MW_Trade,0))</f>
        <v>342.47</v>
      </c>
      <c r="G79" s="15" t="n">
        <v>0.5</v>
      </c>
      <c r="H79" s="2" t="n">
        <f aca="false">ROUNDUP(G79,0)</f>
        <v>1</v>
      </c>
      <c r="I79" s="3" t="n">
        <f aca="false">F79*H79</f>
        <v>342.47</v>
      </c>
      <c r="J79" s="3" t="n">
        <f aca="false">INDEX(LR_TypLabor,MATCH(A79,LR_Key,0))</f>
        <v>250</v>
      </c>
      <c r="K79" s="0" t="s">
        <v>2204</v>
      </c>
      <c r="L79" s="9" t="n">
        <f aca="false">IF(ISNUMBER(J79),J79-I79,"")</f>
        <v>-92.47</v>
      </c>
      <c r="M79" s="3" t="n">
        <f aca="false">INDEX(LR_LowLabor,MATCH(A79,LR_Key,0))</f>
        <v>250</v>
      </c>
      <c r="N79" s="0" t="str">
        <f aca="false">IF(NOT(ISNUMBER(M79)),"",IF(M79&lt;I79,"low below floor","ok"))</f>
        <v>low below floor</v>
      </c>
    </row>
    <row r="80" customFormat="false" ht="15" hidden="false" customHeight="false" outlineLevel="0" collapsed="false">
      <c r="A80" s="2" t="s">
        <v>2164</v>
      </c>
      <c r="B80" s="2" t="s">
        <v>1703</v>
      </c>
      <c r="C80" s="2" t="s">
        <v>2158</v>
      </c>
      <c r="D80" s="2" t="s">
        <v>1704</v>
      </c>
      <c r="E80" s="2" t="str">
        <f aca="false">INDEX(LR_Trade,MATCH(A80,LR_Key,0))</f>
        <v>Domestic worker / cleaner</v>
      </c>
      <c r="F80" s="3" t="n">
        <f aca="false">INDEX(MW_Daily,MATCH(E80,MW_Trade,0))</f>
        <v>342.47</v>
      </c>
      <c r="G80" s="15" t="n">
        <v>0.5</v>
      </c>
      <c r="H80" s="2" t="n">
        <f aca="false">ROUNDUP(G80,0)</f>
        <v>1</v>
      </c>
      <c r="I80" s="3" t="n">
        <f aca="false">F80*H80</f>
        <v>342.47</v>
      </c>
      <c r="J80" s="3" t="n">
        <f aca="false">INDEX(LR_TypLabor,MATCH(A80,LR_Key,0))</f>
        <v>200</v>
      </c>
      <c r="K80" s="0" t="s">
        <v>2204</v>
      </c>
      <c r="L80" s="9" t="n">
        <f aca="false">IF(ISNUMBER(J80),J80-I80,"")</f>
        <v>-142.47</v>
      </c>
      <c r="M80" s="3" t="n">
        <f aca="false">INDEX(LR_LowLabor,MATCH(A80,LR_Key,0))</f>
        <v>200</v>
      </c>
      <c r="N80" s="0" t="str">
        <f aca="false">IF(NOT(ISNUMBER(M80)),"",IF(M80&lt;I80,"low below floor","ok"))</f>
        <v>low below floor</v>
      </c>
    </row>
    <row r="81" customFormat="false" ht="15" hidden="false" customHeight="false" outlineLevel="0" collapsed="false">
      <c r="A81" s="2" t="s">
        <v>2165</v>
      </c>
      <c r="B81" s="2" t="s">
        <v>1703</v>
      </c>
      <c r="C81" s="2" t="s">
        <v>2160</v>
      </c>
      <c r="D81" s="2" t="s">
        <v>1704</v>
      </c>
      <c r="E81" s="2" t="str">
        <f aca="false">INDEX(LR_Trade,MATCH(A81,LR_Key,0))</f>
        <v>Domestic worker / cleaner</v>
      </c>
      <c r="F81" s="3" t="n">
        <f aca="false">INDEX(MW_Daily,MATCH(E81,MW_Trade,0))</f>
        <v>342.47</v>
      </c>
      <c r="G81" s="15" t="n">
        <v>0.5</v>
      </c>
      <c r="H81" s="2" t="n">
        <f aca="false">ROUNDUP(G81,0)</f>
        <v>1</v>
      </c>
      <c r="I81" s="3" t="n">
        <f aca="false">F81*H81</f>
        <v>342.47</v>
      </c>
      <c r="J81" s="3" t="n">
        <f aca="false">INDEX(LR_TypLabor,MATCH(A81,LR_Key,0))</f>
        <v>250</v>
      </c>
      <c r="K81" s="0" t="s">
        <v>2204</v>
      </c>
      <c r="L81" s="9" t="n">
        <f aca="false">IF(ISNUMBER(J81),J81-I81,"")</f>
        <v>-92.47</v>
      </c>
      <c r="M81" s="3" t="n">
        <f aca="false">INDEX(LR_LowLabor,MATCH(A81,LR_Key,0))</f>
        <v>250</v>
      </c>
      <c r="N81" s="0" t="str">
        <f aca="false">IF(NOT(ISNUMBER(M81)),"",IF(M81&lt;I81,"low below floor","ok"))</f>
        <v>low below floor</v>
      </c>
    </row>
    <row r="82" customFormat="false" ht="15" hidden="false" customHeight="false" outlineLevel="0" collapsed="false">
      <c r="A82" s="2" t="s">
        <v>2166</v>
      </c>
      <c r="B82" s="2" t="s">
        <v>1703</v>
      </c>
      <c r="C82" s="2" t="s">
        <v>2162</v>
      </c>
      <c r="D82" s="2" t="s">
        <v>1704</v>
      </c>
      <c r="E82" s="2" t="str">
        <f aca="false">INDEX(LR_Trade,MATCH(A82,LR_Key,0))</f>
        <v>Domestic worker / cleaner</v>
      </c>
      <c r="F82" s="3" t="n">
        <f aca="false">INDEX(MW_Daily,MATCH(E82,MW_Trade,0))</f>
        <v>342.47</v>
      </c>
      <c r="G82" s="15" t="n">
        <v>0.5</v>
      </c>
      <c r="H82" s="2" t="n">
        <f aca="false">ROUNDUP(G82,0)</f>
        <v>1</v>
      </c>
      <c r="I82" s="3" t="n">
        <f aca="false">F82*H82</f>
        <v>342.47</v>
      </c>
      <c r="J82" s="3" t="n">
        <f aca="false">INDEX(LR_TypLabor,MATCH(A82,LR_Key,0))</f>
        <v>250</v>
      </c>
      <c r="K82" s="0" t="s">
        <v>2204</v>
      </c>
      <c r="L82" s="9" t="n">
        <f aca="false">IF(ISNUMBER(J82),J82-I82,"")</f>
        <v>-92.47</v>
      </c>
      <c r="M82" s="3" t="n">
        <f aca="false">INDEX(LR_LowLabor,MATCH(A82,LR_Key,0))</f>
        <v>250</v>
      </c>
      <c r="N82" s="0" t="str">
        <f aca="false">IF(NOT(ISNUMBER(M82)),"",IF(M82&lt;I82,"low below floor","ok"))</f>
        <v>low below floor</v>
      </c>
    </row>
    <row r="83" customFormat="false" ht="15" hidden="false" customHeight="false" outlineLevel="0" collapsed="false">
      <c r="A83" s="2" t="s">
        <v>2167</v>
      </c>
      <c r="B83" s="2" t="s">
        <v>1745</v>
      </c>
      <c r="C83" s="2" t="s">
        <v>2152</v>
      </c>
      <c r="D83" s="2" t="s">
        <v>1746</v>
      </c>
      <c r="E83" s="2" t="str">
        <f aca="false">INDEX(LR_Trade,MATCH(A83,LR_Key,0))</f>
        <v>Domestic worker / cleaner</v>
      </c>
      <c r="F83" s="3" t="n">
        <f aca="false">INDEX(MW_Daily,MATCH(E83,MW_Trade,0))</f>
        <v>342.47</v>
      </c>
      <c r="G83" s="15" t="n">
        <v>0.5</v>
      </c>
      <c r="H83" s="2" t="n">
        <f aca="false">ROUNDUP(G83,0)</f>
        <v>1</v>
      </c>
      <c r="I83" s="3" t="n">
        <f aca="false">F83*H83</f>
        <v>342.47</v>
      </c>
      <c r="J83" s="3" t="n">
        <f aca="false">INDEX(LR_TypLabor,MATCH(A83,LR_Key,0))</f>
        <v>250</v>
      </c>
      <c r="K83" s="0" t="s">
        <v>2204</v>
      </c>
      <c r="L83" s="9" t="n">
        <f aca="false">IF(ISNUMBER(J83),J83-I83,"")</f>
        <v>-92.47</v>
      </c>
      <c r="M83" s="3" t="n">
        <f aca="false">INDEX(LR_LowLabor,MATCH(A83,LR_Key,0))</f>
        <v>250</v>
      </c>
      <c r="N83" s="0" t="str">
        <f aca="false">IF(NOT(ISNUMBER(M83)),"",IF(M83&lt;I83,"low below floor","ok"))</f>
        <v>low below floor</v>
      </c>
    </row>
    <row r="84" customFormat="false" ht="15" hidden="false" customHeight="false" outlineLevel="0" collapsed="false">
      <c r="A84" s="2" t="s">
        <v>2168</v>
      </c>
      <c r="B84" s="2" t="s">
        <v>1745</v>
      </c>
      <c r="C84" s="2" t="s">
        <v>2158</v>
      </c>
      <c r="D84" s="2" t="s">
        <v>1746</v>
      </c>
      <c r="E84" s="2" t="str">
        <f aca="false">INDEX(LR_Trade,MATCH(A84,LR_Key,0))</f>
        <v>Domestic worker / cleaner</v>
      </c>
      <c r="F84" s="3" t="n">
        <f aca="false">INDEX(MW_Daily,MATCH(E84,MW_Trade,0))</f>
        <v>342.47</v>
      </c>
      <c r="G84" s="15" t="n">
        <v>0.5</v>
      </c>
      <c r="H84" s="2" t="n">
        <f aca="false">ROUNDUP(G84,0)</f>
        <v>1</v>
      </c>
      <c r="I84" s="3" t="n">
        <f aca="false">F84*H84</f>
        <v>342.47</v>
      </c>
      <c r="J84" s="3" t="n">
        <f aca="false">INDEX(LR_TypLabor,MATCH(A84,LR_Key,0))</f>
        <v>200</v>
      </c>
      <c r="K84" s="0" t="s">
        <v>2204</v>
      </c>
      <c r="L84" s="9" t="n">
        <f aca="false">IF(ISNUMBER(J84),J84-I84,"")</f>
        <v>-142.47</v>
      </c>
      <c r="M84" s="3" t="n">
        <f aca="false">INDEX(LR_LowLabor,MATCH(A84,LR_Key,0))</f>
        <v>200</v>
      </c>
      <c r="N84" s="0" t="str">
        <f aca="false">IF(NOT(ISNUMBER(M84)),"",IF(M84&lt;I84,"low below floor","ok"))</f>
        <v>low below floor</v>
      </c>
    </row>
    <row r="85" customFormat="false" ht="15" hidden="false" customHeight="false" outlineLevel="0" collapsed="false">
      <c r="A85" s="2" t="s">
        <v>2169</v>
      </c>
      <c r="B85" s="2" t="s">
        <v>1745</v>
      </c>
      <c r="C85" s="2" t="s">
        <v>2160</v>
      </c>
      <c r="D85" s="2" t="s">
        <v>1746</v>
      </c>
      <c r="E85" s="2" t="str">
        <f aca="false">INDEX(LR_Trade,MATCH(A85,LR_Key,0))</f>
        <v>Domestic worker / cleaner</v>
      </c>
      <c r="F85" s="3" t="n">
        <f aca="false">INDEX(MW_Daily,MATCH(E85,MW_Trade,0))</f>
        <v>342.47</v>
      </c>
      <c r="G85" s="15" t="n">
        <v>0.5</v>
      </c>
      <c r="H85" s="2" t="n">
        <f aca="false">ROUNDUP(G85,0)</f>
        <v>1</v>
      </c>
      <c r="I85" s="3" t="n">
        <f aca="false">F85*H85</f>
        <v>342.47</v>
      </c>
      <c r="J85" s="3" t="n">
        <f aca="false">INDEX(LR_TypLabor,MATCH(A85,LR_Key,0))</f>
        <v>250</v>
      </c>
      <c r="K85" s="0" t="s">
        <v>2204</v>
      </c>
      <c r="L85" s="9" t="n">
        <f aca="false">IF(ISNUMBER(J85),J85-I85,"")</f>
        <v>-92.47</v>
      </c>
      <c r="M85" s="3" t="n">
        <f aca="false">INDEX(LR_LowLabor,MATCH(A85,LR_Key,0))</f>
        <v>250</v>
      </c>
      <c r="N85" s="0" t="str">
        <f aca="false">IF(NOT(ISNUMBER(M85)),"",IF(M85&lt;I85,"low below floor","ok"))</f>
        <v>low below floor</v>
      </c>
    </row>
    <row r="86" customFormat="false" ht="15" hidden="false" customHeight="false" outlineLevel="0" collapsed="false">
      <c r="A86" s="2" t="s">
        <v>2170</v>
      </c>
      <c r="B86" s="2" t="s">
        <v>1745</v>
      </c>
      <c r="C86" s="2" t="s">
        <v>2162</v>
      </c>
      <c r="D86" s="2" t="s">
        <v>1746</v>
      </c>
      <c r="E86" s="2" t="str">
        <f aca="false">INDEX(LR_Trade,MATCH(A86,LR_Key,0))</f>
        <v>Domestic worker / cleaner</v>
      </c>
      <c r="F86" s="3" t="n">
        <f aca="false">INDEX(MW_Daily,MATCH(E86,MW_Trade,0))</f>
        <v>342.47</v>
      </c>
      <c r="G86" s="15" t="n">
        <v>0.5</v>
      </c>
      <c r="H86" s="2" t="n">
        <f aca="false">ROUNDUP(G86,0)</f>
        <v>1</v>
      </c>
      <c r="I86" s="3" t="n">
        <f aca="false">F86*H86</f>
        <v>342.47</v>
      </c>
      <c r="J86" s="3" t="n">
        <f aca="false">INDEX(LR_TypLabor,MATCH(A86,LR_Key,0))</f>
        <v>250</v>
      </c>
      <c r="K86" s="0" t="s">
        <v>2204</v>
      </c>
      <c r="L86" s="9" t="n">
        <f aca="false">IF(ISNUMBER(J86),J86-I86,"")</f>
        <v>-92.47</v>
      </c>
      <c r="M86" s="3" t="n">
        <f aca="false">INDEX(LR_LowLabor,MATCH(A86,LR_Key,0))</f>
        <v>250</v>
      </c>
      <c r="N86" s="0" t="str">
        <f aca="false">IF(NOT(ISNUMBER(M86)),"",IF(M86&lt;I86,"low below floor","ok"))</f>
        <v>low below floor</v>
      </c>
    </row>
    <row r="87" customFormat="false" ht="15" hidden="false" customHeight="false" outlineLevel="0" collapsed="false">
      <c r="A87" s="2" t="s">
        <v>2171</v>
      </c>
      <c r="B87" s="2" t="s">
        <v>1810</v>
      </c>
      <c r="C87" s="2" t="s">
        <v>2162</v>
      </c>
      <c r="D87" s="2" t="s">
        <v>1811</v>
      </c>
      <c r="E87" s="2" t="str">
        <f aca="false">INDEX(LR_Trade,MATCH(A87,LR_Key,0))</f>
        <v>Domestic worker / cleaner</v>
      </c>
      <c r="F87" s="3" t="n">
        <f aca="false">INDEX(MW_Daily,MATCH(E87,MW_Trade,0))</f>
        <v>342.47</v>
      </c>
      <c r="G87" s="15" t="n">
        <v>0.5</v>
      </c>
      <c r="H87" s="2" t="n">
        <f aca="false">ROUNDUP(G87,0)</f>
        <v>1</v>
      </c>
      <c r="I87" s="3" t="n">
        <f aca="false">F87*H87</f>
        <v>342.47</v>
      </c>
      <c r="J87" s="3" t="n">
        <f aca="false">INDEX(LR_TypLabor,MATCH(A87,LR_Key,0))</f>
        <v>250</v>
      </c>
      <c r="K87" s="0" t="s">
        <v>2204</v>
      </c>
      <c r="L87" s="9" t="n">
        <f aca="false">IF(ISNUMBER(J87),J87-I87,"")</f>
        <v>-92.47</v>
      </c>
      <c r="M87" s="3" t="n">
        <f aca="false">INDEX(LR_LowLabor,MATCH(A87,LR_Key,0))</f>
        <v>250</v>
      </c>
      <c r="N87" s="0" t="str">
        <f aca="false">IF(NOT(ISNUMBER(M87)),"",IF(M87&lt;I87,"low below floor","ok"))</f>
        <v>low below floor</v>
      </c>
    </row>
    <row r="88" customFormat="false" ht="15" hidden="false" customHeight="false" outlineLevel="0" collapsed="false">
      <c r="A88" s="2" t="s">
        <v>2172</v>
      </c>
      <c r="B88" s="2" t="s">
        <v>1819</v>
      </c>
      <c r="C88" s="2" t="s">
        <v>2162</v>
      </c>
      <c r="D88" s="2" t="s">
        <v>1820</v>
      </c>
      <c r="E88" s="2" t="str">
        <f aca="false">INDEX(LR_Trade,MATCH(A88,LR_Key,0))</f>
        <v>Domestic worker / cleaner</v>
      </c>
      <c r="F88" s="3" t="n">
        <f aca="false">INDEX(MW_Daily,MATCH(E88,MW_Trade,0))</f>
        <v>342.47</v>
      </c>
      <c r="G88" s="15" t="n">
        <v>0.5</v>
      </c>
      <c r="H88" s="2" t="n">
        <f aca="false">ROUNDUP(G88,0)</f>
        <v>1</v>
      </c>
      <c r="I88" s="3" t="n">
        <f aca="false">F88*H88</f>
        <v>342.47</v>
      </c>
      <c r="J88" s="3" t="n">
        <f aca="false">INDEX(LR_TypLabor,MATCH(A88,LR_Key,0))</f>
        <v>250</v>
      </c>
      <c r="K88" s="0" t="s">
        <v>2204</v>
      </c>
      <c r="L88" s="9" t="n">
        <f aca="false">IF(ISNUMBER(J88),J88-I88,"")</f>
        <v>-92.47</v>
      </c>
      <c r="M88" s="3" t="n">
        <f aca="false">INDEX(LR_LowLabor,MATCH(A88,LR_Key,0))</f>
        <v>250</v>
      </c>
      <c r="N88" s="0" t="str">
        <f aca="false">IF(NOT(ISNUMBER(M88)),"",IF(M88&lt;I88,"low below floor","ok"))</f>
        <v>low below floor</v>
      </c>
    </row>
    <row r="89" customFormat="false" ht="15" hidden="false" customHeight="false" outlineLevel="0" collapsed="false">
      <c r="A89" s="2" t="s">
        <v>2173</v>
      </c>
      <c r="B89" s="2" t="s">
        <v>1819</v>
      </c>
      <c r="C89" s="2" t="s">
        <v>1917</v>
      </c>
      <c r="D89" s="2" t="s">
        <v>1820</v>
      </c>
      <c r="E89" s="2" t="str">
        <f aca="false">INDEX(LR_Trade,MATCH(A89,LR_Key,0))</f>
        <v>Domestic worker / cleaner</v>
      </c>
      <c r="F89" s="3" t="n">
        <f aca="false">INDEX(MW_Daily,MATCH(E89,MW_Trade,0))</f>
        <v>342.47</v>
      </c>
      <c r="G89" s="15" t="n">
        <v>0.31</v>
      </c>
      <c r="H89" s="2" t="n">
        <f aca="false">ROUNDUP(G89,0)</f>
        <v>1</v>
      </c>
      <c r="I89" s="3" t="n">
        <f aca="false">F89*H89</f>
        <v>342.47</v>
      </c>
      <c r="J89" s="3" t="n">
        <f aca="false">INDEX(LR_TypLabor,MATCH(A89,LR_Key,0))</f>
        <v>800</v>
      </c>
      <c r="K89" s="0" t="str">
        <f aca="false">IF(NOT(ISNUMBER(J89)),"NO LABOR DATA",IF(J89&lt;I89,"BELOW FLOOR","OK"))</f>
        <v>OK</v>
      </c>
      <c r="L89" s="9" t="n">
        <f aca="false">IF(ISNUMBER(J89),J89-I89,"")</f>
        <v>457.53</v>
      </c>
      <c r="M89" s="3" t="n">
        <f aca="false">INDEX(LR_LowLabor,MATCH(A89,LR_Key,0))</f>
        <v>400</v>
      </c>
      <c r="N89" s="0" t="str">
        <f aca="false">IF(NOT(ISNUMBER(M89)),"",IF(M89&lt;I89,"low below floor","ok"))</f>
        <v>ok</v>
      </c>
    </row>
    <row r="90" customFormat="false" ht="15" hidden="false" customHeight="false" outlineLevel="0" collapsed="false">
      <c r="A90" s="2" t="s">
        <v>2177</v>
      </c>
      <c r="B90" s="2" t="s">
        <v>1827</v>
      </c>
      <c r="C90" s="2" t="s">
        <v>1917</v>
      </c>
      <c r="D90" s="2" t="s">
        <v>1828</v>
      </c>
      <c r="E90" s="2" t="str">
        <f aca="false">INDEX(LR_Trade,MATCH(A90,LR_Key,0))</f>
        <v>Domestic worker / cleaner</v>
      </c>
      <c r="F90" s="3" t="n">
        <f aca="false">INDEX(MW_Daily,MATCH(E90,MW_Trade,0))</f>
        <v>342.47</v>
      </c>
      <c r="G90" s="15" t="n">
        <v>0.38</v>
      </c>
      <c r="H90" s="2" t="n">
        <f aca="false">ROUNDUP(G90,0)</f>
        <v>1</v>
      </c>
      <c r="I90" s="3" t="n">
        <f aca="false">F90*H90</f>
        <v>342.47</v>
      </c>
      <c r="J90" s="3" t="n">
        <f aca="false">INDEX(LR_TypLabor,MATCH(A90,LR_Key,0))</f>
        <v>1100</v>
      </c>
      <c r="K90" s="0" t="str">
        <f aca="false">IF(NOT(ISNUMBER(J90)),"NO LABOR DATA",IF(J90&lt;I90,"BELOW FLOOR","OK"))</f>
        <v>OK</v>
      </c>
      <c r="L90" s="9" t="n">
        <f aca="false">IF(ISNUMBER(J90),J90-I90,"")</f>
        <v>757.53</v>
      </c>
      <c r="M90" s="3" t="n">
        <f aca="false">INDEX(LR_LowLabor,MATCH(A90,LR_Key,0))</f>
        <v>800</v>
      </c>
      <c r="N90" s="0" t="str">
        <f aca="false">IF(NOT(ISNUMBER(M90)),"",IF(M90&lt;I90,"low below floor","ok"))</f>
        <v>ok</v>
      </c>
    </row>
  </sheetData>
  <autoFilter ref="A13:N90"/>
  <conditionalFormatting sqref="A14:N90">
    <cfRule type="expression" priority="2" aboveAverage="0" equalAverage="0" bottom="0" percent="0" rank="0" text="" dxfId="7">
      <formula>$K14="BELOW FLOOR"</formula>
    </cfRule>
  </conditionalFormatting>
  <conditionalFormatting sqref="K14:K90">
    <cfRule type="expression" priority="3" aboveAverage="0" equalAverage="0" bottom="0" percent="0" rank="0" text="" dxfId="10">
      <formula>$K14="NO LABOR DATA"</formula>
    </cfRule>
  </conditionalFormatting>
  <conditionalFormatting sqref="N14:N90">
    <cfRule type="expression" priority="4" aboveAverage="0" equalAverage="0" bottom="0" percent="0" rank="0" text="" dxfId="9">
      <formula>$N14="low below floor"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40"/>
    <col collapsed="false" customWidth="true" hidden="false" outlineLevel="0" max="5" min="5" style="0" width="80"/>
    <col collapsed="false" customWidth="true" hidden="false" outlineLevel="0" max="6" min="6" style="0" width="16"/>
    <col collapsed="false" customWidth="true" hidden="false" outlineLevel="0" max="8" min="7" style="0" width="12"/>
    <col collapsed="false" customWidth="true" hidden="false" outlineLevel="0" max="9" min="9" style="0" width="55"/>
  </cols>
  <sheetData>
    <row r="1" customFormat="false" ht="28.35" hidden="false" customHeight="false" outlineLevel="0" collapsed="false">
      <c r="A1" s="1" t="s">
        <v>2205</v>
      </c>
      <c r="B1" s="1" t="s">
        <v>2206</v>
      </c>
      <c r="C1" s="1" t="s">
        <v>2207</v>
      </c>
      <c r="D1" s="1" t="s">
        <v>2208</v>
      </c>
      <c r="E1" s="1" t="s">
        <v>2209</v>
      </c>
      <c r="F1" s="1" t="s">
        <v>2210</v>
      </c>
      <c r="G1" s="1" t="s">
        <v>2211</v>
      </c>
      <c r="H1" s="1" t="s">
        <v>2212</v>
      </c>
      <c r="I1" s="1" t="s">
        <v>2213</v>
      </c>
    </row>
    <row r="2" customFormat="false" ht="15" hidden="false" customHeight="false" outlineLevel="0" collapsed="false">
      <c r="A2" s="0" t="s">
        <v>1895</v>
      </c>
      <c r="B2" s="15" t="n">
        <v>1</v>
      </c>
      <c r="C2" s="0" t="s">
        <v>2214</v>
      </c>
      <c r="D2" s="0" t="s">
        <v>2215</v>
      </c>
      <c r="E2" s="0" t="s">
        <v>2216</v>
      </c>
      <c r="F2" s="0" t="s">
        <v>2217</v>
      </c>
      <c r="G2" s="0" t="s">
        <v>1049</v>
      </c>
      <c r="H2" s="0" t="s">
        <v>27</v>
      </c>
      <c r="I2" s="0" t="s">
        <v>2218</v>
      </c>
    </row>
    <row r="3" customFormat="false" ht="15" hidden="false" customHeight="false" outlineLevel="0" collapsed="false">
      <c r="A3" s="0" t="s">
        <v>1896</v>
      </c>
      <c r="B3" s="15" t="n">
        <v>1.15</v>
      </c>
      <c r="C3" s="0" t="s">
        <v>2219</v>
      </c>
      <c r="D3" s="0" t="s">
        <v>2220</v>
      </c>
      <c r="E3" s="0" t="s">
        <v>2221</v>
      </c>
      <c r="F3" s="0" t="s">
        <v>2222</v>
      </c>
      <c r="G3" s="0" t="s">
        <v>1922</v>
      </c>
      <c r="H3" s="0" t="s">
        <v>27</v>
      </c>
      <c r="I3" s="0" t="s">
        <v>2223</v>
      </c>
    </row>
    <row r="4" customFormat="false" ht="15" hidden="false" customHeight="false" outlineLevel="0" collapsed="false">
      <c r="A4" s="0" t="s">
        <v>1897</v>
      </c>
      <c r="B4" s="15" t="n">
        <v>1.3</v>
      </c>
      <c r="C4" s="0" t="s">
        <v>2224</v>
      </c>
      <c r="D4" s="0" t="s">
        <v>2225</v>
      </c>
      <c r="E4" s="0" t="s">
        <v>2226</v>
      </c>
      <c r="F4" s="0" t="s">
        <v>2227</v>
      </c>
      <c r="G4" s="0" t="s">
        <v>2228</v>
      </c>
      <c r="H4" s="0" t="s">
        <v>27</v>
      </c>
      <c r="I4" s="0" t="s">
        <v>2229</v>
      </c>
    </row>
    <row r="5" customFormat="false" ht="15" hidden="false" customHeight="false" outlineLevel="0" collapsed="false">
      <c r="A5" s="0" t="s">
        <v>1898</v>
      </c>
      <c r="B5" s="15" t="n">
        <v>1.5</v>
      </c>
      <c r="C5" s="0" t="s">
        <v>2230</v>
      </c>
      <c r="D5" s="0" t="s">
        <v>2231</v>
      </c>
      <c r="E5" s="0" t="s">
        <v>2232</v>
      </c>
      <c r="F5" s="0" t="s">
        <v>2233</v>
      </c>
      <c r="G5" s="0" t="s">
        <v>2228</v>
      </c>
      <c r="H5" s="0" t="s">
        <v>2234</v>
      </c>
      <c r="I5" s="0" t="s">
        <v>2235</v>
      </c>
    </row>
    <row r="7" customFormat="false" ht="15" hidden="false" customHeight="false" outlineLevel="0" collapsed="false">
      <c r="A7" s="0" t="s">
        <v>2236</v>
      </c>
    </row>
    <row r="8" customFormat="false" ht="15" hidden="false" customHeight="false" outlineLevel="0" collapsed="false">
      <c r="A8" s="0" t="s">
        <v>2237</v>
      </c>
    </row>
  </sheetData>
  <autoFilter ref="A1:I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4" min="3" style="0" width="16"/>
    <col collapsed="false" customWidth="true" hidden="false" outlineLevel="0" max="5" min="5" style="0" width="30"/>
    <col collapsed="false" customWidth="true" hidden="false" outlineLevel="0" max="6" min="6" style="0" width="16"/>
    <col collapsed="false" customWidth="true" hidden="false" outlineLevel="0" max="7" min="7" style="0" width="50"/>
  </cols>
  <sheetData>
    <row r="1" customFormat="false" ht="28.35" hidden="false" customHeight="false" outlineLevel="0" collapsed="false">
      <c r="A1" s="1" t="s">
        <v>2238</v>
      </c>
      <c r="B1" s="1" t="s">
        <v>0</v>
      </c>
      <c r="C1" s="1" t="s">
        <v>2239</v>
      </c>
      <c r="D1" s="1" t="s">
        <v>6</v>
      </c>
      <c r="E1" s="1" t="s">
        <v>2240</v>
      </c>
      <c r="F1" s="1" t="s">
        <v>10</v>
      </c>
      <c r="G1" s="1" t="s">
        <v>2241</v>
      </c>
    </row>
    <row r="2" customFormat="false" ht="15" hidden="false" customHeight="false" outlineLevel="0" collapsed="false">
      <c r="A2" s="4" t="n">
        <v>46305</v>
      </c>
      <c r="B2" s="2" t="s">
        <v>19</v>
      </c>
      <c r="C2" s="3" t="n">
        <v>2810</v>
      </c>
      <c r="F2" s="0" t="s">
        <v>26</v>
      </c>
      <c r="G2" s="0" t="s">
        <v>2242</v>
      </c>
    </row>
    <row r="3" customFormat="false" ht="15" hidden="false" customHeight="false" outlineLevel="0" collapsed="false">
      <c r="A3" s="4" t="n">
        <v>46305</v>
      </c>
      <c r="B3" s="2" t="s">
        <v>29</v>
      </c>
      <c r="C3" s="3" t="n">
        <v>3585</v>
      </c>
      <c r="F3" s="0" t="s">
        <v>26</v>
      </c>
      <c r="G3" s="0" t="s">
        <v>2242</v>
      </c>
    </row>
    <row r="4" customFormat="false" ht="15" hidden="false" customHeight="false" outlineLevel="0" collapsed="false">
      <c r="A4" s="4" t="n">
        <v>46305</v>
      </c>
      <c r="B4" s="2" t="s">
        <v>32</v>
      </c>
      <c r="C4" s="3" t="n">
        <v>5175</v>
      </c>
      <c r="F4" s="0" t="s">
        <v>26</v>
      </c>
      <c r="G4" s="0" t="s">
        <v>2242</v>
      </c>
    </row>
    <row r="5" customFormat="false" ht="15" hidden="false" customHeight="false" outlineLevel="0" collapsed="false">
      <c r="A5" s="4" t="n">
        <v>46305</v>
      </c>
      <c r="B5" s="2" t="s">
        <v>34</v>
      </c>
      <c r="C5" s="3" t="n">
        <v>943</v>
      </c>
      <c r="F5" s="0" t="s">
        <v>26</v>
      </c>
      <c r="G5" s="0" t="s">
        <v>2242</v>
      </c>
    </row>
    <row r="6" customFormat="false" ht="15" hidden="false" customHeight="false" outlineLevel="0" collapsed="false">
      <c r="A6" s="4" t="n">
        <v>46305</v>
      </c>
      <c r="B6" s="2" t="s">
        <v>39</v>
      </c>
      <c r="C6" s="3" t="n">
        <v>1273</v>
      </c>
      <c r="F6" s="0" t="s">
        <v>26</v>
      </c>
      <c r="G6" s="0" t="s">
        <v>2242</v>
      </c>
    </row>
    <row r="7" customFormat="false" ht="15" hidden="false" customHeight="false" outlineLevel="0" collapsed="false">
      <c r="A7" s="4" t="n">
        <v>46305</v>
      </c>
      <c r="B7" s="2" t="s">
        <v>42</v>
      </c>
      <c r="C7" s="3" t="n">
        <v>1559</v>
      </c>
      <c r="F7" s="0" t="s">
        <v>26</v>
      </c>
      <c r="G7" s="0" t="s">
        <v>2242</v>
      </c>
    </row>
    <row r="8" customFormat="false" ht="15" hidden="false" customHeight="false" outlineLevel="0" collapsed="false">
      <c r="A8" s="4" t="n">
        <v>46305</v>
      </c>
      <c r="B8" s="2" t="s">
        <v>51</v>
      </c>
      <c r="C8" s="3" t="n">
        <v>237</v>
      </c>
      <c r="F8" s="0" t="s">
        <v>26</v>
      </c>
      <c r="G8" s="0" t="s">
        <v>2242</v>
      </c>
    </row>
    <row r="9" customFormat="false" ht="15" hidden="false" customHeight="false" outlineLevel="0" collapsed="false">
      <c r="A9" s="4" t="n">
        <v>46305</v>
      </c>
      <c r="B9" s="2" t="s">
        <v>56</v>
      </c>
      <c r="C9" s="3" t="n">
        <v>246</v>
      </c>
      <c r="F9" s="0" t="s">
        <v>26</v>
      </c>
      <c r="G9" s="0" t="s">
        <v>2242</v>
      </c>
    </row>
    <row r="10" customFormat="false" ht="15" hidden="false" customHeight="false" outlineLevel="0" collapsed="false">
      <c r="A10" s="4" t="n">
        <v>46305</v>
      </c>
      <c r="B10" s="2" t="s">
        <v>59</v>
      </c>
      <c r="C10" s="3" t="n">
        <v>421</v>
      </c>
      <c r="F10" s="0" t="s">
        <v>26</v>
      </c>
      <c r="G10" s="0" t="s">
        <v>2242</v>
      </c>
    </row>
    <row r="11" customFormat="false" ht="15" hidden="false" customHeight="false" outlineLevel="0" collapsed="false">
      <c r="A11" s="4" t="n">
        <v>46305</v>
      </c>
      <c r="B11" s="2" t="s">
        <v>62</v>
      </c>
      <c r="C11" s="3" t="n">
        <v>439</v>
      </c>
      <c r="F11" s="0" t="s">
        <v>26</v>
      </c>
      <c r="G11" s="0" t="s">
        <v>2242</v>
      </c>
    </row>
    <row r="12" customFormat="false" ht="15" hidden="false" customHeight="false" outlineLevel="0" collapsed="false">
      <c r="A12" s="4" t="n">
        <v>46305</v>
      </c>
      <c r="B12" s="2" t="s">
        <v>65</v>
      </c>
      <c r="C12" s="3" t="n">
        <v>1600</v>
      </c>
      <c r="F12" s="0" t="s">
        <v>26</v>
      </c>
      <c r="G12" s="0" t="s">
        <v>2242</v>
      </c>
    </row>
    <row r="13" customFormat="false" ht="15" hidden="false" customHeight="false" outlineLevel="0" collapsed="false">
      <c r="A13" s="4" t="n">
        <v>46305</v>
      </c>
      <c r="B13" s="2" t="s">
        <v>69</v>
      </c>
      <c r="C13" s="3" t="n">
        <v>1700</v>
      </c>
      <c r="F13" s="0" t="s">
        <v>26</v>
      </c>
      <c r="G13" s="0" t="s">
        <v>2242</v>
      </c>
    </row>
    <row r="14" customFormat="false" ht="15" hidden="false" customHeight="false" outlineLevel="0" collapsed="false">
      <c r="A14" s="4" t="n">
        <v>46305</v>
      </c>
      <c r="B14" s="2" t="s">
        <v>72</v>
      </c>
      <c r="C14" s="3" t="n">
        <v>1739</v>
      </c>
      <c r="F14" s="0" t="s">
        <v>26</v>
      </c>
      <c r="G14" s="0" t="s">
        <v>2242</v>
      </c>
    </row>
    <row r="15" customFormat="false" ht="15" hidden="false" customHeight="false" outlineLevel="0" collapsed="false">
      <c r="A15" s="4" t="n">
        <v>46305</v>
      </c>
      <c r="B15" s="2" t="s">
        <v>75</v>
      </c>
      <c r="C15" s="3" t="n">
        <v>2098</v>
      </c>
      <c r="F15" s="0" t="s">
        <v>26</v>
      </c>
      <c r="G15" s="0" t="s">
        <v>2242</v>
      </c>
    </row>
    <row r="16" customFormat="false" ht="15" hidden="false" customHeight="false" outlineLevel="0" collapsed="false">
      <c r="A16" s="4" t="n">
        <v>46305</v>
      </c>
      <c r="B16" s="2" t="s">
        <v>78</v>
      </c>
      <c r="C16" s="3" t="n">
        <v>196</v>
      </c>
      <c r="F16" s="0" t="s">
        <v>26</v>
      </c>
      <c r="G16" s="0" t="s">
        <v>2242</v>
      </c>
    </row>
    <row r="17" customFormat="false" ht="15" hidden="false" customHeight="false" outlineLevel="0" collapsed="false">
      <c r="A17" s="4" t="n">
        <v>46305</v>
      </c>
      <c r="B17" s="2" t="s">
        <v>83</v>
      </c>
      <c r="C17" s="3" t="n">
        <v>221</v>
      </c>
      <c r="F17" s="0" t="s">
        <v>26</v>
      </c>
      <c r="G17" s="0" t="s">
        <v>2242</v>
      </c>
    </row>
    <row r="18" customFormat="false" ht="15" hidden="false" customHeight="false" outlineLevel="0" collapsed="false">
      <c r="A18" s="4" t="n">
        <v>46305</v>
      </c>
      <c r="B18" s="2" t="s">
        <v>85</v>
      </c>
      <c r="C18" s="3" t="n">
        <v>280</v>
      </c>
      <c r="F18" s="0" t="s">
        <v>26</v>
      </c>
      <c r="G18" s="0" t="s">
        <v>2242</v>
      </c>
    </row>
    <row r="19" customFormat="false" ht="15" hidden="false" customHeight="false" outlineLevel="0" collapsed="false">
      <c r="A19" s="4" t="n">
        <v>46305</v>
      </c>
      <c r="B19" s="2" t="s">
        <v>87</v>
      </c>
      <c r="C19" s="3" t="n">
        <v>321</v>
      </c>
      <c r="F19" s="0" t="s">
        <v>26</v>
      </c>
      <c r="G19" s="0" t="s">
        <v>2242</v>
      </c>
    </row>
    <row r="20" customFormat="false" ht="15" hidden="false" customHeight="false" outlineLevel="0" collapsed="false">
      <c r="A20" s="4" t="n">
        <v>46305</v>
      </c>
      <c r="B20" s="2" t="s">
        <v>89</v>
      </c>
      <c r="C20" s="3" t="n">
        <v>368</v>
      </c>
      <c r="D20" s="0" t="s">
        <v>94</v>
      </c>
      <c r="F20" s="0" t="s">
        <v>96</v>
      </c>
      <c r="G20" s="0" t="s">
        <v>2242</v>
      </c>
    </row>
    <row r="21" customFormat="false" ht="15" hidden="false" customHeight="false" outlineLevel="0" collapsed="false">
      <c r="A21" s="4" t="n">
        <v>46305</v>
      </c>
      <c r="B21" s="2" t="s">
        <v>106</v>
      </c>
      <c r="C21" s="3" t="n">
        <v>313</v>
      </c>
      <c r="F21" s="0" t="s">
        <v>26</v>
      </c>
      <c r="G21" s="0" t="s">
        <v>2242</v>
      </c>
    </row>
    <row r="22" customFormat="false" ht="15" hidden="false" customHeight="false" outlineLevel="0" collapsed="false">
      <c r="A22" s="4" t="n">
        <v>46305</v>
      </c>
      <c r="B22" s="2" t="s">
        <v>111</v>
      </c>
      <c r="C22" s="3" t="n">
        <v>520</v>
      </c>
      <c r="F22" s="0" t="s">
        <v>26</v>
      </c>
      <c r="G22" s="0" t="s">
        <v>2242</v>
      </c>
    </row>
    <row r="23" customFormat="false" ht="15" hidden="false" customHeight="false" outlineLevel="0" collapsed="false">
      <c r="A23" s="4" t="n">
        <v>46305</v>
      </c>
      <c r="B23" s="2" t="s">
        <v>113</v>
      </c>
      <c r="C23" s="3" t="n">
        <v>629</v>
      </c>
      <c r="F23" s="0" t="s">
        <v>26</v>
      </c>
      <c r="G23" s="0" t="s">
        <v>2242</v>
      </c>
    </row>
    <row r="24" customFormat="false" ht="15" hidden="false" customHeight="false" outlineLevel="0" collapsed="false">
      <c r="A24" s="4" t="n">
        <v>46305</v>
      </c>
      <c r="B24" s="2" t="s">
        <v>115</v>
      </c>
      <c r="C24" s="3" t="n">
        <v>52</v>
      </c>
      <c r="F24" s="0" t="s">
        <v>26</v>
      </c>
      <c r="G24" s="0" t="s">
        <v>2242</v>
      </c>
    </row>
    <row r="25" customFormat="false" ht="15" hidden="false" customHeight="false" outlineLevel="0" collapsed="false">
      <c r="A25" s="4" t="n">
        <v>46305</v>
      </c>
      <c r="B25" s="2" t="s">
        <v>120</v>
      </c>
      <c r="C25" s="3" t="n">
        <v>175</v>
      </c>
      <c r="F25" s="0" t="s">
        <v>26</v>
      </c>
      <c r="G25" s="0" t="s">
        <v>2242</v>
      </c>
    </row>
    <row r="26" customFormat="false" ht="15" hidden="false" customHeight="false" outlineLevel="0" collapsed="false">
      <c r="A26" s="4" t="n">
        <v>46305</v>
      </c>
      <c r="B26" s="2" t="s">
        <v>124</v>
      </c>
      <c r="C26" s="3" t="n">
        <v>189</v>
      </c>
      <c r="F26" s="0" t="s">
        <v>26</v>
      </c>
      <c r="G26" s="0" t="s">
        <v>2242</v>
      </c>
    </row>
    <row r="27" customFormat="false" ht="15" hidden="false" customHeight="false" outlineLevel="0" collapsed="false">
      <c r="A27" s="4" t="n">
        <v>46305</v>
      </c>
      <c r="B27" s="2" t="s">
        <v>126</v>
      </c>
      <c r="C27" s="3" t="n">
        <v>243</v>
      </c>
      <c r="F27" s="0" t="s">
        <v>26</v>
      </c>
      <c r="G27" s="0" t="s">
        <v>2242</v>
      </c>
    </row>
    <row r="28" customFormat="false" ht="15" hidden="false" customHeight="false" outlineLevel="0" collapsed="false">
      <c r="A28" s="4" t="n">
        <v>46305</v>
      </c>
      <c r="B28" s="2" t="s">
        <v>128</v>
      </c>
      <c r="C28" s="3" t="n">
        <v>130</v>
      </c>
      <c r="F28" s="0" t="s">
        <v>26</v>
      </c>
      <c r="G28" s="0" t="s">
        <v>2242</v>
      </c>
    </row>
    <row r="29" customFormat="false" ht="15" hidden="false" customHeight="false" outlineLevel="0" collapsed="false">
      <c r="A29" s="4" t="n">
        <v>46305</v>
      </c>
      <c r="B29" s="2" t="s">
        <v>133</v>
      </c>
      <c r="C29" s="3" t="n">
        <v>677</v>
      </c>
      <c r="F29" s="0" t="s">
        <v>26</v>
      </c>
      <c r="G29" s="0" t="s">
        <v>2242</v>
      </c>
    </row>
    <row r="30" customFormat="false" ht="15" hidden="false" customHeight="false" outlineLevel="0" collapsed="false">
      <c r="A30" s="4" t="n">
        <v>46305</v>
      </c>
      <c r="B30" s="2" t="s">
        <v>137</v>
      </c>
      <c r="C30" s="3" t="n">
        <v>188</v>
      </c>
      <c r="F30" s="0" t="s">
        <v>26</v>
      </c>
      <c r="G30" s="0" t="s">
        <v>2242</v>
      </c>
    </row>
    <row r="31" customFormat="false" ht="15" hidden="false" customHeight="false" outlineLevel="0" collapsed="false">
      <c r="A31" s="4" t="n">
        <v>46305</v>
      </c>
      <c r="B31" s="2" t="s">
        <v>141</v>
      </c>
      <c r="C31" s="3" t="n">
        <v>408</v>
      </c>
      <c r="F31" s="0" t="s">
        <v>26</v>
      </c>
      <c r="G31" s="0" t="s">
        <v>2242</v>
      </c>
    </row>
    <row r="32" customFormat="false" ht="15" hidden="false" customHeight="false" outlineLevel="0" collapsed="false">
      <c r="A32" s="4" t="n">
        <v>46305</v>
      </c>
      <c r="B32" s="2" t="s">
        <v>143</v>
      </c>
      <c r="C32" s="3" t="n">
        <v>469</v>
      </c>
      <c r="F32" s="0" t="s">
        <v>26</v>
      </c>
      <c r="G32" s="0" t="s">
        <v>2242</v>
      </c>
    </row>
    <row r="33" customFormat="false" ht="15" hidden="false" customHeight="false" outlineLevel="0" collapsed="false">
      <c r="A33" s="4" t="n">
        <v>46305</v>
      </c>
      <c r="B33" s="2" t="s">
        <v>145</v>
      </c>
      <c r="C33" s="3" t="n">
        <v>244</v>
      </c>
      <c r="F33" s="0" t="s">
        <v>26</v>
      </c>
      <c r="G33" s="0" t="s">
        <v>2242</v>
      </c>
    </row>
    <row r="34" customFormat="false" ht="15" hidden="false" customHeight="false" outlineLevel="0" collapsed="false">
      <c r="A34" s="4" t="n">
        <v>46305</v>
      </c>
      <c r="B34" s="2" t="s">
        <v>149</v>
      </c>
      <c r="C34" s="3" t="n">
        <v>848</v>
      </c>
      <c r="F34" s="0" t="s">
        <v>26</v>
      </c>
      <c r="G34" s="0" t="s">
        <v>2242</v>
      </c>
    </row>
    <row r="35" customFormat="false" ht="15" hidden="false" customHeight="false" outlineLevel="0" collapsed="false">
      <c r="A35" s="4" t="n">
        <v>46305</v>
      </c>
      <c r="B35" s="2" t="s">
        <v>153</v>
      </c>
      <c r="C35" s="3" t="n">
        <v>962</v>
      </c>
      <c r="F35" s="0" t="s">
        <v>26</v>
      </c>
      <c r="G35" s="0" t="s">
        <v>2242</v>
      </c>
    </row>
    <row r="36" customFormat="false" ht="15" hidden="false" customHeight="false" outlineLevel="0" collapsed="false">
      <c r="A36" s="4" t="n">
        <v>46305</v>
      </c>
      <c r="B36" s="2" t="s">
        <v>155</v>
      </c>
      <c r="C36" s="3" t="n">
        <v>732</v>
      </c>
      <c r="F36" s="0" t="s">
        <v>26</v>
      </c>
      <c r="G36" s="0" t="s">
        <v>2242</v>
      </c>
    </row>
    <row r="37" customFormat="false" ht="15" hidden="false" customHeight="false" outlineLevel="0" collapsed="false">
      <c r="A37" s="4" t="n">
        <v>46305</v>
      </c>
      <c r="B37" s="2" t="s">
        <v>159</v>
      </c>
      <c r="C37" s="3" t="n">
        <v>310</v>
      </c>
      <c r="F37" s="0" t="s">
        <v>26</v>
      </c>
      <c r="G37" s="0" t="s">
        <v>2242</v>
      </c>
    </row>
    <row r="38" customFormat="false" ht="15" hidden="false" customHeight="false" outlineLevel="0" collapsed="false">
      <c r="A38" s="4" t="n">
        <v>46305</v>
      </c>
      <c r="B38" s="2" t="s">
        <v>164</v>
      </c>
      <c r="C38" s="3" t="n">
        <v>166</v>
      </c>
      <c r="F38" s="0" t="s">
        <v>26</v>
      </c>
      <c r="G38" s="0" t="s">
        <v>2242</v>
      </c>
    </row>
    <row r="39" customFormat="false" ht="15" hidden="false" customHeight="false" outlineLevel="0" collapsed="false">
      <c r="A39" s="4" t="n">
        <v>46305</v>
      </c>
      <c r="B39" s="2" t="s">
        <v>175</v>
      </c>
      <c r="C39" s="3" t="n">
        <v>513</v>
      </c>
      <c r="F39" s="0" t="s">
        <v>26</v>
      </c>
      <c r="G39" s="0" t="s">
        <v>2242</v>
      </c>
    </row>
    <row r="40" customFormat="false" ht="15" hidden="false" customHeight="false" outlineLevel="0" collapsed="false">
      <c r="A40" s="4" t="n">
        <v>46305</v>
      </c>
      <c r="B40" s="2" t="s">
        <v>180</v>
      </c>
      <c r="C40" s="3" t="n">
        <v>678</v>
      </c>
      <c r="F40" s="0" t="s">
        <v>26</v>
      </c>
      <c r="G40" s="0" t="s">
        <v>2242</v>
      </c>
    </row>
    <row r="41" customFormat="false" ht="15" hidden="false" customHeight="false" outlineLevel="0" collapsed="false">
      <c r="A41" s="4" t="n">
        <v>46305</v>
      </c>
      <c r="B41" s="2" t="s">
        <v>182</v>
      </c>
      <c r="C41" s="3" t="n">
        <v>827</v>
      </c>
      <c r="F41" s="0" t="s">
        <v>26</v>
      </c>
      <c r="G41" s="0" t="s">
        <v>2242</v>
      </c>
    </row>
    <row r="42" customFormat="false" ht="15" hidden="false" customHeight="false" outlineLevel="0" collapsed="false">
      <c r="A42" s="4" t="n">
        <v>46305</v>
      </c>
      <c r="B42" s="2" t="s">
        <v>184</v>
      </c>
      <c r="C42" s="3" t="n">
        <v>9</v>
      </c>
      <c r="F42" s="0" t="s">
        <v>26</v>
      </c>
      <c r="G42" s="0" t="s">
        <v>2242</v>
      </c>
    </row>
    <row r="43" customFormat="false" ht="15" hidden="false" customHeight="false" outlineLevel="0" collapsed="false">
      <c r="A43" s="4" t="n">
        <v>46305</v>
      </c>
      <c r="B43" s="2" t="s">
        <v>188</v>
      </c>
      <c r="C43" s="3" t="n">
        <v>12</v>
      </c>
      <c r="F43" s="0" t="s">
        <v>26</v>
      </c>
      <c r="G43" s="0" t="s">
        <v>2242</v>
      </c>
    </row>
    <row r="44" customFormat="false" ht="15" hidden="false" customHeight="false" outlineLevel="0" collapsed="false">
      <c r="A44" s="4" t="n">
        <v>46305</v>
      </c>
      <c r="B44" s="2" t="s">
        <v>192</v>
      </c>
      <c r="C44" s="3" t="n">
        <v>492</v>
      </c>
      <c r="D44" s="0" t="s">
        <v>196</v>
      </c>
      <c r="F44" s="0" t="s">
        <v>26</v>
      </c>
      <c r="G44" s="0" t="s">
        <v>2242</v>
      </c>
    </row>
    <row r="45" customFormat="false" ht="15" hidden="false" customHeight="false" outlineLevel="0" collapsed="false">
      <c r="A45" s="4" t="n">
        <v>46305</v>
      </c>
      <c r="B45" s="2" t="s">
        <v>198</v>
      </c>
      <c r="C45" s="3" t="n">
        <v>60</v>
      </c>
      <c r="F45" s="0" t="s">
        <v>26</v>
      </c>
      <c r="G45" s="0" t="s">
        <v>2242</v>
      </c>
    </row>
    <row r="46" customFormat="false" ht="15" hidden="false" customHeight="false" outlineLevel="0" collapsed="false">
      <c r="A46" s="4" t="n">
        <v>46305</v>
      </c>
      <c r="B46" s="2" t="s">
        <v>204</v>
      </c>
      <c r="C46" s="3" t="n">
        <v>430</v>
      </c>
      <c r="F46" s="0" t="s">
        <v>26</v>
      </c>
      <c r="G46" s="0" t="s">
        <v>2242</v>
      </c>
    </row>
    <row r="47" customFormat="false" ht="15" hidden="false" customHeight="false" outlineLevel="0" collapsed="false">
      <c r="A47" s="4" t="n">
        <v>46305</v>
      </c>
      <c r="B47" s="2" t="s">
        <v>207</v>
      </c>
      <c r="C47" s="3" t="n">
        <v>949</v>
      </c>
      <c r="F47" s="0" t="s">
        <v>26</v>
      </c>
      <c r="G47" s="0" t="s">
        <v>2242</v>
      </c>
    </row>
    <row r="48" customFormat="false" ht="15" hidden="false" customHeight="false" outlineLevel="0" collapsed="false">
      <c r="A48" s="4" t="n">
        <v>46305</v>
      </c>
      <c r="B48" s="2" t="s">
        <v>212</v>
      </c>
      <c r="C48" s="3" t="n">
        <v>1296</v>
      </c>
      <c r="F48" s="0" t="s">
        <v>26</v>
      </c>
      <c r="G48" s="0" t="s">
        <v>2242</v>
      </c>
    </row>
    <row r="49" customFormat="false" ht="15" hidden="false" customHeight="false" outlineLevel="0" collapsed="false">
      <c r="A49" s="4" t="n">
        <v>46305</v>
      </c>
      <c r="B49" s="2" t="s">
        <v>215</v>
      </c>
      <c r="C49" s="3" t="n">
        <v>473</v>
      </c>
      <c r="D49" s="0" t="s">
        <v>196</v>
      </c>
      <c r="F49" s="0" t="s">
        <v>26</v>
      </c>
      <c r="G49" s="0" t="s">
        <v>2242</v>
      </c>
    </row>
    <row r="50" customFormat="false" ht="15" hidden="false" customHeight="false" outlineLevel="0" collapsed="false">
      <c r="A50" s="4" t="n">
        <v>46305</v>
      </c>
      <c r="B50" s="2" t="s">
        <v>220</v>
      </c>
      <c r="C50" s="3" t="n">
        <v>41</v>
      </c>
      <c r="F50" s="0" t="s">
        <v>26</v>
      </c>
      <c r="G50" s="0" t="s">
        <v>2242</v>
      </c>
    </row>
    <row r="51" customFormat="false" ht="15" hidden="false" customHeight="false" outlineLevel="0" collapsed="false">
      <c r="A51" s="4" t="n">
        <v>46305</v>
      </c>
      <c r="B51" s="2" t="s">
        <v>224</v>
      </c>
      <c r="C51" s="3" t="n">
        <v>161</v>
      </c>
      <c r="F51" s="0" t="s">
        <v>26</v>
      </c>
      <c r="G51" s="0" t="s">
        <v>2242</v>
      </c>
    </row>
    <row r="52" customFormat="false" ht="15" hidden="false" customHeight="false" outlineLevel="0" collapsed="false">
      <c r="A52" s="4" t="n">
        <v>46305</v>
      </c>
      <c r="B52" s="2" t="s">
        <v>228</v>
      </c>
      <c r="C52" s="3" t="n">
        <v>366</v>
      </c>
      <c r="F52" s="0" t="s">
        <v>26</v>
      </c>
      <c r="G52" s="0" t="s">
        <v>2242</v>
      </c>
    </row>
    <row r="53" customFormat="false" ht="15" hidden="false" customHeight="false" outlineLevel="0" collapsed="false">
      <c r="A53" s="4" t="n">
        <v>46305</v>
      </c>
      <c r="B53" s="2" t="s">
        <v>235</v>
      </c>
      <c r="C53" s="3" t="n">
        <v>417</v>
      </c>
      <c r="F53" s="0" t="s">
        <v>26</v>
      </c>
      <c r="G53" s="0" t="s">
        <v>2242</v>
      </c>
    </row>
    <row r="54" customFormat="false" ht="15" hidden="false" customHeight="false" outlineLevel="0" collapsed="false">
      <c r="A54" s="4" t="n">
        <v>46305</v>
      </c>
      <c r="B54" s="2" t="s">
        <v>237</v>
      </c>
      <c r="C54" s="3" t="n">
        <v>484</v>
      </c>
      <c r="F54" s="0" t="s">
        <v>26</v>
      </c>
      <c r="G54" s="0" t="s">
        <v>2242</v>
      </c>
    </row>
    <row r="55" customFormat="false" ht="15" hidden="false" customHeight="false" outlineLevel="0" collapsed="false">
      <c r="A55" s="4" t="n">
        <v>46305</v>
      </c>
      <c r="B55" s="2" t="s">
        <v>239</v>
      </c>
      <c r="C55" s="3" t="n">
        <v>205</v>
      </c>
      <c r="F55" s="0" t="s">
        <v>26</v>
      </c>
      <c r="G55" s="0" t="s">
        <v>2242</v>
      </c>
    </row>
    <row r="56" customFormat="false" ht="15" hidden="false" customHeight="false" outlineLevel="0" collapsed="false">
      <c r="A56" s="4" t="n">
        <v>46305</v>
      </c>
      <c r="B56" s="2" t="s">
        <v>243</v>
      </c>
      <c r="C56" s="3" t="n">
        <v>272</v>
      </c>
      <c r="F56" s="0" t="s">
        <v>26</v>
      </c>
      <c r="G56" s="0" t="s">
        <v>2242</v>
      </c>
    </row>
    <row r="57" customFormat="false" ht="15" hidden="false" customHeight="false" outlineLevel="0" collapsed="false">
      <c r="A57" s="4" t="n">
        <v>46305</v>
      </c>
      <c r="B57" s="2" t="s">
        <v>245</v>
      </c>
      <c r="C57" s="3" t="n">
        <v>327</v>
      </c>
      <c r="F57" s="0" t="s">
        <v>26</v>
      </c>
      <c r="G57" s="0" t="s">
        <v>2242</v>
      </c>
    </row>
    <row r="58" customFormat="false" ht="15" hidden="false" customHeight="false" outlineLevel="0" collapsed="false">
      <c r="A58" s="4" t="n">
        <v>46305</v>
      </c>
      <c r="B58" s="2" t="s">
        <v>247</v>
      </c>
      <c r="C58" s="3" t="n">
        <v>598</v>
      </c>
      <c r="F58" s="0" t="s">
        <v>26</v>
      </c>
      <c r="G58" s="0" t="s">
        <v>2242</v>
      </c>
    </row>
    <row r="59" customFormat="false" ht="15" hidden="false" customHeight="false" outlineLevel="0" collapsed="false">
      <c r="A59" s="4" t="n">
        <v>46305</v>
      </c>
      <c r="B59" s="2" t="s">
        <v>251</v>
      </c>
      <c r="C59" s="3" t="n">
        <v>664</v>
      </c>
      <c r="F59" s="0" t="s">
        <v>26</v>
      </c>
      <c r="G59" s="0" t="s">
        <v>2242</v>
      </c>
    </row>
    <row r="60" customFormat="false" ht="15" hidden="false" customHeight="false" outlineLevel="0" collapsed="false">
      <c r="A60" s="4" t="n">
        <v>46305</v>
      </c>
      <c r="B60" s="2" t="s">
        <v>253</v>
      </c>
      <c r="C60" s="3" t="n">
        <v>1016</v>
      </c>
      <c r="F60" s="0" t="s">
        <v>26</v>
      </c>
      <c r="G60" s="0" t="s">
        <v>2242</v>
      </c>
    </row>
    <row r="61" customFormat="false" ht="15" hidden="false" customHeight="false" outlineLevel="0" collapsed="false">
      <c r="A61" s="4" t="n">
        <v>46315</v>
      </c>
      <c r="B61" s="2" t="s">
        <v>272</v>
      </c>
      <c r="C61" s="3" t="n">
        <v>615</v>
      </c>
      <c r="D61" s="0" t="s">
        <v>278</v>
      </c>
      <c r="E61" s="0" t="s">
        <v>279</v>
      </c>
      <c r="F61" s="0" t="s">
        <v>26</v>
      </c>
      <c r="G61" s="0" t="s">
        <v>2243</v>
      </c>
    </row>
    <row r="62" customFormat="false" ht="15" hidden="false" customHeight="false" outlineLevel="0" collapsed="false">
      <c r="A62" s="4" t="n">
        <v>46315</v>
      </c>
      <c r="B62" s="2" t="s">
        <v>282</v>
      </c>
      <c r="C62" s="3" t="n">
        <v>325</v>
      </c>
      <c r="F62" s="0" t="s">
        <v>26</v>
      </c>
      <c r="G62" s="0" t="s">
        <v>2242</v>
      </c>
    </row>
    <row r="63" customFormat="false" ht="15" hidden="false" customHeight="false" outlineLevel="0" collapsed="false">
      <c r="A63" s="4" t="n">
        <v>46315</v>
      </c>
      <c r="B63" s="2" t="s">
        <v>290</v>
      </c>
      <c r="C63" s="3" t="n">
        <v>425</v>
      </c>
      <c r="D63" s="0" t="s">
        <v>278</v>
      </c>
      <c r="E63" s="0" t="s">
        <v>294</v>
      </c>
      <c r="F63" s="0" t="s">
        <v>26</v>
      </c>
      <c r="G63" s="0" t="s">
        <v>2243</v>
      </c>
    </row>
    <row r="64" customFormat="false" ht="15" hidden="false" customHeight="false" outlineLevel="0" collapsed="false">
      <c r="A64" s="4" t="n">
        <v>46315</v>
      </c>
      <c r="B64" s="2" t="s">
        <v>295</v>
      </c>
      <c r="C64" s="3" t="n">
        <v>205</v>
      </c>
      <c r="F64" s="0" t="s">
        <v>26</v>
      </c>
      <c r="G64" s="0" t="s">
        <v>2242</v>
      </c>
    </row>
    <row r="65" customFormat="false" ht="15" hidden="false" customHeight="false" outlineLevel="0" collapsed="false">
      <c r="A65" s="4" t="n">
        <v>46315</v>
      </c>
      <c r="B65" s="2" t="s">
        <v>300</v>
      </c>
      <c r="C65" s="3" t="n">
        <v>225</v>
      </c>
      <c r="F65" s="0" t="s">
        <v>26</v>
      </c>
      <c r="G65" s="0" t="s">
        <v>2242</v>
      </c>
    </row>
    <row r="66" customFormat="false" ht="15" hidden="false" customHeight="false" outlineLevel="0" collapsed="false">
      <c r="A66" s="4" t="n">
        <v>46315</v>
      </c>
      <c r="B66" s="2" t="s">
        <v>305</v>
      </c>
      <c r="C66" s="3" t="n">
        <v>159</v>
      </c>
      <c r="D66" s="0" t="s">
        <v>278</v>
      </c>
      <c r="E66" s="0" t="s">
        <v>310</v>
      </c>
      <c r="F66" s="0" t="s">
        <v>26</v>
      </c>
      <c r="G66" s="0" t="s">
        <v>2243</v>
      </c>
    </row>
    <row r="67" customFormat="false" ht="15" hidden="false" customHeight="false" outlineLevel="0" collapsed="false">
      <c r="A67" s="4" t="n">
        <v>46315</v>
      </c>
      <c r="B67" s="2" t="s">
        <v>311</v>
      </c>
      <c r="C67" s="3" t="n">
        <v>165</v>
      </c>
      <c r="D67" s="0" t="s">
        <v>316</v>
      </c>
      <c r="E67" s="0" t="s">
        <v>317</v>
      </c>
      <c r="F67" s="0" t="s">
        <v>26</v>
      </c>
      <c r="G67" s="0" t="s">
        <v>2243</v>
      </c>
    </row>
    <row r="68" customFormat="false" ht="15" hidden="false" customHeight="false" outlineLevel="0" collapsed="false">
      <c r="A68" s="4" t="n">
        <v>46315</v>
      </c>
      <c r="B68" s="2" t="s">
        <v>318</v>
      </c>
      <c r="C68" s="3" t="n">
        <v>35</v>
      </c>
      <c r="F68" s="0" t="s">
        <v>26</v>
      </c>
      <c r="G68" s="0" t="s">
        <v>2242</v>
      </c>
    </row>
    <row r="69" customFormat="false" ht="15" hidden="false" customHeight="false" outlineLevel="0" collapsed="false">
      <c r="A69" s="4" t="n">
        <v>46315</v>
      </c>
      <c r="B69" s="2" t="s">
        <v>323</v>
      </c>
      <c r="C69" s="3" t="n">
        <v>165</v>
      </c>
      <c r="F69" s="0" t="s">
        <v>26</v>
      </c>
      <c r="G69" s="0" t="s">
        <v>2242</v>
      </c>
    </row>
    <row r="70" customFormat="false" ht="15" hidden="false" customHeight="false" outlineLevel="0" collapsed="false">
      <c r="A70" s="4" t="n">
        <v>46315</v>
      </c>
      <c r="B70" s="2" t="s">
        <v>328</v>
      </c>
      <c r="C70" s="3" t="n">
        <v>564</v>
      </c>
      <c r="F70" s="0" t="s">
        <v>26</v>
      </c>
      <c r="G70" s="0" t="s">
        <v>2242</v>
      </c>
    </row>
    <row r="71" customFormat="false" ht="15" hidden="false" customHeight="false" outlineLevel="0" collapsed="false">
      <c r="A71" s="4" t="n">
        <v>46315</v>
      </c>
      <c r="B71" s="2" t="s">
        <v>334</v>
      </c>
      <c r="C71" s="3" t="n">
        <v>159</v>
      </c>
      <c r="F71" s="0" t="s">
        <v>26</v>
      </c>
      <c r="G71" s="0" t="s">
        <v>2242</v>
      </c>
    </row>
    <row r="72" customFormat="false" ht="15" hidden="false" customHeight="false" outlineLevel="0" collapsed="false">
      <c r="A72" s="4" t="n">
        <v>46315</v>
      </c>
      <c r="B72" s="2" t="s">
        <v>339</v>
      </c>
      <c r="C72" s="3" t="n">
        <v>175</v>
      </c>
      <c r="F72" s="0" t="s">
        <v>26</v>
      </c>
      <c r="G72" s="0" t="s">
        <v>2242</v>
      </c>
    </row>
    <row r="73" customFormat="false" ht="15" hidden="false" customHeight="false" outlineLevel="0" collapsed="false">
      <c r="A73" s="4" t="n">
        <v>46315</v>
      </c>
      <c r="B73" s="2" t="s">
        <v>344</v>
      </c>
      <c r="C73" s="3" t="n">
        <v>197</v>
      </c>
      <c r="F73" s="0" t="s">
        <v>26</v>
      </c>
      <c r="G73" s="0" t="s">
        <v>2242</v>
      </c>
    </row>
    <row r="74" customFormat="false" ht="15" hidden="false" customHeight="false" outlineLevel="0" collapsed="false">
      <c r="A74" s="4" t="n">
        <v>46315</v>
      </c>
      <c r="B74" s="2" t="s">
        <v>349</v>
      </c>
      <c r="C74" s="3" t="n">
        <v>439</v>
      </c>
      <c r="F74" s="0" t="s">
        <v>26</v>
      </c>
      <c r="G74" s="0" t="s">
        <v>2242</v>
      </c>
    </row>
    <row r="75" customFormat="false" ht="15" hidden="false" customHeight="false" outlineLevel="0" collapsed="false">
      <c r="A75" s="4" t="n">
        <v>46315</v>
      </c>
      <c r="B75" s="2" t="s">
        <v>355</v>
      </c>
      <c r="C75" s="3" t="n">
        <v>68</v>
      </c>
      <c r="D75" s="0" t="s">
        <v>360</v>
      </c>
      <c r="F75" s="0" t="s">
        <v>26</v>
      </c>
      <c r="G75" s="0" t="s">
        <v>2242</v>
      </c>
    </row>
    <row r="76" customFormat="false" ht="15" hidden="false" customHeight="false" outlineLevel="0" collapsed="false">
      <c r="A76" s="4" t="n">
        <v>46315</v>
      </c>
      <c r="B76" s="2" t="s">
        <v>361</v>
      </c>
      <c r="C76" s="3" t="n">
        <v>495</v>
      </c>
      <c r="F76" s="0" t="s">
        <v>26</v>
      </c>
      <c r="G76" s="0" t="s">
        <v>2242</v>
      </c>
    </row>
    <row r="77" customFormat="false" ht="15" hidden="false" customHeight="false" outlineLevel="0" collapsed="false">
      <c r="A77" s="4" t="n">
        <v>46315</v>
      </c>
      <c r="B77" s="2" t="s">
        <v>371</v>
      </c>
      <c r="C77" s="3" t="n">
        <v>297</v>
      </c>
      <c r="F77" s="0" t="s">
        <v>26</v>
      </c>
      <c r="G77" s="0" t="s">
        <v>2242</v>
      </c>
    </row>
    <row r="78" customFormat="false" ht="15" hidden="false" customHeight="false" outlineLevel="0" collapsed="false">
      <c r="A78" s="4" t="n">
        <v>46315</v>
      </c>
      <c r="B78" s="2" t="s">
        <v>376</v>
      </c>
      <c r="C78" s="3" t="n">
        <v>554</v>
      </c>
      <c r="F78" s="0" t="s">
        <v>26</v>
      </c>
      <c r="G78" s="0" t="s">
        <v>2242</v>
      </c>
    </row>
    <row r="79" customFormat="false" ht="15" hidden="false" customHeight="false" outlineLevel="0" collapsed="false">
      <c r="A79" s="4" t="n">
        <v>46315</v>
      </c>
      <c r="B79" s="2" t="s">
        <v>379</v>
      </c>
      <c r="C79" s="3" t="n">
        <v>570</v>
      </c>
      <c r="F79" s="0" t="s">
        <v>26</v>
      </c>
      <c r="G79" s="0" t="s">
        <v>2242</v>
      </c>
    </row>
    <row r="80" customFormat="false" ht="15" hidden="false" customHeight="false" outlineLevel="0" collapsed="false">
      <c r="A80" s="4" t="n">
        <v>46315</v>
      </c>
      <c r="B80" s="2" t="s">
        <v>381</v>
      </c>
      <c r="C80" s="3" t="n">
        <v>34</v>
      </c>
      <c r="F80" s="0" t="s">
        <v>26</v>
      </c>
      <c r="G80" s="0" t="s">
        <v>2242</v>
      </c>
    </row>
    <row r="81" customFormat="false" ht="15" hidden="false" customHeight="false" outlineLevel="0" collapsed="false">
      <c r="A81" s="4" t="n">
        <v>46315</v>
      </c>
      <c r="B81" s="2" t="s">
        <v>386</v>
      </c>
      <c r="C81" s="3" t="n">
        <v>38.45</v>
      </c>
      <c r="F81" s="0" t="s">
        <v>26</v>
      </c>
      <c r="G81" s="0" t="s">
        <v>2242</v>
      </c>
    </row>
    <row r="82" customFormat="false" ht="15" hidden="false" customHeight="false" outlineLevel="0" collapsed="false">
      <c r="A82" s="4" t="n">
        <v>46315</v>
      </c>
      <c r="B82" s="2" t="s">
        <v>390</v>
      </c>
      <c r="C82" s="3" t="n">
        <v>420</v>
      </c>
      <c r="D82" s="0" t="s">
        <v>394</v>
      </c>
      <c r="E82" s="0" t="s">
        <v>395</v>
      </c>
      <c r="F82" s="0" t="s">
        <v>26</v>
      </c>
      <c r="G82" s="0" t="s">
        <v>2243</v>
      </c>
    </row>
    <row r="83" customFormat="false" ht="15" hidden="false" customHeight="false" outlineLevel="0" collapsed="false">
      <c r="A83" s="4" t="n">
        <v>46315</v>
      </c>
      <c r="B83" s="2" t="s">
        <v>396</v>
      </c>
      <c r="C83" s="3" t="n">
        <v>199</v>
      </c>
      <c r="F83" s="0" t="s">
        <v>26</v>
      </c>
      <c r="G83" s="0" t="s">
        <v>2242</v>
      </c>
    </row>
    <row r="84" customFormat="false" ht="15" hidden="false" customHeight="false" outlineLevel="0" collapsed="false">
      <c r="A84" s="4" t="n">
        <v>46315</v>
      </c>
      <c r="B84" s="2" t="s">
        <v>401</v>
      </c>
      <c r="C84" s="3" t="n">
        <v>348</v>
      </c>
      <c r="D84" s="0" t="s">
        <v>278</v>
      </c>
      <c r="E84" s="0" t="s">
        <v>405</v>
      </c>
      <c r="F84" s="0" t="s">
        <v>26</v>
      </c>
      <c r="G84" s="0" t="s">
        <v>2243</v>
      </c>
    </row>
    <row r="85" customFormat="false" ht="15" hidden="false" customHeight="false" outlineLevel="0" collapsed="false">
      <c r="A85" s="4" t="n">
        <v>46315</v>
      </c>
      <c r="B85" s="2" t="s">
        <v>406</v>
      </c>
      <c r="C85" s="3" t="n">
        <v>239</v>
      </c>
      <c r="F85" s="0" t="s">
        <v>26</v>
      </c>
      <c r="G85" s="0" t="s">
        <v>2242</v>
      </c>
    </row>
    <row r="86" customFormat="false" ht="15" hidden="false" customHeight="false" outlineLevel="0" collapsed="false">
      <c r="A86" s="4" t="n">
        <v>46315</v>
      </c>
      <c r="B86" s="2" t="s">
        <v>410</v>
      </c>
      <c r="C86" s="3" t="n">
        <v>322</v>
      </c>
      <c r="F86" s="0" t="s">
        <v>26</v>
      </c>
      <c r="G86" s="0" t="s">
        <v>2242</v>
      </c>
    </row>
    <row r="87" customFormat="false" ht="15" hidden="false" customHeight="false" outlineLevel="0" collapsed="false">
      <c r="A87" s="4" t="n">
        <v>46315</v>
      </c>
      <c r="B87" s="2" t="s">
        <v>413</v>
      </c>
      <c r="C87" s="3" t="n">
        <v>235</v>
      </c>
      <c r="D87" s="0" t="s">
        <v>278</v>
      </c>
      <c r="E87" s="0" t="s">
        <v>417</v>
      </c>
      <c r="F87" s="0" t="s">
        <v>26</v>
      </c>
      <c r="G87" s="0" t="s">
        <v>2243</v>
      </c>
    </row>
    <row r="88" customFormat="false" ht="15" hidden="false" customHeight="false" outlineLevel="0" collapsed="false">
      <c r="A88" s="4" t="n">
        <v>46315</v>
      </c>
      <c r="B88" s="2" t="s">
        <v>418</v>
      </c>
      <c r="C88" s="3" t="n">
        <v>62</v>
      </c>
      <c r="F88" s="0" t="s">
        <v>26</v>
      </c>
      <c r="G88" s="0" t="s">
        <v>2242</v>
      </c>
    </row>
    <row r="89" customFormat="false" ht="15" hidden="false" customHeight="false" outlineLevel="0" collapsed="false">
      <c r="A89" s="4" t="n">
        <v>46315</v>
      </c>
      <c r="B89" s="2" t="s">
        <v>422</v>
      </c>
      <c r="C89" s="3" t="n">
        <v>104</v>
      </c>
      <c r="F89" s="0" t="s">
        <v>26</v>
      </c>
      <c r="G89" s="0" t="s">
        <v>2242</v>
      </c>
    </row>
    <row r="90" customFormat="false" ht="15" hidden="false" customHeight="false" outlineLevel="0" collapsed="false">
      <c r="A90" s="4" t="n">
        <v>46315</v>
      </c>
      <c r="B90" s="2" t="s">
        <v>425</v>
      </c>
      <c r="C90" s="3" t="n">
        <v>296</v>
      </c>
      <c r="F90" s="0" t="s">
        <v>26</v>
      </c>
      <c r="G90" s="0" t="s">
        <v>2242</v>
      </c>
    </row>
    <row r="91" customFormat="false" ht="15" hidden="false" customHeight="false" outlineLevel="0" collapsed="false">
      <c r="A91" s="4" t="n">
        <v>46315</v>
      </c>
      <c r="B91" s="2" t="s">
        <v>429</v>
      </c>
      <c r="C91" s="3" t="n">
        <v>398</v>
      </c>
      <c r="F91" s="0" t="s">
        <v>26</v>
      </c>
      <c r="G91" s="0" t="s">
        <v>2242</v>
      </c>
    </row>
    <row r="92" customFormat="false" ht="15" hidden="false" customHeight="false" outlineLevel="0" collapsed="false">
      <c r="A92" s="4" t="n">
        <v>46315</v>
      </c>
      <c r="B92" s="2" t="s">
        <v>433</v>
      </c>
      <c r="C92" s="3" t="n">
        <v>547</v>
      </c>
      <c r="F92" s="0" t="s">
        <v>26</v>
      </c>
      <c r="G92" s="0" t="s">
        <v>2242</v>
      </c>
    </row>
    <row r="93" customFormat="false" ht="15" hidden="false" customHeight="false" outlineLevel="0" collapsed="false">
      <c r="A93" s="4" t="n">
        <v>46315</v>
      </c>
      <c r="B93" s="2" t="s">
        <v>435</v>
      </c>
      <c r="C93" s="3" t="n">
        <v>583</v>
      </c>
      <c r="F93" s="0" t="s">
        <v>26</v>
      </c>
      <c r="G93" s="0" t="s">
        <v>2242</v>
      </c>
    </row>
    <row r="94" customFormat="false" ht="15" hidden="false" customHeight="false" outlineLevel="0" collapsed="false">
      <c r="A94" s="4" t="n">
        <v>46315</v>
      </c>
      <c r="B94" s="2" t="s">
        <v>437</v>
      </c>
      <c r="C94" s="3" t="n">
        <v>875</v>
      </c>
      <c r="D94" s="0" t="s">
        <v>278</v>
      </c>
      <c r="E94" s="0" t="s">
        <v>442</v>
      </c>
      <c r="F94" s="0" t="s">
        <v>26</v>
      </c>
      <c r="G94" s="0" t="s">
        <v>2243</v>
      </c>
    </row>
    <row r="95" customFormat="false" ht="15" hidden="false" customHeight="false" outlineLevel="0" collapsed="false">
      <c r="A95" s="4" t="n">
        <v>46315</v>
      </c>
      <c r="B95" s="2" t="s">
        <v>443</v>
      </c>
      <c r="C95" s="3" t="n">
        <v>168</v>
      </c>
      <c r="F95" s="0" t="s">
        <v>26</v>
      </c>
      <c r="G95" s="0" t="s">
        <v>2242</v>
      </c>
    </row>
    <row r="96" customFormat="false" ht="15" hidden="false" customHeight="false" outlineLevel="0" collapsed="false">
      <c r="A96" s="4" t="n">
        <v>46315</v>
      </c>
      <c r="B96" s="2" t="s">
        <v>448</v>
      </c>
      <c r="C96" s="3" t="n">
        <v>182</v>
      </c>
      <c r="F96" s="0" t="s">
        <v>26</v>
      </c>
      <c r="G96" s="0" t="s">
        <v>2242</v>
      </c>
    </row>
    <row r="97" customFormat="false" ht="15" hidden="false" customHeight="false" outlineLevel="0" collapsed="false">
      <c r="A97" s="4" t="n">
        <v>46315</v>
      </c>
      <c r="B97" s="2" t="s">
        <v>450</v>
      </c>
      <c r="C97" s="3" t="n">
        <v>578</v>
      </c>
      <c r="F97" s="0" t="s">
        <v>26</v>
      </c>
      <c r="G97" s="0" t="s">
        <v>2242</v>
      </c>
    </row>
    <row r="98" customFormat="false" ht="15" hidden="false" customHeight="false" outlineLevel="0" collapsed="false">
      <c r="A98" s="4" t="n">
        <v>46315</v>
      </c>
      <c r="B98" s="2" t="s">
        <v>452</v>
      </c>
      <c r="C98" s="3" t="n">
        <v>569</v>
      </c>
      <c r="D98" s="0" t="s">
        <v>278</v>
      </c>
      <c r="E98" s="0" t="s">
        <v>457</v>
      </c>
      <c r="F98" s="0" t="s">
        <v>26</v>
      </c>
      <c r="G98" s="0" t="s">
        <v>2243</v>
      </c>
    </row>
    <row r="99" customFormat="false" ht="15" hidden="false" customHeight="false" outlineLevel="0" collapsed="false">
      <c r="A99" s="4" t="n">
        <v>46315</v>
      </c>
      <c r="B99" s="2" t="s">
        <v>458</v>
      </c>
      <c r="C99" s="3" t="n">
        <v>119</v>
      </c>
      <c r="F99" s="0" t="s">
        <v>26</v>
      </c>
      <c r="G99" s="0" t="s">
        <v>2242</v>
      </c>
    </row>
    <row r="100" customFormat="false" ht="15" hidden="false" customHeight="false" outlineLevel="0" collapsed="false">
      <c r="A100" s="4" t="n">
        <v>46315</v>
      </c>
      <c r="B100" s="2" t="s">
        <v>462</v>
      </c>
      <c r="C100" s="3" t="n">
        <v>135</v>
      </c>
      <c r="F100" s="0" t="s">
        <v>26</v>
      </c>
      <c r="G100" s="0" t="s">
        <v>2242</v>
      </c>
    </row>
    <row r="101" customFormat="false" ht="15" hidden="false" customHeight="false" outlineLevel="0" collapsed="false">
      <c r="A101" s="4" t="n">
        <v>46315</v>
      </c>
      <c r="B101" s="2" t="s">
        <v>466</v>
      </c>
      <c r="C101" s="3" t="n">
        <v>239</v>
      </c>
      <c r="F101" s="0" t="s">
        <v>26</v>
      </c>
      <c r="G101" s="0" t="s">
        <v>2242</v>
      </c>
    </row>
    <row r="102" customFormat="false" ht="15" hidden="false" customHeight="false" outlineLevel="0" collapsed="false">
      <c r="A102" s="4" t="n">
        <v>46315</v>
      </c>
      <c r="B102" s="2" t="s">
        <v>470</v>
      </c>
      <c r="C102" s="3" t="n">
        <v>245</v>
      </c>
      <c r="F102" s="0" t="s">
        <v>26</v>
      </c>
      <c r="G102" s="0" t="s">
        <v>2242</v>
      </c>
    </row>
    <row r="103" customFormat="false" ht="15" hidden="false" customHeight="false" outlineLevel="0" collapsed="false">
      <c r="A103" s="4" t="n">
        <v>46315</v>
      </c>
      <c r="B103" s="2" t="s">
        <v>474</v>
      </c>
      <c r="C103" s="3" t="n">
        <v>89</v>
      </c>
      <c r="F103" s="0" t="s">
        <v>26</v>
      </c>
      <c r="G103" s="0" t="s">
        <v>2242</v>
      </c>
    </row>
    <row r="104" customFormat="false" ht="15" hidden="false" customHeight="false" outlineLevel="0" collapsed="false">
      <c r="A104" s="4" t="n">
        <v>46315</v>
      </c>
      <c r="B104" s="2" t="s">
        <v>478</v>
      </c>
      <c r="C104" s="3" t="n">
        <v>195</v>
      </c>
      <c r="F104" s="0" t="s">
        <v>26</v>
      </c>
      <c r="G104" s="0" t="s">
        <v>2242</v>
      </c>
    </row>
    <row r="105" customFormat="false" ht="15" hidden="false" customHeight="false" outlineLevel="0" collapsed="false">
      <c r="A105" s="4" t="n">
        <v>46315</v>
      </c>
      <c r="B105" s="2" t="s">
        <v>483</v>
      </c>
      <c r="C105" s="3" t="n">
        <v>449</v>
      </c>
      <c r="F105" s="0" t="s">
        <v>26</v>
      </c>
      <c r="G105" s="0" t="s">
        <v>2242</v>
      </c>
    </row>
    <row r="106" customFormat="false" ht="15" hidden="false" customHeight="false" outlineLevel="0" collapsed="false">
      <c r="A106" s="4" t="n">
        <v>46315</v>
      </c>
      <c r="B106" s="2" t="s">
        <v>485</v>
      </c>
      <c r="C106" s="3" t="n">
        <v>219</v>
      </c>
      <c r="F106" s="0" t="s">
        <v>26</v>
      </c>
      <c r="G106" s="0" t="s">
        <v>2242</v>
      </c>
    </row>
    <row r="107" customFormat="false" ht="15" hidden="false" customHeight="false" outlineLevel="0" collapsed="false">
      <c r="A107" s="4" t="n">
        <v>46315</v>
      </c>
      <c r="B107" s="2" t="s">
        <v>488</v>
      </c>
      <c r="C107" s="3" t="n">
        <v>529</v>
      </c>
      <c r="F107" s="0" t="s">
        <v>26</v>
      </c>
      <c r="G107" s="0" t="s">
        <v>2242</v>
      </c>
    </row>
    <row r="108" customFormat="false" ht="15" hidden="false" customHeight="false" outlineLevel="0" collapsed="false">
      <c r="A108" s="4" t="n">
        <v>46315</v>
      </c>
      <c r="B108" s="2" t="s">
        <v>490</v>
      </c>
      <c r="C108" s="3" t="n">
        <v>407</v>
      </c>
      <c r="F108" s="0" t="s">
        <v>26</v>
      </c>
      <c r="G108" s="0" t="s">
        <v>2242</v>
      </c>
    </row>
    <row r="109" customFormat="false" ht="15" hidden="false" customHeight="false" outlineLevel="0" collapsed="false">
      <c r="A109" s="4" t="n">
        <v>46315</v>
      </c>
      <c r="B109" s="2" t="s">
        <v>493</v>
      </c>
      <c r="C109" s="3" t="n">
        <v>479</v>
      </c>
      <c r="F109" s="0" t="s">
        <v>26</v>
      </c>
      <c r="G109" s="0" t="s">
        <v>2242</v>
      </c>
    </row>
    <row r="110" customFormat="false" ht="15" hidden="false" customHeight="false" outlineLevel="0" collapsed="false">
      <c r="A110" s="4" t="n">
        <v>46315</v>
      </c>
      <c r="B110" s="2" t="s">
        <v>495</v>
      </c>
      <c r="C110" s="3" t="n">
        <v>359</v>
      </c>
      <c r="F110" s="0" t="s">
        <v>26</v>
      </c>
      <c r="G110" s="0" t="s">
        <v>2242</v>
      </c>
    </row>
    <row r="111" customFormat="false" ht="15" hidden="false" customHeight="false" outlineLevel="0" collapsed="false">
      <c r="A111" s="4" t="n">
        <v>46315</v>
      </c>
      <c r="B111" s="2" t="s">
        <v>499</v>
      </c>
      <c r="C111" s="3" t="n">
        <v>459</v>
      </c>
      <c r="D111" s="0" t="s">
        <v>278</v>
      </c>
      <c r="E111" s="0" t="s">
        <v>2244</v>
      </c>
      <c r="F111" s="0" t="s">
        <v>26</v>
      </c>
      <c r="G111" s="0" t="s">
        <v>2243</v>
      </c>
    </row>
    <row r="112" customFormat="false" ht="15" hidden="false" customHeight="false" outlineLevel="0" collapsed="false">
      <c r="A112" s="4" t="n">
        <v>46315</v>
      </c>
      <c r="B112" s="2" t="s">
        <v>505</v>
      </c>
      <c r="C112" s="3" t="n">
        <v>589</v>
      </c>
      <c r="D112" s="0" t="s">
        <v>508</v>
      </c>
      <c r="F112" s="0" t="s">
        <v>26</v>
      </c>
      <c r="G112" s="0" t="s">
        <v>2242</v>
      </c>
    </row>
    <row r="113" customFormat="false" ht="15" hidden="false" customHeight="false" outlineLevel="0" collapsed="false">
      <c r="A113" s="4" t="n">
        <v>46315</v>
      </c>
      <c r="B113" s="2" t="s">
        <v>509</v>
      </c>
      <c r="C113" s="3" t="n">
        <v>1140</v>
      </c>
      <c r="D113" s="0" t="s">
        <v>513</v>
      </c>
      <c r="E113" s="0" t="s">
        <v>514</v>
      </c>
      <c r="F113" s="0" t="s">
        <v>26</v>
      </c>
      <c r="G113" s="0" t="s">
        <v>2243</v>
      </c>
    </row>
    <row r="114" customFormat="false" ht="15" hidden="false" customHeight="false" outlineLevel="0" collapsed="false">
      <c r="A114" s="4" t="n">
        <v>46315</v>
      </c>
      <c r="B114" s="2" t="s">
        <v>515</v>
      </c>
      <c r="C114" s="3" t="n">
        <v>1499</v>
      </c>
      <c r="D114" s="0" t="s">
        <v>278</v>
      </c>
      <c r="E114" s="0" t="s">
        <v>519</v>
      </c>
      <c r="F114" s="0" t="s">
        <v>26</v>
      </c>
      <c r="G114" s="0" t="s">
        <v>2243</v>
      </c>
    </row>
    <row r="115" customFormat="false" ht="15" hidden="false" customHeight="false" outlineLevel="0" collapsed="false">
      <c r="A115" s="4" t="n">
        <v>46315</v>
      </c>
      <c r="B115" s="2" t="s">
        <v>520</v>
      </c>
      <c r="C115" s="3" t="n">
        <v>280</v>
      </c>
      <c r="F115" s="0" t="s">
        <v>26</v>
      </c>
      <c r="G115" s="0" t="s">
        <v>2242</v>
      </c>
    </row>
    <row r="116" customFormat="false" ht="15" hidden="false" customHeight="false" outlineLevel="0" collapsed="false">
      <c r="A116" s="4" t="n">
        <v>46315</v>
      </c>
      <c r="B116" s="2" t="s">
        <v>525</v>
      </c>
      <c r="C116" s="3" t="n">
        <v>270</v>
      </c>
      <c r="F116" s="0" t="s">
        <v>26</v>
      </c>
      <c r="G116" s="0" t="s">
        <v>2242</v>
      </c>
    </row>
    <row r="117" customFormat="false" ht="15" hidden="false" customHeight="false" outlineLevel="0" collapsed="false">
      <c r="A117" s="4" t="n">
        <v>46315</v>
      </c>
      <c r="B117" s="2" t="s">
        <v>528</v>
      </c>
      <c r="C117" s="3" t="n">
        <v>280.72</v>
      </c>
      <c r="F117" s="0" t="s">
        <v>531</v>
      </c>
      <c r="G117" s="0" t="s">
        <v>2242</v>
      </c>
    </row>
    <row r="118" customFormat="false" ht="15" hidden="false" customHeight="false" outlineLevel="0" collapsed="false">
      <c r="A118" s="4" t="n">
        <v>46315</v>
      </c>
      <c r="B118" s="2" t="s">
        <v>533</v>
      </c>
      <c r="C118" s="3" t="n">
        <v>1212</v>
      </c>
      <c r="F118" s="0" t="s">
        <v>26</v>
      </c>
      <c r="G118" s="0" t="s">
        <v>2242</v>
      </c>
    </row>
    <row r="119" customFormat="false" ht="15" hidden="false" customHeight="false" outlineLevel="0" collapsed="false">
      <c r="A119" s="4" t="n">
        <v>46315</v>
      </c>
      <c r="B119" s="2" t="s">
        <v>538</v>
      </c>
      <c r="C119" s="3" t="n">
        <v>144</v>
      </c>
      <c r="F119" s="0" t="s">
        <v>26</v>
      </c>
      <c r="G119" s="0" t="s">
        <v>2242</v>
      </c>
    </row>
    <row r="120" customFormat="false" ht="15" hidden="false" customHeight="false" outlineLevel="0" collapsed="false">
      <c r="A120" s="4" t="n">
        <v>46315</v>
      </c>
      <c r="B120" s="2" t="s">
        <v>544</v>
      </c>
      <c r="C120" s="3" t="n">
        <v>88</v>
      </c>
      <c r="F120" s="0" t="s">
        <v>26</v>
      </c>
      <c r="G120" s="0" t="s">
        <v>2242</v>
      </c>
    </row>
    <row r="121" customFormat="false" ht="15" hidden="false" customHeight="false" outlineLevel="0" collapsed="false">
      <c r="A121" s="4" t="n">
        <v>46315</v>
      </c>
      <c r="B121" s="2" t="s">
        <v>548</v>
      </c>
      <c r="C121" s="3" t="n">
        <v>163</v>
      </c>
      <c r="F121" s="0" t="s">
        <v>26</v>
      </c>
      <c r="G121" s="0" t="s">
        <v>2242</v>
      </c>
    </row>
    <row r="122" customFormat="false" ht="15" hidden="false" customHeight="false" outlineLevel="0" collapsed="false">
      <c r="A122" s="4" t="n">
        <v>46315</v>
      </c>
      <c r="B122" s="2" t="s">
        <v>551</v>
      </c>
      <c r="C122" s="3" t="n">
        <v>320</v>
      </c>
      <c r="F122" s="0" t="s">
        <v>26</v>
      </c>
      <c r="G122" s="0" t="s">
        <v>2242</v>
      </c>
    </row>
    <row r="123" customFormat="false" ht="15" hidden="false" customHeight="false" outlineLevel="0" collapsed="false">
      <c r="A123" s="4" t="n">
        <v>46315</v>
      </c>
      <c r="B123" s="2" t="s">
        <v>555</v>
      </c>
      <c r="C123" s="3" t="n">
        <v>358</v>
      </c>
      <c r="F123" s="0" t="s">
        <v>26</v>
      </c>
      <c r="G123" s="0" t="s">
        <v>2242</v>
      </c>
    </row>
    <row r="124" customFormat="false" ht="15" hidden="false" customHeight="false" outlineLevel="0" collapsed="false">
      <c r="A124" s="4" t="n">
        <v>46315</v>
      </c>
      <c r="B124" s="2" t="s">
        <v>558</v>
      </c>
      <c r="C124" s="3" t="n">
        <v>1105</v>
      </c>
      <c r="F124" s="0" t="s">
        <v>26</v>
      </c>
      <c r="G124" s="0" t="s">
        <v>2242</v>
      </c>
    </row>
    <row r="125" customFormat="false" ht="15" hidden="false" customHeight="false" outlineLevel="0" collapsed="false">
      <c r="A125" s="4" t="n">
        <v>46315</v>
      </c>
      <c r="B125" s="2" t="s">
        <v>562</v>
      </c>
      <c r="C125" s="3" t="n">
        <v>281.42</v>
      </c>
      <c r="D125" s="0" t="s">
        <v>566</v>
      </c>
      <c r="F125" s="0" t="s">
        <v>26</v>
      </c>
      <c r="G125" s="0" t="s">
        <v>2242</v>
      </c>
    </row>
    <row r="126" customFormat="false" ht="15" hidden="false" customHeight="false" outlineLevel="0" collapsed="false">
      <c r="A126" s="4" t="n">
        <v>46315</v>
      </c>
      <c r="B126" s="2" t="s">
        <v>569</v>
      </c>
      <c r="C126" s="3" t="n">
        <v>1914</v>
      </c>
      <c r="F126" s="0" t="s">
        <v>26</v>
      </c>
      <c r="G126" s="0" t="s">
        <v>2242</v>
      </c>
    </row>
    <row r="127" customFormat="false" ht="15" hidden="false" customHeight="false" outlineLevel="0" collapsed="false">
      <c r="A127" s="4" t="n">
        <v>46315</v>
      </c>
      <c r="B127" s="2" t="s">
        <v>574</v>
      </c>
      <c r="C127" s="3" t="n">
        <v>2100</v>
      </c>
      <c r="F127" s="0" t="s">
        <v>26</v>
      </c>
      <c r="G127" s="0" t="s">
        <v>2242</v>
      </c>
    </row>
    <row r="128" customFormat="false" ht="15" hidden="false" customHeight="false" outlineLevel="0" collapsed="false">
      <c r="A128" s="4" t="n">
        <v>46315</v>
      </c>
      <c r="B128" s="2" t="s">
        <v>580</v>
      </c>
      <c r="C128" s="3" t="n">
        <v>2950</v>
      </c>
      <c r="F128" s="0" t="s">
        <v>26</v>
      </c>
      <c r="G128" s="0" t="s">
        <v>2242</v>
      </c>
    </row>
    <row r="129" customFormat="false" ht="15" hidden="false" customHeight="false" outlineLevel="0" collapsed="false">
      <c r="A129" s="4" t="n">
        <v>46305</v>
      </c>
      <c r="B129" s="2" t="s">
        <v>582</v>
      </c>
      <c r="C129" s="3" t="n">
        <v>520.26</v>
      </c>
      <c r="D129" s="0" t="s">
        <v>2245</v>
      </c>
      <c r="E129" s="0" t="s">
        <v>2246</v>
      </c>
      <c r="F129" s="0" t="s">
        <v>96</v>
      </c>
      <c r="G129" s="0" t="s">
        <v>2243</v>
      </c>
    </row>
    <row r="130" customFormat="false" ht="15" hidden="false" customHeight="false" outlineLevel="0" collapsed="false">
      <c r="A130" s="4" t="n">
        <v>46316</v>
      </c>
      <c r="B130" s="2" t="s">
        <v>589</v>
      </c>
      <c r="C130" s="3" t="n">
        <v>51</v>
      </c>
      <c r="D130" s="0" t="s">
        <v>278</v>
      </c>
      <c r="E130" s="0" t="s">
        <v>595</v>
      </c>
      <c r="F130" s="0" t="s">
        <v>26</v>
      </c>
      <c r="G130" s="0" t="s">
        <v>2243</v>
      </c>
    </row>
    <row r="131" customFormat="false" ht="15" hidden="false" customHeight="false" outlineLevel="0" collapsed="false">
      <c r="A131" s="4" t="n">
        <v>46316</v>
      </c>
      <c r="B131" s="2" t="s">
        <v>598</v>
      </c>
      <c r="C131" s="3" t="n">
        <v>107</v>
      </c>
      <c r="D131" s="0" t="s">
        <v>603</v>
      </c>
      <c r="E131" s="0" t="s">
        <v>604</v>
      </c>
      <c r="F131" s="0" t="s">
        <v>96</v>
      </c>
      <c r="G131" s="0" t="s">
        <v>2243</v>
      </c>
    </row>
    <row r="132" customFormat="false" ht="15" hidden="false" customHeight="false" outlineLevel="0" collapsed="false">
      <c r="A132" s="4" t="n">
        <v>46316</v>
      </c>
      <c r="B132" s="2" t="s">
        <v>605</v>
      </c>
      <c r="C132" s="3" t="n">
        <v>78</v>
      </c>
      <c r="D132" s="0" t="s">
        <v>278</v>
      </c>
      <c r="E132" s="0" t="s">
        <v>595</v>
      </c>
      <c r="F132" s="0" t="s">
        <v>26</v>
      </c>
      <c r="G132" s="0" t="s">
        <v>2243</v>
      </c>
    </row>
    <row r="133" customFormat="false" ht="15" hidden="false" customHeight="false" outlineLevel="0" collapsed="false">
      <c r="A133" s="4" t="n">
        <v>46316</v>
      </c>
      <c r="B133" s="2" t="s">
        <v>610</v>
      </c>
      <c r="C133" s="3" t="n">
        <v>37</v>
      </c>
      <c r="D133" s="0" t="s">
        <v>615</v>
      </c>
      <c r="E133" s="0" t="s">
        <v>616</v>
      </c>
      <c r="F133" s="0" t="s">
        <v>96</v>
      </c>
      <c r="G133" s="0" t="s">
        <v>2243</v>
      </c>
    </row>
    <row r="134" customFormat="false" ht="15" hidden="false" customHeight="false" outlineLevel="0" collapsed="false">
      <c r="A134" s="4" t="n">
        <v>46316</v>
      </c>
      <c r="B134" s="2" t="s">
        <v>617</v>
      </c>
      <c r="C134" s="3" t="n">
        <v>137</v>
      </c>
      <c r="D134" s="0" t="s">
        <v>623</v>
      </c>
      <c r="E134" s="0" t="s">
        <v>624</v>
      </c>
      <c r="F134" s="0" t="s">
        <v>96</v>
      </c>
      <c r="G134" s="0" t="s">
        <v>2243</v>
      </c>
    </row>
    <row r="135" customFormat="false" ht="15" hidden="false" customHeight="false" outlineLevel="0" collapsed="false">
      <c r="A135" s="4" t="n">
        <v>46316</v>
      </c>
      <c r="B135" s="2" t="s">
        <v>625</v>
      </c>
      <c r="C135" s="3" t="n">
        <v>160</v>
      </c>
      <c r="D135" s="0" t="s">
        <v>615</v>
      </c>
      <c r="E135" s="0" t="s">
        <v>628</v>
      </c>
      <c r="F135" s="0" t="s">
        <v>26</v>
      </c>
      <c r="G135" s="0" t="s">
        <v>2243</v>
      </c>
    </row>
    <row r="136" customFormat="false" ht="15" hidden="false" customHeight="false" outlineLevel="0" collapsed="false">
      <c r="A136" s="4" t="n">
        <v>46316</v>
      </c>
      <c r="B136" s="2" t="s">
        <v>629</v>
      </c>
      <c r="C136" s="3" t="n">
        <v>225.27</v>
      </c>
      <c r="D136" s="0" t="s">
        <v>632</v>
      </c>
      <c r="E136" s="0" t="s">
        <v>633</v>
      </c>
      <c r="F136" s="0" t="s">
        <v>26</v>
      </c>
      <c r="G136" s="0" t="s">
        <v>2243</v>
      </c>
    </row>
    <row r="137" customFormat="false" ht="15" hidden="false" customHeight="false" outlineLevel="0" collapsed="false">
      <c r="A137" s="4" t="n">
        <v>46316</v>
      </c>
      <c r="B137" s="2" t="s">
        <v>645</v>
      </c>
      <c r="C137" s="3" t="n">
        <v>1175</v>
      </c>
      <c r="D137" s="0" t="s">
        <v>278</v>
      </c>
      <c r="E137" s="0" t="s">
        <v>651</v>
      </c>
      <c r="F137" s="0" t="s">
        <v>26</v>
      </c>
      <c r="G137" s="0" t="s">
        <v>2243</v>
      </c>
    </row>
    <row r="138" customFormat="false" ht="15" hidden="false" customHeight="false" outlineLevel="0" collapsed="false">
      <c r="A138" s="4" t="n">
        <v>46316</v>
      </c>
      <c r="B138" s="2" t="s">
        <v>652</v>
      </c>
      <c r="C138" s="3" t="n">
        <v>1515</v>
      </c>
      <c r="D138" s="0" t="s">
        <v>278</v>
      </c>
      <c r="E138" s="0" t="s">
        <v>656</v>
      </c>
      <c r="F138" s="0" t="s">
        <v>26</v>
      </c>
      <c r="G138" s="0" t="s">
        <v>2243</v>
      </c>
    </row>
    <row r="139" customFormat="false" ht="15" hidden="false" customHeight="false" outlineLevel="0" collapsed="false">
      <c r="A139" s="4" t="n">
        <v>46316</v>
      </c>
      <c r="B139" s="2" t="s">
        <v>658</v>
      </c>
      <c r="C139" s="3" t="n">
        <v>1779</v>
      </c>
      <c r="D139" s="0" t="s">
        <v>278</v>
      </c>
      <c r="E139" s="0" t="s">
        <v>663</v>
      </c>
      <c r="F139" s="0" t="s">
        <v>26</v>
      </c>
      <c r="G139" s="0" t="s">
        <v>2243</v>
      </c>
    </row>
    <row r="140" customFormat="false" ht="15" hidden="false" customHeight="false" outlineLevel="0" collapsed="false">
      <c r="A140" s="4" t="n">
        <v>46316</v>
      </c>
      <c r="B140" s="2" t="s">
        <v>665</v>
      </c>
      <c r="C140" s="3" t="n">
        <v>959</v>
      </c>
      <c r="D140" s="0" t="s">
        <v>278</v>
      </c>
      <c r="F140" s="0" t="s">
        <v>26</v>
      </c>
      <c r="G140" s="0" t="s">
        <v>2242</v>
      </c>
    </row>
    <row r="141" customFormat="false" ht="15" hidden="false" customHeight="false" outlineLevel="0" collapsed="false">
      <c r="A141" s="4" t="n">
        <v>46316</v>
      </c>
      <c r="B141" s="2" t="s">
        <v>671</v>
      </c>
      <c r="C141" s="3" t="n">
        <v>1699</v>
      </c>
      <c r="D141" s="0" t="s">
        <v>278</v>
      </c>
      <c r="F141" s="0" t="s">
        <v>26</v>
      </c>
      <c r="G141" s="0" t="s">
        <v>2242</v>
      </c>
    </row>
    <row r="142" customFormat="false" ht="15" hidden="false" customHeight="false" outlineLevel="0" collapsed="false">
      <c r="A142" s="4" t="n">
        <v>46316</v>
      </c>
      <c r="B142" s="2" t="s">
        <v>676</v>
      </c>
      <c r="C142" s="3" t="n">
        <v>197</v>
      </c>
      <c r="D142" s="0" t="s">
        <v>278</v>
      </c>
      <c r="E142" s="0" t="s">
        <v>2247</v>
      </c>
      <c r="F142" s="0" t="s">
        <v>26</v>
      </c>
      <c r="G142" s="0" t="s">
        <v>2243</v>
      </c>
    </row>
    <row r="143" customFormat="false" ht="15" hidden="false" customHeight="false" outlineLevel="0" collapsed="false">
      <c r="A143" s="4" t="n">
        <v>46316</v>
      </c>
      <c r="B143" s="2" t="s">
        <v>683</v>
      </c>
      <c r="C143" s="3" t="n">
        <v>295</v>
      </c>
      <c r="D143" s="0" t="s">
        <v>687</v>
      </c>
      <c r="E143" s="0" t="s">
        <v>688</v>
      </c>
      <c r="F143" s="0" t="s">
        <v>96</v>
      </c>
      <c r="G143" s="0" t="s">
        <v>2243</v>
      </c>
    </row>
    <row r="144" customFormat="false" ht="15" hidden="false" customHeight="false" outlineLevel="0" collapsed="false">
      <c r="A144" s="4" t="n">
        <v>46316</v>
      </c>
      <c r="B144" s="2" t="s">
        <v>689</v>
      </c>
      <c r="C144" s="3" t="n">
        <v>1150</v>
      </c>
      <c r="D144" s="0" t="s">
        <v>687</v>
      </c>
      <c r="E144" s="0" t="s">
        <v>688</v>
      </c>
      <c r="F144" s="0" t="s">
        <v>96</v>
      </c>
      <c r="G144" s="0" t="s">
        <v>2243</v>
      </c>
    </row>
    <row r="145" customFormat="false" ht="15" hidden="false" customHeight="false" outlineLevel="0" collapsed="false">
      <c r="A145" s="4" t="n">
        <v>46316</v>
      </c>
      <c r="B145" s="2" t="s">
        <v>693</v>
      </c>
      <c r="C145" s="3" t="n">
        <v>136</v>
      </c>
      <c r="D145" s="0" t="s">
        <v>696</v>
      </c>
      <c r="E145" s="0" t="s">
        <v>697</v>
      </c>
      <c r="F145" s="0" t="s">
        <v>96</v>
      </c>
      <c r="G145" s="0" t="s">
        <v>2243</v>
      </c>
    </row>
    <row r="146" customFormat="false" ht="15" hidden="false" customHeight="false" outlineLevel="0" collapsed="false">
      <c r="A146" s="4" t="n">
        <v>46316</v>
      </c>
      <c r="B146" s="2" t="s">
        <v>698</v>
      </c>
      <c r="C146" s="3" t="n">
        <v>175</v>
      </c>
      <c r="D146" s="0" t="s">
        <v>278</v>
      </c>
      <c r="E146" s="0" t="s">
        <v>703</v>
      </c>
      <c r="F146" s="0" t="s">
        <v>26</v>
      </c>
      <c r="G146" s="0" t="s">
        <v>2243</v>
      </c>
    </row>
    <row r="147" customFormat="false" ht="15" hidden="false" customHeight="false" outlineLevel="0" collapsed="false">
      <c r="A147" s="4" t="n">
        <v>46316</v>
      </c>
      <c r="B147" s="2" t="s">
        <v>704</v>
      </c>
      <c r="C147" s="3" t="n">
        <v>197</v>
      </c>
      <c r="D147" s="0" t="s">
        <v>278</v>
      </c>
      <c r="F147" s="0" t="s">
        <v>26</v>
      </c>
      <c r="G147" s="0" t="s">
        <v>2242</v>
      </c>
    </row>
    <row r="148" customFormat="false" ht="15" hidden="false" customHeight="false" outlineLevel="0" collapsed="false">
      <c r="A148" s="4" t="n">
        <v>46316</v>
      </c>
      <c r="B148" s="2" t="s">
        <v>710</v>
      </c>
      <c r="C148" s="3" t="n">
        <v>305</v>
      </c>
      <c r="D148" s="0" t="s">
        <v>278</v>
      </c>
      <c r="E148" s="0" t="s">
        <v>714</v>
      </c>
      <c r="F148" s="0" t="s">
        <v>26</v>
      </c>
      <c r="G148" s="0" t="s">
        <v>2243</v>
      </c>
    </row>
    <row r="149" customFormat="false" ht="15" hidden="false" customHeight="false" outlineLevel="0" collapsed="false">
      <c r="A149" s="4" t="n">
        <v>46316</v>
      </c>
      <c r="B149" s="2" t="s">
        <v>715</v>
      </c>
      <c r="C149" s="3" t="n">
        <v>0</v>
      </c>
      <c r="F149" s="0" t="s">
        <v>26</v>
      </c>
      <c r="G149" s="0" t="s">
        <v>2242</v>
      </c>
    </row>
    <row r="150" customFormat="false" ht="15" hidden="false" customHeight="false" outlineLevel="0" collapsed="false">
      <c r="A150" s="4" t="n">
        <v>46315</v>
      </c>
      <c r="B150" s="2" t="s">
        <v>721</v>
      </c>
      <c r="C150" s="3" t="n">
        <v>685</v>
      </c>
      <c r="D150" s="0" t="s">
        <v>278</v>
      </c>
      <c r="E150" s="0" t="s">
        <v>726</v>
      </c>
      <c r="F150" s="0" t="s">
        <v>26</v>
      </c>
      <c r="G150" s="0" t="s">
        <v>2243</v>
      </c>
    </row>
    <row r="151" customFormat="false" ht="15" hidden="false" customHeight="false" outlineLevel="0" collapsed="false">
      <c r="A151" s="4" t="n">
        <v>46315</v>
      </c>
      <c r="B151" s="2" t="s">
        <v>728</v>
      </c>
      <c r="C151" s="3" t="n">
        <v>1549</v>
      </c>
      <c r="D151" s="0" t="s">
        <v>733</v>
      </c>
      <c r="E151" s="0" t="s">
        <v>734</v>
      </c>
      <c r="F151" s="0" t="s">
        <v>26</v>
      </c>
      <c r="G151" s="0" t="s">
        <v>2243</v>
      </c>
    </row>
    <row r="152" customFormat="false" ht="15" hidden="false" customHeight="false" outlineLevel="0" collapsed="false">
      <c r="A152" s="4" t="n">
        <v>46315</v>
      </c>
      <c r="B152" s="2" t="s">
        <v>736</v>
      </c>
      <c r="C152" s="3" t="n">
        <v>225</v>
      </c>
      <c r="D152" s="0" t="s">
        <v>278</v>
      </c>
      <c r="E152" s="0" t="s">
        <v>740</v>
      </c>
      <c r="F152" s="0" t="s">
        <v>26</v>
      </c>
      <c r="G152" s="0" t="s">
        <v>2243</v>
      </c>
    </row>
    <row r="153" customFormat="false" ht="15" hidden="false" customHeight="false" outlineLevel="0" collapsed="false">
      <c r="A153" s="4" t="n">
        <v>46315</v>
      </c>
      <c r="B153" s="2" t="s">
        <v>742</v>
      </c>
      <c r="C153" s="3" t="n">
        <v>72</v>
      </c>
      <c r="F153" s="0" t="s">
        <v>26</v>
      </c>
      <c r="G153" s="0" t="s">
        <v>2242</v>
      </c>
    </row>
    <row r="154" customFormat="false" ht="15" hidden="false" customHeight="false" outlineLevel="0" collapsed="false">
      <c r="A154" s="4" t="n">
        <v>46319</v>
      </c>
      <c r="B154" s="2" t="s">
        <v>747</v>
      </c>
      <c r="C154" s="3" t="n">
        <v>1969</v>
      </c>
      <c r="D154" s="0" t="s">
        <v>278</v>
      </c>
      <c r="E154" s="0" t="s">
        <v>751</v>
      </c>
      <c r="F154" s="0" t="s">
        <v>26</v>
      </c>
      <c r="G154" s="0" t="s">
        <v>2243</v>
      </c>
    </row>
    <row r="155" customFormat="false" ht="15" hidden="false" customHeight="false" outlineLevel="0" collapsed="false">
      <c r="A155" s="4" t="n">
        <v>46319</v>
      </c>
      <c r="B155" s="2" t="s">
        <v>754</v>
      </c>
      <c r="C155" s="3" t="n">
        <v>455</v>
      </c>
      <c r="D155" s="0" t="s">
        <v>278</v>
      </c>
      <c r="E155" s="0" t="s">
        <v>759</v>
      </c>
      <c r="F155" s="0" t="s">
        <v>26</v>
      </c>
      <c r="G155" s="0" t="s">
        <v>2243</v>
      </c>
    </row>
    <row r="156" customFormat="false" ht="15" hidden="false" customHeight="false" outlineLevel="0" collapsed="false">
      <c r="A156" s="4" t="n">
        <v>46319</v>
      </c>
      <c r="B156" s="2" t="s">
        <v>760</v>
      </c>
      <c r="C156" s="3" t="n">
        <v>1699</v>
      </c>
      <c r="D156" s="0" t="s">
        <v>764</v>
      </c>
      <c r="E156" s="0" t="s">
        <v>765</v>
      </c>
      <c r="F156" s="0" t="s">
        <v>96</v>
      </c>
      <c r="G156" s="0" t="s">
        <v>2243</v>
      </c>
    </row>
    <row r="157" customFormat="false" ht="15" hidden="false" customHeight="false" outlineLevel="0" collapsed="false">
      <c r="A157" s="4" t="n">
        <v>46319</v>
      </c>
      <c r="B157" s="2" t="s">
        <v>767</v>
      </c>
      <c r="C157" s="3" t="n">
        <v>402</v>
      </c>
      <c r="D157" s="0" t="s">
        <v>764</v>
      </c>
      <c r="E157" s="0" t="s">
        <v>765</v>
      </c>
      <c r="F157" s="0" t="s">
        <v>96</v>
      </c>
      <c r="G157" s="0" t="s">
        <v>2243</v>
      </c>
    </row>
    <row r="158" customFormat="false" ht="15" hidden="false" customHeight="false" outlineLevel="0" collapsed="false">
      <c r="A158" s="4" t="n">
        <v>46319</v>
      </c>
      <c r="B158" s="2" t="s">
        <v>770</v>
      </c>
      <c r="C158" s="3" t="n">
        <v>2595</v>
      </c>
      <c r="D158" s="0" t="s">
        <v>278</v>
      </c>
      <c r="E158" s="0" t="s">
        <v>774</v>
      </c>
      <c r="F158" s="0" t="s">
        <v>26</v>
      </c>
      <c r="G158" s="0" t="s">
        <v>2243</v>
      </c>
    </row>
    <row r="159" customFormat="false" ht="15" hidden="false" customHeight="false" outlineLevel="0" collapsed="false">
      <c r="A159" s="4" t="n">
        <v>46319</v>
      </c>
      <c r="B159" s="2" t="s">
        <v>775</v>
      </c>
      <c r="C159" s="3" t="n">
        <v>609</v>
      </c>
      <c r="D159" s="0" t="s">
        <v>278</v>
      </c>
      <c r="E159" s="0" t="s">
        <v>778</v>
      </c>
      <c r="F159" s="0" t="s">
        <v>26</v>
      </c>
      <c r="G159" s="0" t="s">
        <v>2243</v>
      </c>
    </row>
    <row r="160" customFormat="false" ht="15" hidden="false" customHeight="false" outlineLevel="0" collapsed="false">
      <c r="A160" s="4" t="n">
        <v>46319</v>
      </c>
      <c r="B160" s="2" t="s">
        <v>779</v>
      </c>
      <c r="C160" s="3" t="n">
        <v>893</v>
      </c>
      <c r="D160" s="0" t="s">
        <v>2248</v>
      </c>
      <c r="E160" s="0" t="s">
        <v>2249</v>
      </c>
      <c r="F160" s="0" t="s">
        <v>26</v>
      </c>
      <c r="G160" s="0" t="s">
        <v>2243</v>
      </c>
    </row>
    <row r="161" customFormat="false" ht="15" hidden="false" customHeight="false" outlineLevel="0" collapsed="false">
      <c r="A161" s="4" t="n">
        <v>46319</v>
      </c>
      <c r="B161" s="2" t="s">
        <v>786</v>
      </c>
      <c r="C161" s="3" t="n">
        <v>562</v>
      </c>
      <c r="D161" s="0" t="s">
        <v>783</v>
      </c>
      <c r="E161" s="0" t="s">
        <v>790</v>
      </c>
      <c r="F161" s="0" t="s">
        <v>96</v>
      </c>
      <c r="G161" s="0" t="s">
        <v>2243</v>
      </c>
    </row>
    <row r="162" customFormat="false" ht="15" hidden="false" customHeight="false" outlineLevel="0" collapsed="false">
      <c r="A162" s="4" t="n">
        <v>46319</v>
      </c>
      <c r="B162" s="2" t="s">
        <v>791</v>
      </c>
      <c r="C162" s="3" t="n">
        <v>704.5</v>
      </c>
      <c r="D162" s="0" t="s">
        <v>764</v>
      </c>
      <c r="E162" s="0" t="s">
        <v>765</v>
      </c>
      <c r="F162" s="0" t="s">
        <v>96</v>
      </c>
      <c r="G162" s="0" t="s">
        <v>2243</v>
      </c>
    </row>
    <row r="163" customFormat="false" ht="15" hidden="false" customHeight="false" outlineLevel="0" collapsed="false">
      <c r="A163" s="4" t="n">
        <v>46319</v>
      </c>
      <c r="B163" s="2" t="s">
        <v>794</v>
      </c>
      <c r="C163" s="3" t="n">
        <v>36</v>
      </c>
      <c r="D163" s="0" t="s">
        <v>278</v>
      </c>
      <c r="E163" s="0" t="s">
        <v>798</v>
      </c>
      <c r="F163" s="0" t="s">
        <v>26</v>
      </c>
      <c r="G163" s="0" t="s">
        <v>2243</v>
      </c>
    </row>
    <row r="164" customFormat="false" ht="15" hidden="false" customHeight="false" outlineLevel="0" collapsed="false">
      <c r="A164" s="4" t="n">
        <v>46319</v>
      </c>
      <c r="B164" s="2" t="s">
        <v>799</v>
      </c>
      <c r="C164" s="3" t="n">
        <v>95</v>
      </c>
      <c r="D164" s="0" t="s">
        <v>278</v>
      </c>
      <c r="E164" s="0" t="s">
        <v>802</v>
      </c>
      <c r="F164" s="0" t="s">
        <v>26</v>
      </c>
      <c r="G164" s="0" t="s">
        <v>2243</v>
      </c>
    </row>
    <row r="165" customFormat="false" ht="15" hidden="false" customHeight="false" outlineLevel="0" collapsed="false">
      <c r="A165" s="4" t="n">
        <v>46319</v>
      </c>
      <c r="B165" s="2" t="s">
        <v>803</v>
      </c>
      <c r="C165" s="3" t="n">
        <v>40</v>
      </c>
      <c r="D165" s="0" t="s">
        <v>2250</v>
      </c>
      <c r="E165" s="0" t="s">
        <v>2251</v>
      </c>
      <c r="F165" s="0" t="s">
        <v>96</v>
      </c>
      <c r="G165" s="0" t="s">
        <v>2243</v>
      </c>
    </row>
    <row r="166" customFormat="false" ht="15" hidden="false" customHeight="false" outlineLevel="0" collapsed="false">
      <c r="A166" s="4" t="n">
        <v>46319</v>
      </c>
      <c r="B166" s="2" t="s">
        <v>810</v>
      </c>
      <c r="C166" s="3" t="n">
        <v>129</v>
      </c>
      <c r="D166" s="0" t="s">
        <v>278</v>
      </c>
      <c r="E166" s="0" t="s">
        <v>815</v>
      </c>
      <c r="F166" s="0" t="s">
        <v>26</v>
      </c>
      <c r="G166" s="0" t="s">
        <v>2243</v>
      </c>
    </row>
    <row r="167" customFormat="false" ht="15" hidden="false" customHeight="false" outlineLevel="0" collapsed="false">
      <c r="A167" s="4" t="n">
        <v>46319</v>
      </c>
      <c r="B167" s="2" t="s">
        <v>816</v>
      </c>
      <c r="C167" s="3" t="n">
        <v>302.66</v>
      </c>
      <c r="D167" s="0" t="s">
        <v>820</v>
      </c>
      <c r="E167" s="0" t="s">
        <v>821</v>
      </c>
      <c r="F167" s="0" t="s">
        <v>96</v>
      </c>
      <c r="G167" s="0" t="s">
        <v>2243</v>
      </c>
    </row>
    <row r="168" customFormat="false" ht="15" hidden="false" customHeight="false" outlineLevel="0" collapsed="false">
      <c r="A168" s="4" t="n">
        <v>46319</v>
      </c>
      <c r="B168" s="2" t="s">
        <v>822</v>
      </c>
      <c r="C168" s="3" t="n">
        <v>499</v>
      </c>
      <c r="D168" s="0" t="s">
        <v>278</v>
      </c>
      <c r="E168" s="0" t="s">
        <v>826</v>
      </c>
      <c r="F168" s="0" t="s">
        <v>26</v>
      </c>
      <c r="G168" s="0" t="s">
        <v>2243</v>
      </c>
    </row>
    <row r="169" customFormat="false" ht="15" hidden="false" customHeight="false" outlineLevel="0" collapsed="false">
      <c r="A169" s="4" t="n">
        <v>46319</v>
      </c>
      <c r="B169" s="2" t="s">
        <v>833</v>
      </c>
      <c r="C169" s="3" t="n">
        <v>46</v>
      </c>
      <c r="D169" s="0" t="s">
        <v>278</v>
      </c>
      <c r="E169" s="0" t="s">
        <v>837</v>
      </c>
      <c r="F169" s="0" t="s">
        <v>26</v>
      </c>
      <c r="G169" s="0" t="s">
        <v>2243</v>
      </c>
    </row>
    <row r="170" customFormat="false" ht="15" hidden="false" customHeight="false" outlineLevel="0" collapsed="false">
      <c r="A170" s="4" t="n">
        <v>46319</v>
      </c>
      <c r="B170" s="2" t="s">
        <v>838</v>
      </c>
      <c r="C170" s="3" t="n">
        <v>37</v>
      </c>
      <c r="D170" s="0" t="s">
        <v>807</v>
      </c>
      <c r="E170" s="0" t="s">
        <v>842</v>
      </c>
      <c r="F170" s="0" t="s">
        <v>96</v>
      </c>
      <c r="G170" s="0" t="s">
        <v>2243</v>
      </c>
    </row>
    <row r="171" customFormat="false" ht="15" hidden="false" customHeight="false" outlineLevel="0" collapsed="false">
      <c r="A171" s="4" t="n">
        <v>46319</v>
      </c>
      <c r="B171" s="2" t="s">
        <v>843</v>
      </c>
      <c r="C171" s="3" t="n">
        <v>33</v>
      </c>
      <c r="D171" s="0" t="s">
        <v>846</v>
      </c>
      <c r="E171" s="0" t="s">
        <v>847</v>
      </c>
      <c r="F171" s="0" t="s">
        <v>96</v>
      </c>
      <c r="G171" s="0" t="s">
        <v>2243</v>
      </c>
    </row>
    <row r="172" customFormat="false" ht="15" hidden="false" customHeight="false" outlineLevel="0" collapsed="false">
      <c r="A172" s="4" t="n">
        <v>46319</v>
      </c>
      <c r="B172" s="2" t="s">
        <v>848</v>
      </c>
      <c r="C172" s="3" t="n">
        <v>10.5</v>
      </c>
      <c r="D172" s="0" t="s">
        <v>846</v>
      </c>
      <c r="E172" s="0" t="s">
        <v>847</v>
      </c>
      <c r="F172" s="0" t="s">
        <v>96</v>
      </c>
      <c r="G172" s="0" t="s">
        <v>2243</v>
      </c>
    </row>
    <row r="173" customFormat="false" ht="15" hidden="false" customHeight="false" outlineLevel="0" collapsed="false">
      <c r="A173" s="4" t="n">
        <v>46319</v>
      </c>
      <c r="B173" s="2" t="s">
        <v>852</v>
      </c>
      <c r="C173" s="3" t="n">
        <v>290</v>
      </c>
      <c r="D173" s="0" t="s">
        <v>278</v>
      </c>
      <c r="E173" s="0" t="s">
        <v>856</v>
      </c>
      <c r="F173" s="0" t="s">
        <v>26</v>
      </c>
      <c r="G173" s="0" t="s">
        <v>2243</v>
      </c>
    </row>
    <row r="174" customFormat="false" ht="15" hidden="false" customHeight="false" outlineLevel="0" collapsed="false">
      <c r="A174" s="4" t="n">
        <v>46319</v>
      </c>
      <c r="B174" s="2" t="s">
        <v>857</v>
      </c>
      <c r="C174" s="3" t="n">
        <v>51</v>
      </c>
      <c r="D174" s="0" t="s">
        <v>278</v>
      </c>
      <c r="E174" s="0" t="s">
        <v>861</v>
      </c>
      <c r="F174" s="0" t="s">
        <v>26</v>
      </c>
      <c r="G174" s="0" t="s">
        <v>2243</v>
      </c>
    </row>
    <row r="175" customFormat="false" ht="15" hidden="false" customHeight="false" outlineLevel="0" collapsed="false">
      <c r="A175" s="4" t="n">
        <v>46319</v>
      </c>
      <c r="B175" s="2" t="s">
        <v>862</v>
      </c>
      <c r="C175" s="3" t="n">
        <v>79</v>
      </c>
      <c r="D175" s="0" t="s">
        <v>278</v>
      </c>
      <c r="E175" s="0" t="s">
        <v>2252</v>
      </c>
      <c r="F175" s="0" t="s">
        <v>26</v>
      </c>
      <c r="G175" s="0" t="s">
        <v>2243</v>
      </c>
    </row>
    <row r="176" customFormat="false" ht="15" hidden="false" customHeight="false" outlineLevel="0" collapsed="false">
      <c r="A176" s="4" t="n">
        <v>46319</v>
      </c>
      <c r="B176" s="2" t="s">
        <v>867</v>
      </c>
      <c r="C176" s="3" t="n">
        <v>299</v>
      </c>
      <c r="D176" s="0" t="s">
        <v>278</v>
      </c>
      <c r="E176" s="0" t="s">
        <v>870</v>
      </c>
      <c r="F176" s="0" t="s">
        <v>26</v>
      </c>
      <c r="G176" s="0" t="s">
        <v>2243</v>
      </c>
    </row>
    <row r="177" customFormat="false" ht="15" hidden="false" customHeight="false" outlineLevel="0" collapsed="false">
      <c r="A177" s="4" t="n">
        <v>46319</v>
      </c>
      <c r="B177" s="2" t="s">
        <v>871</v>
      </c>
      <c r="C177" s="3" t="n">
        <v>590.71</v>
      </c>
      <c r="D177" s="0" t="s">
        <v>874</v>
      </c>
      <c r="E177" s="0" t="s">
        <v>875</v>
      </c>
      <c r="F177" s="0" t="s">
        <v>26</v>
      </c>
      <c r="G177" s="0" t="s">
        <v>2243</v>
      </c>
    </row>
    <row r="178" customFormat="false" ht="15" hidden="false" customHeight="false" outlineLevel="0" collapsed="false">
      <c r="A178" s="4" t="n">
        <v>46319</v>
      </c>
      <c r="B178" s="2" t="s">
        <v>876</v>
      </c>
      <c r="C178" s="3" t="n">
        <v>2049</v>
      </c>
      <c r="D178" s="0" t="s">
        <v>278</v>
      </c>
      <c r="E178" s="0" t="s">
        <v>881</v>
      </c>
      <c r="F178" s="0" t="s">
        <v>26</v>
      </c>
      <c r="G178" s="0" t="s">
        <v>2243</v>
      </c>
    </row>
    <row r="179" customFormat="false" ht="15" hidden="false" customHeight="false" outlineLevel="0" collapsed="false">
      <c r="A179" s="4" t="n">
        <v>46319</v>
      </c>
      <c r="B179" s="2" t="s">
        <v>883</v>
      </c>
      <c r="C179" s="3" t="n">
        <v>30</v>
      </c>
      <c r="D179" s="0" t="s">
        <v>278</v>
      </c>
      <c r="E179" s="0" t="s">
        <v>887</v>
      </c>
      <c r="F179" s="0" t="s">
        <v>26</v>
      </c>
      <c r="G179" s="0" t="s">
        <v>2243</v>
      </c>
    </row>
    <row r="180" customFormat="false" ht="15" hidden="false" customHeight="false" outlineLevel="0" collapsed="false">
      <c r="A180" s="4" t="n">
        <v>46319</v>
      </c>
      <c r="B180" s="2" t="s">
        <v>892</v>
      </c>
      <c r="C180" s="3" t="n">
        <v>155</v>
      </c>
      <c r="D180" s="0" t="s">
        <v>278</v>
      </c>
      <c r="E180" s="0" t="s">
        <v>896</v>
      </c>
      <c r="F180" s="0" t="s">
        <v>26</v>
      </c>
      <c r="G180" s="0" t="s">
        <v>2243</v>
      </c>
    </row>
    <row r="181" customFormat="false" ht="15" hidden="false" customHeight="false" outlineLevel="0" collapsed="false">
      <c r="A181" s="4" t="n">
        <v>46319</v>
      </c>
      <c r="B181" s="2" t="s">
        <v>897</v>
      </c>
      <c r="C181" s="3" t="n">
        <v>341</v>
      </c>
      <c r="D181" s="0" t="s">
        <v>278</v>
      </c>
      <c r="E181" s="0" t="s">
        <v>901</v>
      </c>
      <c r="F181" s="0" t="s">
        <v>26</v>
      </c>
      <c r="G181" s="0" t="s">
        <v>2243</v>
      </c>
    </row>
    <row r="182" customFormat="false" ht="15" hidden="false" customHeight="false" outlineLevel="0" collapsed="false">
      <c r="A182" s="4" t="n">
        <v>46319</v>
      </c>
      <c r="B182" s="2" t="s">
        <v>902</v>
      </c>
      <c r="C182" s="3" t="n">
        <v>216</v>
      </c>
      <c r="D182" s="0" t="s">
        <v>278</v>
      </c>
      <c r="E182" s="0" t="s">
        <v>906</v>
      </c>
      <c r="F182" s="0" t="s">
        <v>26</v>
      </c>
      <c r="G182" s="0" t="s">
        <v>2243</v>
      </c>
    </row>
    <row r="183" customFormat="false" ht="15" hidden="false" customHeight="false" outlineLevel="0" collapsed="false">
      <c r="A183" s="4" t="n">
        <v>46319</v>
      </c>
      <c r="B183" s="2" t="s">
        <v>907</v>
      </c>
      <c r="C183" s="3" t="n">
        <v>16.4</v>
      </c>
      <c r="D183" s="0" t="s">
        <v>911</v>
      </c>
      <c r="E183" s="0" t="s">
        <v>912</v>
      </c>
      <c r="F183" s="0" t="s">
        <v>26</v>
      </c>
      <c r="G183" s="0" t="s">
        <v>2243</v>
      </c>
    </row>
    <row r="184" customFormat="false" ht="15" hidden="false" customHeight="false" outlineLevel="0" collapsed="false">
      <c r="A184" s="4" t="n">
        <v>46319</v>
      </c>
      <c r="B184" s="2" t="s">
        <v>913</v>
      </c>
      <c r="C184" s="3" t="n">
        <v>76</v>
      </c>
      <c r="D184" s="0" t="s">
        <v>278</v>
      </c>
      <c r="E184" s="0" t="s">
        <v>917</v>
      </c>
      <c r="F184" s="0" t="s">
        <v>26</v>
      </c>
      <c r="G184" s="0" t="s">
        <v>2243</v>
      </c>
    </row>
    <row r="185" customFormat="false" ht="15" hidden="false" customHeight="false" outlineLevel="0" collapsed="false">
      <c r="A185" s="4" t="n">
        <v>46319</v>
      </c>
      <c r="B185" s="2" t="s">
        <v>918</v>
      </c>
      <c r="C185" s="3" t="n">
        <v>168</v>
      </c>
      <c r="D185" s="0" t="s">
        <v>278</v>
      </c>
      <c r="E185" s="0" t="s">
        <v>921</v>
      </c>
      <c r="F185" s="0" t="s">
        <v>26</v>
      </c>
      <c r="G185" s="0" t="s">
        <v>2243</v>
      </c>
    </row>
    <row r="186" customFormat="false" ht="15" hidden="false" customHeight="false" outlineLevel="0" collapsed="false">
      <c r="A186" s="4" t="n">
        <v>46319</v>
      </c>
      <c r="B186" s="2" t="s">
        <v>922</v>
      </c>
      <c r="C186" s="3" t="n">
        <v>200</v>
      </c>
      <c r="D186" s="0" t="s">
        <v>278</v>
      </c>
      <c r="E186" s="0" t="s">
        <v>926</v>
      </c>
      <c r="F186" s="0" t="s">
        <v>26</v>
      </c>
      <c r="G186" s="0" t="s">
        <v>2243</v>
      </c>
    </row>
    <row r="187" customFormat="false" ht="15" hidden="false" customHeight="false" outlineLevel="0" collapsed="false">
      <c r="A187" s="4" t="n">
        <v>46319</v>
      </c>
      <c r="B187" s="2" t="s">
        <v>928</v>
      </c>
      <c r="C187" s="3" t="n">
        <v>199</v>
      </c>
      <c r="D187" s="0" t="s">
        <v>278</v>
      </c>
      <c r="E187" s="0" t="s">
        <v>932</v>
      </c>
      <c r="F187" s="0" t="s">
        <v>26</v>
      </c>
      <c r="G187" s="0" t="s">
        <v>2243</v>
      </c>
    </row>
    <row r="188" customFormat="false" ht="15" hidden="false" customHeight="false" outlineLevel="0" collapsed="false">
      <c r="A188" s="4" t="n">
        <v>46319</v>
      </c>
      <c r="B188" s="2" t="s">
        <v>933</v>
      </c>
      <c r="C188" s="3" t="n">
        <v>119</v>
      </c>
      <c r="D188" s="0" t="s">
        <v>911</v>
      </c>
      <c r="E188" s="0" t="s">
        <v>937</v>
      </c>
      <c r="F188" s="0" t="s">
        <v>26</v>
      </c>
      <c r="G188" s="0" t="s">
        <v>2243</v>
      </c>
    </row>
    <row r="189" customFormat="false" ht="15" hidden="false" customHeight="false" outlineLevel="0" collapsed="false">
      <c r="A189" s="4" t="n">
        <v>46320</v>
      </c>
      <c r="B189" s="2" t="s">
        <v>938</v>
      </c>
      <c r="C189" s="3" t="n">
        <v>115</v>
      </c>
      <c r="D189" s="0" t="s">
        <v>943</v>
      </c>
      <c r="E189" s="0" t="s">
        <v>944</v>
      </c>
      <c r="F189" s="0" t="s">
        <v>26</v>
      </c>
      <c r="G189" s="0" t="s">
        <v>2243</v>
      </c>
    </row>
    <row r="190" customFormat="false" ht="15" hidden="false" customHeight="false" outlineLevel="0" collapsed="false">
      <c r="A190" s="4" t="n">
        <v>46320</v>
      </c>
      <c r="B190" s="2" t="s">
        <v>947</v>
      </c>
      <c r="C190" s="3" t="n">
        <v>155</v>
      </c>
      <c r="D190" s="0" t="s">
        <v>943</v>
      </c>
      <c r="E190" s="0" t="s">
        <v>944</v>
      </c>
      <c r="F190" s="0" t="s">
        <v>26</v>
      </c>
      <c r="G190" s="0" t="s">
        <v>2243</v>
      </c>
    </row>
    <row r="191" customFormat="false" ht="15" hidden="false" customHeight="false" outlineLevel="0" collapsed="false">
      <c r="A191" s="4" t="n">
        <v>46320</v>
      </c>
      <c r="B191" s="2" t="s">
        <v>952</v>
      </c>
      <c r="C191" s="3" t="n">
        <v>170</v>
      </c>
      <c r="D191" s="0" t="s">
        <v>955</v>
      </c>
      <c r="E191" s="0" t="s">
        <v>956</v>
      </c>
      <c r="F191" s="0" t="s">
        <v>26</v>
      </c>
      <c r="G191" s="0" t="s">
        <v>2243</v>
      </c>
    </row>
    <row r="192" customFormat="false" ht="15" hidden="false" customHeight="false" outlineLevel="0" collapsed="false">
      <c r="A192" s="4" t="n">
        <v>46320</v>
      </c>
      <c r="B192" s="2" t="s">
        <v>957</v>
      </c>
      <c r="C192" s="3" t="n">
        <v>140</v>
      </c>
      <c r="D192" s="0" t="s">
        <v>943</v>
      </c>
      <c r="E192" s="0" t="s">
        <v>960</v>
      </c>
      <c r="F192" s="0" t="s">
        <v>26</v>
      </c>
      <c r="G192" s="0" t="s">
        <v>2243</v>
      </c>
    </row>
    <row r="193" customFormat="false" ht="15" hidden="false" customHeight="false" outlineLevel="0" collapsed="false">
      <c r="A193" s="4" t="n">
        <v>46320</v>
      </c>
      <c r="B193" s="2" t="s">
        <v>961</v>
      </c>
      <c r="C193" s="3" t="n">
        <v>64</v>
      </c>
      <c r="D193" s="0" t="s">
        <v>943</v>
      </c>
      <c r="E193" s="0" t="s">
        <v>960</v>
      </c>
      <c r="F193" s="0" t="s">
        <v>26</v>
      </c>
      <c r="G193" s="0" t="s">
        <v>2243</v>
      </c>
    </row>
    <row r="194" customFormat="false" ht="15" hidden="false" customHeight="false" outlineLevel="0" collapsed="false">
      <c r="A194" s="4" t="n">
        <v>46320</v>
      </c>
      <c r="B194" s="2" t="s">
        <v>966</v>
      </c>
      <c r="C194" s="3" t="n">
        <v>55</v>
      </c>
      <c r="D194" s="0" t="s">
        <v>969</v>
      </c>
      <c r="E194" s="0" t="s">
        <v>970</v>
      </c>
      <c r="F194" s="0" t="s">
        <v>26</v>
      </c>
      <c r="G194" s="0" t="s">
        <v>2243</v>
      </c>
    </row>
    <row r="195" customFormat="false" ht="15" hidden="false" customHeight="false" outlineLevel="0" collapsed="false">
      <c r="A195" s="4" t="n">
        <v>46320</v>
      </c>
      <c r="B195" s="2" t="s">
        <v>972</v>
      </c>
      <c r="C195" s="3" t="n">
        <v>63</v>
      </c>
      <c r="D195" s="0" t="s">
        <v>943</v>
      </c>
      <c r="E195" s="0" t="s">
        <v>944</v>
      </c>
      <c r="F195" s="0" t="s">
        <v>26</v>
      </c>
      <c r="G195" s="0" t="s">
        <v>2243</v>
      </c>
    </row>
    <row r="196" customFormat="false" ht="15" hidden="false" customHeight="false" outlineLevel="0" collapsed="false">
      <c r="A196" s="4" t="n">
        <v>46320</v>
      </c>
      <c r="B196" s="2" t="s">
        <v>976</v>
      </c>
      <c r="C196" s="3" t="n">
        <v>249</v>
      </c>
      <c r="D196" s="0" t="s">
        <v>278</v>
      </c>
      <c r="E196" s="0" t="s">
        <v>980</v>
      </c>
      <c r="F196" s="0" t="s">
        <v>26</v>
      </c>
      <c r="G196" s="0" t="s">
        <v>2243</v>
      </c>
    </row>
    <row r="197" customFormat="false" ht="15" hidden="false" customHeight="false" outlineLevel="0" collapsed="false">
      <c r="A197" s="4" t="n">
        <v>46320</v>
      </c>
      <c r="B197" s="2" t="s">
        <v>981</v>
      </c>
      <c r="C197" s="3" t="n">
        <v>24</v>
      </c>
      <c r="D197" s="0" t="s">
        <v>943</v>
      </c>
      <c r="E197" s="0" t="s">
        <v>944</v>
      </c>
      <c r="F197" s="0" t="s">
        <v>26</v>
      </c>
      <c r="G197" s="0" t="s">
        <v>2243</v>
      </c>
    </row>
    <row r="198" customFormat="false" ht="15" hidden="false" customHeight="false" outlineLevel="0" collapsed="false">
      <c r="A198" s="4" t="n">
        <v>46320</v>
      </c>
      <c r="B198" s="2" t="s">
        <v>986</v>
      </c>
      <c r="C198" s="3" t="n">
        <v>29</v>
      </c>
      <c r="D198" s="0" t="s">
        <v>943</v>
      </c>
      <c r="E198" s="0" t="s">
        <v>944</v>
      </c>
      <c r="F198" s="0" t="s">
        <v>26</v>
      </c>
      <c r="G198" s="0" t="s">
        <v>2243</v>
      </c>
    </row>
    <row r="199" customFormat="false" ht="15" hidden="false" customHeight="false" outlineLevel="0" collapsed="false">
      <c r="A199" s="4" t="n">
        <v>46320</v>
      </c>
      <c r="B199" s="2" t="s">
        <v>991</v>
      </c>
      <c r="C199" s="3" t="n">
        <v>126</v>
      </c>
      <c r="D199" s="0" t="s">
        <v>955</v>
      </c>
      <c r="E199" s="0" t="s">
        <v>994</v>
      </c>
      <c r="F199" s="0" t="s">
        <v>26</v>
      </c>
      <c r="G199" s="0" t="s">
        <v>2243</v>
      </c>
    </row>
    <row r="200" customFormat="false" ht="15" hidden="false" customHeight="false" outlineLevel="0" collapsed="false">
      <c r="A200" s="4" t="n">
        <v>46320</v>
      </c>
      <c r="B200" s="2" t="s">
        <v>996</v>
      </c>
      <c r="C200" s="3" t="n">
        <v>70</v>
      </c>
      <c r="D200" s="0" t="s">
        <v>955</v>
      </c>
      <c r="E200" s="0" t="s">
        <v>1000</v>
      </c>
      <c r="F200" s="0" t="s">
        <v>26</v>
      </c>
      <c r="G200" s="0" t="s">
        <v>2243</v>
      </c>
    </row>
    <row r="201" customFormat="false" ht="15" hidden="false" customHeight="false" outlineLevel="0" collapsed="false">
      <c r="A201" s="4" t="n">
        <v>46320</v>
      </c>
      <c r="B201" s="2" t="s">
        <v>1002</v>
      </c>
      <c r="C201" s="3" t="n">
        <v>239.75</v>
      </c>
      <c r="D201" s="0" t="s">
        <v>969</v>
      </c>
      <c r="E201" s="0" t="s">
        <v>1006</v>
      </c>
      <c r="F201" s="0" t="s">
        <v>26</v>
      </c>
      <c r="G201" s="0" t="s">
        <v>2243</v>
      </c>
    </row>
    <row r="202" customFormat="false" ht="15" hidden="false" customHeight="false" outlineLevel="0" collapsed="false">
      <c r="A202" s="4" t="n">
        <v>46320</v>
      </c>
      <c r="B202" s="2" t="s">
        <v>1008</v>
      </c>
      <c r="C202" s="3" t="n">
        <v>799</v>
      </c>
      <c r="D202" s="0" t="s">
        <v>1012</v>
      </c>
      <c r="E202" s="0" t="s">
        <v>1013</v>
      </c>
      <c r="F202" s="0" t="s">
        <v>26</v>
      </c>
      <c r="G202" s="0" t="s">
        <v>2243</v>
      </c>
    </row>
    <row r="203" customFormat="false" ht="15" hidden="false" customHeight="false" outlineLevel="0" collapsed="false">
      <c r="A203" s="4" t="n">
        <v>46319</v>
      </c>
      <c r="B203" s="2" t="s">
        <v>164</v>
      </c>
      <c r="C203" s="3" t="n">
        <v>189</v>
      </c>
      <c r="D203" s="0" t="s">
        <v>2253</v>
      </c>
      <c r="E203" s="0" t="s">
        <v>2254</v>
      </c>
      <c r="F203" s="0" t="s">
        <v>26</v>
      </c>
      <c r="G203" s="0" t="s">
        <v>2255</v>
      </c>
    </row>
    <row r="204" customFormat="false" ht="15" hidden="false" customHeight="false" outlineLevel="0" collapsed="false">
      <c r="A204" s="4" t="n">
        <v>46321</v>
      </c>
      <c r="B204" s="2" t="s">
        <v>822</v>
      </c>
      <c r="C204" s="3" t="n">
        <v>565</v>
      </c>
      <c r="D204" s="0" t="s">
        <v>278</v>
      </c>
      <c r="E204" s="0" t="s">
        <v>826</v>
      </c>
      <c r="F204" s="0" t="s">
        <v>26</v>
      </c>
      <c r="G204" s="0" t="s">
        <v>2256</v>
      </c>
    </row>
    <row r="205" customFormat="false" ht="15" hidden="false" customHeight="false" outlineLevel="0" collapsed="false">
      <c r="A205" s="4" t="n">
        <v>46321</v>
      </c>
      <c r="B205" s="2" t="s">
        <v>876</v>
      </c>
      <c r="C205" s="3" t="n">
        <v>2399</v>
      </c>
      <c r="D205" s="0" t="s">
        <v>278</v>
      </c>
      <c r="E205" s="0" t="s">
        <v>881</v>
      </c>
      <c r="F205" s="0" t="s">
        <v>26</v>
      </c>
      <c r="G205" s="0" t="s">
        <v>2257</v>
      </c>
    </row>
    <row r="206" customFormat="false" ht="15" hidden="false" customHeight="false" outlineLevel="0" collapsed="false">
      <c r="A206" s="4" t="n">
        <v>46321</v>
      </c>
      <c r="B206" s="2" t="s">
        <v>871</v>
      </c>
      <c r="C206" s="3" t="n">
        <v>626.15</v>
      </c>
      <c r="D206" s="0" t="s">
        <v>874</v>
      </c>
      <c r="E206" s="0" t="s">
        <v>875</v>
      </c>
      <c r="F206" s="0" t="s">
        <v>26</v>
      </c>
      <c r="G206" s="0" t="s">
        <v>2258</v>
      </c>
    </row>
    <row r="207" customFormat="false" ht="15" hidden="false" customHeight="false" outlineLevel="0" collapsed="false">
      <c r="A207" s="4" t="n">
        <v>46321</v>
      </c>
      <c r="B207" s="2" t="s">
        <v>698</v>
      </c>
      <c r="C207" s="3" t="n">
        <v>179</v>
      </c>
      <c r="D207" s="0" t="s">
        <v>278</v>
      </c>
      <c r="E207" s="0" t="s">
        <v>703</v>
      </c>
      <c r="F207" s="0" t="s">
        <v>26</v>
      </c>
      <c r="G207" s="0" t="s">
        <v>2259</v>
      </c>
    </row>
    <row r="208" customFormat="false" ht="15" hidden="false" customHeight="false" outlineLevel="0" collapsed="false">
      <c r="A208" s="4" t="n">
        <v>46321</v>
      </c>
      <c r="B208" s="2" t="s">
        <v>509</v>
      </c>
      <c r="C208" s="3" t="n">
        <v>1648</v>
      </c>
      <c r="D208" s="0" t="s">
        <v>513</v>
      </c>
      <c r="E208" s="0" t="s">
        <v>514</v>
      </c>
      <c r="F208" s="0" t="s">
        <v>26</v>
      </c>
      <c r="G208" s="0" t="s">
        <v>2260</v>
      </c>
    </row>
    <row r="209" customFormat="false" ht="15" hidden="false" customHeight="false" outlineLevel="0" collapsed="false">
      <c r="A209" s="4" t="n">
        <v>46321</v>
      </c>
      <c r="B209" s="2" t="s">
        <v>779</v>
      </c>
      <c r="C209" s="3" t="n">
        <v>990.5</v>
      </c>
      <c r="D209" s="0" t="s">
        <v>783</v>
      </c>
      <c r="E209" s="0" t="s">
        <v>784</v>
      </c>
      <c r="F209" s="0" t="s">
        <v>26</v>
      </c>
      <c r="G209" s="0" t="s">
        <v>2261</v>
      </c>
    </row>
    <row r="210" customFormat="false" ht="15" hidden="false" customHeight="false" outlineLevel="0" collapsed="false">
      <c r="A210" s="4" t="n">
        <v>46321</v>
      </c>
      <c r="B210" s="2" t="s">
        <v>803</v>
      </c>
      <c r="C210" s="3" t="n">
        <v>38</v>
      </c>
      <c r="D210" s="0" t="s">
        <v>807</v>
      </c>
      <c r="E210" s="0" t="s">
        <v>808</v>
      </c>
      <c r="F210" s="0" t="s">
        <v>96</v>
      </c>
      <c r="G210" s="0" t="s">
        <v>2262</v>
      </c>
    </row>
    <row r="211" customFormat="false" ht="15" hidden="false" customHeight="false" outlineLevel="0" collapsed="false">
      <c r="A211" s="4" t="n">
        <v>46321</v>
      </c>
      <c r="B211" s="2" t="s">
        <v>582</v>
      </c>
      <c r="C211" s="3" t="n">
        <v>796.92</v>
      </c>
      <c r="D211" s="0" t="s">
        <v>2263</v>
      </c>
      <c r="E211" s="0" t="s">
        <v>587</v>
      </c>
      <c r="F211" s="0" t="s">
        <v>96</v>
      </c>
      <c r="G211" s="0" t="s">
        <v>2264</v>
      </c>
    </row>
    <row r="212" customFormat="false" ht="15" hidden="false" customHeight="false" outlineLevel="0" collapsed="false">
      <c r="A212" s="4"/>
      <c r="B212" s="2"/>
      <c r="C212" s="3"/>
    </row>
    <row r="213" customFormat="false" ht="15" hidden="false" customHeight="false" outlineLevel="0" collapsed="false">
      <c r="A213" s="4"/>
      <c r="B213" s="2"/>
      <c r="C213" s="3"/>
    </row>
    <row r="214" customFormat="false" ht="15" hidden="false" customHeight="false" outlineLevel="0" collapsed="false">
      <c r="A214" s="4"/>
      <c r="B214" s="2"/>
      <c r="C214" s="3"/>
    </row>
    <row r="215" customFormat="false" ht="15" hidden="false" customHeight="false" outlineLevel="0" collapsed="false">
      <c r="A215" s="4"/>
      <c r="B215" s="2"/>
      <c r="C215" s="3"/>
    </row>
    <row r="216" customFormat="false" ht="15" hidden="false" customHeight="false" outlineLevel="0" collapsed="false">
      <c r="A216" s="4"/>
      <c r="B216" s="2"/>
      <c r="C216" s="3"/>
    </row>
    <row r="217" customFormat="false" ht="15" hidden="false" customHeight="false" outlineLevel="0" collapsed="false">
      <c r="A217" s="4"/>
      <c r="B217" s="2"/>
      <c r="C217" s="3"/>
    </row>
    <row r="218" customFormat="false" ht="15" hidden="false" customHeight="false" outlineLevel="0" collapsed="false">
      <c r="A218" s="4"/>
      <c r="B218" s="2"/>
      <c r="C218" s="3"/>
    </row>
    <row r="219" customFormat="false" ht="15" hidden="false" customHeight="false" outlineLevel="0" collapsed="false">
      <c r="A219" s="4"/>
      <c r="B219" s="2"/>
      <c r="C219" s="3"/>
    </row>
    <row r="220" customFormat="false" ht="15" hidden="false" customHeight="false" outlineLevel="0" collapsed="false">
      <c r="A220" s="4"/>
      <c r="B220" s="2"/>
      <c r="C220" s="3"/>
    </row>
    <row r="221" customFormat="false" ht="15" hidden="false" customHeight="false" outlineLevel="0" collapsed="false">
      <c r="A221" s="4"/>
      <c r="B221" s="2"/>
      <c r="C221" s="3"/>
    </row>
    <row r="222" customFormat="false" ht="15" hidden="false" customHeight="false" outlineLevel="0" collapsed="false">
      <c r="A222" s="4"/>
      <c r="B222" s="2"/>
      <c r="C222" s="3"/>
    </row>
    <row r="223" customFormat="false" ht="15" hidden="false" customHeight="false" outlineLevel="0" collapsed="false">
      <c r="A223" s="4"/>
      <c r="B223" s="2"/>
      <c r="C223" s="3"/>
    </row>
    <row r="224" customFormat="false" ht="15" hidden="false" customHeight="false" outlineLevel="0" collapsed="false">
      <c r="A224" s="4"/>
      <c r="B224" s="2"/>
      <c r="C224" s="3"/>
    </row>
    <row r="225" customFormat="false" ht="15" hidden="false" customHeight="false" outlineLevel="0" collapsed="false">
      <c r="A225" s="4"/>
      <c r="B225" s="2"/>
      <c r="C225" s="3"/>
    </row>
    <row r="226" customFormat="false" ht="15" hidden="false" customHeight="false" outlineLevel="0" collapsed="false">
      <c r="A226" s="4"/>
      <c r="B226" s="2"/>
      <c r="C226" s="3"/>
    </row>
    <row r="227" customFormat="false" ht="15" hidden="false" customHeight="false" outlineLevel="0" collapsed="false">
      <c r="A227" s="4"/>
      <c r="B227" s="2"/>
      <c r="C227" s="3"/>
    </row>
    <row r="228" customFormat="false" ht="15" hidden="false" customHeight="false" outlineLevel="0" collapsed="false">
      <c r="A228" s="4"/>
      <c r="B228" s="2"/>
      <c r="C228" s="3"/>
    </row>
    <row r="229" customFormat="false" ht="15" hidden="false" customHeight="false" outlineLevel="0" collapsed="false">
      <c r="A229" s="4"/>
      <c r="B229" s="2"/>
      <c r="C229" s="3"/>
    </row>
    <row r="230" customFormat="false" ht="15" hidden="false" customHeight="false" outlineLevel="0" collapsed="false">
      <c r="A230" s="4"/>
      <c r="B230" s="2"/>
      <c r="C230" s="3"/>
    </row>
    <row r="231" customFormat="false" ht="15" hidden="false" customHeight="false" outlineLevel="0" collapsed="false">
      <c r="A231" s="4"/>
      <c r="B231" s="2"/>
      <c r="C231" s="3"/>
    </row>
    <row r="232" customFormat="false" ht="15" hidden="false" customHeight="false" outlineLevel="0" collapsed="false">
      <c r="A232" s="4"/>
      <c r="B232" s="2"/>
      <c r="C232" s="3"/>
    </row>
    <row r="233" customFormat="false" ht="15" hidden="false" customHeight="false" outlineLevel="0" collapsed="false">
      <c r="A233" s="4"/>
      <c r="B233" s="2"/>
      <c r="C233" s="3"/>
    </row>
    <row r="234" customFormat="false" ht="15" hidden="false" customHeight="false" outlineLevel="0" collapsed="false">
      <c r="A234" s="4"/>
      <c r="B234" s="2"/>
      <c r="C234" s="3"/>
    </row>
    <row r="235" customFormat="false" ht="15" hidden="false" customHeight="false" outlineLevel="0" collapsed="false">
      <c r="A235" s="4"/>
      <c r="B235" s="2"/>
      <c r="C235" s="3"/>
    </row>
    <row r="236" customFormat="false" ht="15" hidden="false" customHeight="false" outlineLevel="0" collapsed="false">
      <c r="A236" s="4"/>
      <c r="B236" s="2"/>
      <c r="C236" s="3"/>
    </row>
    <row r="237" customFormat="false" ht="15" hidden="false" customHeight="false" outlineLevel="0" collapsed="false">
      <c r="A237" s="4"/>
      <c r="B237" s="2"/>
      <c r="C237" s="3"/>
    </row>
    <row r="238" customFormat="false" ht="15" hidden="false" customHeight="false" outlineLevel="0" collapsed="false">
      <c r="A238" s="4"/>
      <c r="B238" s="2"/>
      <c r="C238" s="3"/>
    </row>
    <row r="239" customFormat="false" ht="15" hidden="false" customHeight="false" outlineLevel="0" collapsed="false">
      <c r="A239" s="4"/>
      <c r="B239" s="2"/>
      <c r="C239" s="3"/>
    </row>
    <row r="240" customFormat="false" ht="15" hidden="false" customHeight="false" outlineLevel="0" collapsed="false">
      <c r="A240" s="4"/>
      <c r="B240" s="2"/>
      <c r="C240" s="3"/>
    </row>
    <row r="241" customFormat="false" ht="15" hidden="false" customHeight="false" outlineLevel="0" collapsed="false">
      <c r="A241" s="4"/>
      <c r="B241" s="2"/>
      <c r="C241" s="3"/>
    </row>
    <row r="242" customFormat="false" ht="15" hidden="false" customHeight="false" outlineLevel="0" collapsed="false">
      <c r="A242" s="4"/>
      <c r="B242" s="2"/>
      <c r="C242" s="3"/>
    </row>
    <row r="243" customFormat="false" ht="15" hidden="false" customHeight="false" outlineLevel="0" collapsed="false">
      <c r="A243" s="4"/>
      <c r="B243" s="2"/>
      <c r="C243" s="3"/>
    </row>
    <row r="244" customFormat="false" ht="15" hidden="false" customHeight="false" outlineLevel="0" collapsed="false">
      <c r="A244" s="4"/>
      <c r="B244" s="2"/>
      <c r="C244" s="3"/>
    </row>
    <row r="245" customFormat="false" ht="15" hidden="false" customHeight="false" outlineLevel="0" collapsed="false">
      <c r="A245" s="4"/>
      <c r="B245" s="2"/>
      <c r="C245" s="3"/>
    </row>
    <row r="246" customFormat="false" ht="15" hidden="false" customHeight="false" outlineLevel="0" collapsed="false">
      <c r="A246" s="4"/>
      <c r="B246" s="2"/>
      <c r="C246" s="3"/>
    </row>
    <row r="247" customFormat="false" ht="15" hidden="false" customHeight="false" outlineLevel="0" collapsed="false">
      <c r="A247" s="4"/>
      <c r="B247" s="2"/>
      <c r="C247" s="3"/>
    </row>
    <row r="248" customFormat="false" ht="15" hidden="false" customHeight="false" outlineLevel="0" collapsed="false">
      <c r="A248" s="4"/>
      <c r="B248" s="2"/>
      <c r="C248" s="3"/>
    </row>
    <row r="249" customFormat="false" ht="15" hidden="false" customHeight="false" outlineLevel="0" collapsed="false">
      <c r="A249" s="4"/>
      <c r="B249" s="2"/>
      <c r="C249" s="3"/>
    </row>
    <row r="250" customFormat="false" ht="15" hidden="false" customHeight="false" outlineLevel="0" collapsed="false">
      <c r="A250" s="4"/>
      <c r="B250" s="2"/>
      <c r="C250" s="3"/>
    </row>
    <row r="251" customFormat="false" ht="15" hidden="false" customHeight="false" outlineLevel="0" collapsed="false">
      <c r="A251" s="4"/>
      <c r="B251" s="2"/>
      <c r="C251" s="3"/>
    </row>
    <row r="252" customFormat="false" ht="15" hidden="false" customHeight="false" outlineLevel="0" collapsed="false">
      <c r="A252" s="4"/>
      <c r="B252" s="2"/>
      <c r="C252" s="3"/>
    </row>
    <row r="253" customFormat="false" ht="15" hidden="false" customHeight="false" outlineLevel="0" collapsed="false">
      <c r="A253" s="4"/>
      <c r="B253" s="2"/>
      <c r="C253" s="3"/>
    </row>
    <row r="254" customFormat="false" ht="15" hidden="false" customHeight="false" outlineLevel="0" collapsed="false">
      <c r="A254" s="4"/>
      <c r="B254" s="2"/>
      <c r="C254" s="3"/>
    </row>
    <row r="255" customFormat="false" ht="15" hidden="false" customHeight="false" outlineLevel="0" collapsed="false">
      <c r="A255" s="4"/>
      <c r="B255" s="2"/>
      <c r="C255" s="3"/>
    </row>
    <row r="256" customFormat="false" ht="15" hidden="false" customHeight="false" outlineLevel="0" collapsed="false">
      <c r="A256" s="4"/>
      <c r="B256" s="2"/>
      <c r="C256" s="3"/>
    </row>
    <row r="257" customFormat="false" ht="15" hidden="false" customHeight="false" outlineLevel="0" collapsed="false">
      <c r="A257" s="4"/>
      <c r="B257" s="2"/>
      <c r="C257" s="3"/>
    </row>
    <row r="258" customFormat="false" ht="15" hidden="false" customHeight="false" outlineLevel="0" collapsed="false">
      <c r="A258" s="4"/>
      <c r="B258" s="2"/>
      <c r="C258" s="3"/>
    </row>
    <row r="259" customFormat="false" ht="15" hidden="false" customHeight="false" outlineLevel="0" collapsed="false">
      <c r="A259" s="4"/>
      <c r="B259" s="2"/>
      <c r="C259" s="3"/>
    </row>
    <row r="260" customFormat="false" ht="15" hidden="false" customHeight="false" outlineLevel="0" collapsed="false">
      <c r="A260" s="4"/>
      <c r="B260" s="2"/>
      <c r="C260" s="3"/>
    </row>
    <row r="261" customFormat="false" ht="15" hidden="false" customHeight="false" outlineLevel="0" collapsed="false">
      <c r="A261" s="4"/>
      <c r="B261" s="2"/>
      <c r="C261" s="3"/>
    </row>
    <row r="262" customFormat="false" ht="15" hidden="false" customHeight="false" outlineLevel="0" collapsed="false">
      <c r="A262" s="4"/>
      <c r="B262" s="2"/>
      <c r="C262" s="3"/>
    </row>
    <row r="263" customFormat="false" ht="15" hidden="false" customHeight="false" outlineLevel="0" collapsed="false">
      <c r="A263" s="4"/>
      <c r="B263" s="2"/>
      <c r="C263" s="3"/>
    </row>
    <row r="264" customFormat="false" ht="15" hidden="false" customHeight="false" outlineLevel="0" collapsed="false">
      <c r="A264" s="4"/>
      <c r="B264" s="2"/>
      <c r="C264" s="3"/>
    </row>
    <row r="265" customFormat="false" ht="15" hidden="false" customHeight="false" outlineLevel="0" collapsed="false">
      <c r="A265" s="4"/>
      <c r="B265" s="2"/>
      <c r="C265" s="3"/>
    </row>
    <row r="266" customFormat="false" ht="15" hidden="false" customHeight="false" outlineLevel="0" collapsed="false">
      <c r="A266" s="4"/>
      <c r="B266" s="2"/>
      <c r="C266" s="3"/>
    </row>
    <row r="267" customFormat="false" ht="15" hidden="false" customHeight="false" outlineLevel="0" collapsed="false">
      <c r="A267" s="4"/>
      <c r="B267" s="2"/>
      <c r="C267" s="3"/>
    </row>
    <row r="268" customFormat="false" ht="15" hidden="false" customHeight="false" outlineLevel="0" collapsed="false">
      <c r="A268" s="4"/>
      <c r="B268" s="2"/>
      <c r="C268" s="3"/>
    </row>
    <row r="269" customFormat="false" ht="15" hidden="false" customHeight="false" outlineLevel="0" collapsed="false">
      <c r="A269" s="4"/>
      <c r="B269" s="2"/>
      <c r="C269" s="3"/>
    </row>
    <row r="270" customFormat="false" ht="15" hidden="false" customHeight="false" outlineLevel="0" collapsed="false">
      <c r="A270" s="4"/>
      <c r="B270" s="2"/>
      <c r="C270" s="3"/>
    </row>
    <row r="271" customFormat="false" ht="15" hidden="false" customHeight="false" outlineLevel="0" collapsed="false">
      <c r="A271" s="4"/>
      <c r="B271" s="2"/>
      <c r="C271" s="3"/>
    </row>
    <row r="272" customFormat="false" ht="15" hidden="false" customHeight="false" outlineLevel="0" collapsed="false">
      <c r="A272" s="4"/>
      <c r="B272" s="2"/>
      <c r="C272" s="3"/>
    </row>
    <row r="273" customFormat="false" ht="15" hidden="false" customHeight="false" outlineLevel="0" collapsed="false">
      <c r="A273" s="4"/>
      <c r="B273" s="2"/>
      <c r="C273" s="3"/>
    </row>
    <row r="274" customFormat="false" ht="15" hidden="false" customHeight="false" outlineLevel="0" collapsed="false">
      <c r="A274" s="4"/>
      <c r="B274" s="2"/>
      <c r="C274" s="3"/>
    </row>
    <row r="275" customFormat="false" ht="15" hidden="false" customHeight="false" outlineLevel="0" collapsed="false">
      <c r="A275" s="4"/>
      <c r="B275" s="2"/>
      <c r="C275" s="3"/>
    </row>
    <row r="276" customFormat="false" ht="15" hidden="false" customHeight="false" outlineLevel="0" collapsed="false">
      <c r="A276" s="4"/>
      <c r="B276" s="2"/>
      <c r="C276" s="3"/>
    </row>
    <row r="277" customFormat="false" ht="15" hidden="false" customHeight="false" outlineLevel="0" collapsed="false">
      <c r="A277" s="4"/>
      <c r="B277" s="2"/>
      <c r="C277" s="3"/>
    </row>
    <row r="278" customFormat="false" ht="15" hidden="false" customHeight="false" outlineLevel="0" collapsed="false">
      <c r="A278" s="4"/>
      <c r="B278" s="2"/>
      <c r="C278" s="3"/>
    </row>
    <row r="279" customFormat="false" ht="15" hidden="false" customHeight="false" outlineLevel="0" collapsed="false">
      <c r="A279" s="4"/>
      <c r="B279" s="2"/>
      <c r="C279" s="3"/>
    </row>
    <row r="280" customFormat="false" ht="15" hidden="false" customHeight="false" outlineLevel="0" collapsed="false">
      <c r="A280" s="4"/>
      <c r="B280" s="2"/>
      <c r="C280" s="3"/>
    </row>
    <row r="281" customFormat="false" ht="15" hidden="false" customHeight="false" outlineLevel="0" collapsed="false">
      <c r="A281" s="4"/>
      <c r="B281" s="2"/>
      <c r="C281" s="3"/>
    </row>
    <row r="282" customFormat="false" ht="15" hidden="false" customHeight="false" outlineLevel="0" collapsed="false">
      <c r="A282" s="4"/>
      <c r="B282" s="2"/>
      <c r="C282" s="3"/>
    </row>
    <row r="283" customFormat="false" ht="15" hidden="false" customHeight="false" outlineLevel="0" collapsed="false">
      <c r="A283" s="4"/>
      <c r="B283" s="2"/>
      <c r="C283" s="3"/>
    </row>
    <row r="284" customFormat="false" ht="15" hidden="false" customHeight="false" outlineLevel="0" collapsed="false">
      <c r="A284" s="4"/>
      <c r="B284" s="2"/>
      <c r="C284" s="3"/>
    </row>
    <row r="285" customFormat="false" ht="15" hidden="false" customHeight="false" outlineLevel="0" collapsed="false">
      <c r="A285" s="4"/>
      <c r="B285" s="2"/>
      <c r="C285" s="3"/>
    </row>
    <row r="286" customFormat="false" ht="15" hidden="false" customHeight="false" outlineLevel="0" collapsed="false">
      <c r="A286" s="4"/>
      <c r="B286" s="2"/>
      <c r="C286" s="3"/>
    </row>
    <row r="287" customFormat="false" ht="15" hidden="false" customHeight="false" outlineLevel="0" collapsed="false">
      <c r="A287" s="4"/>
      <c r="B287" s="2"/>
      <c r="C287" s="3"/>
    </row>
    <row r="288" customFormat="false" ht="15" hidden="false" customHeight="false" outlineLevel="0" collapsed="false">
      <c r="A288" s="4"/>
      <c r="B288" s="2"/>
      <c r="C288" s="3"/>
    </row>
    <row r="289" customFormat="false" ht="15" hidden="false" customHeight="false" outlineLevel="0" collapsed="false">
      <c r="A289" s="4"/>
      <c r="B289" s="2"/>
      <c r="C289" s="3"/>
    </row>
    <row r="290" customFormat="false" ht="15" hidden="false" customHeight="false" outlineLevel="0" collapsed="false">
      <c r="A290" s="4"/>
      <c r="B290" s="2"/>
      <c r="C290" s="3"/>
    </row>
    <row r="291" customFormat="false" ht="15" hidden="false" customHeight="false" outlineLevel="0" collapsed="false">
      <c r="A291" s="4"/>
      <c r="B291" s="2"/>
      <c r="C291" s="3"/>
    </row>
    <row r="292" customFormat="false" ht="15" hidden="false" customHeight="false" outlineLevel="0" collapsed="false">
      <c r="A292" s="4"/>
      <c r="B292" s="2"/>
      <c r="C292" s="3"/>
    </row>
    <row r="293" customFormat="false" ht="15" hidden="false" customHeight="false" outlineLevel="0" collapsed="false">
      <c r="A293" s="4"/>
      <c r="B293" s="2"/>
      <c r="C293" s="3"/>
    </row>
    <row r="294" customFormat="false" ht="15" hidden="false" customHeight="false" outlineLevel="0" collapsed="false">
      <c r="A294" s="4"/>
      <c r="B294" s="2"/>
      <c r="C294" s="3"/>
    </row>
    <row r="295" customFormat="false" ht="15" hidden="false" customHeight="false" outlineLevel="0" collapsed="false">
      <c r="A295" s="4"/>
      <c r="B295" s="2"/>
      <c r="C295" s="3"/>
    </row>
    <row r="296" customFormat="false" ht="15" hidden="false" customHeight="false" outlineLevel="0" collapsed="false">
      <c r="A296" s="4"/>
      <c r="B296" s="2"/>
      <c r="C296" s="3"/>
    </row>
    <row r="297" customFormat="false" ht="15" hidden="false" customHeight="false" outlineLevel="0" collapsed="false">
      <c r="A297" s="4"/>
      <c r="B297" s="2"/>
      <c r="C297" s="3"/>
    </row>
    <row r="298" customFormat="false" ht="15" hidden="false" customHeight="false" outlineLevel="0" collapsed="false">
      <c r="A298" s="4"/>
      <c r="B298" s="2"/>
      <c r="C298" s="3"/>
    </row>
    <row r="299" customFormat="false" ht="15" hidden="false" customHeight="false" outlineLevel="0" collapsed="false">
      <c r="A299" s="4"/>
      <c r="B299" s="2"/>
      <c r="C299" s="3"/>
    </row>
    <row r="300" customFormat="false" ht="15" hidden="false" customHeight="false" outlineLevel="0" collapsed="false">
      <c r="A300" s="4"/>
      <c r="B300" s="2"/>
      <c r="C300" s="3"/>
    </row>
    <row r="301" customFormat="false" ht="15" hidden="false" customHeight="false" outlineLevel="0" collapsed="false">
      <c r="A301" s="4"/>
      <c r="B301" s="2"/>
      <c r="C301" s="3"/>
    </row>
    <row r="302" customFormat="false" ht="15" hidden="false" customHeight="false" outlineLevel="0" collapsed="false">
      <c r="A302" s="4"/>
      <c r="B302" s="2"/>
      <c r="C302" s="3"/>
    </row>
    <row r="303" customFormat="false" ht="15" hidden="false" customHeight="false" outlineLevel="0" collapsed="false">
      <c r="A303" s="4"/>
      <c r="B303" s="2"/>
      <c r="C303" s="3"/>
    </row>
    <row r="304" customFormat="false" ht="15" hidden="false" customHeight="false" outlineLevel="0" collapsed="false">
      <c r="A304" s="4"/>
      <c r="B304" s="2"/>
      <c r="C304" s="3"/>
    </row>
    <row r="305" customFormat="false" ht="15" hidden="false" customHeight="false" outlineLevel="0" collapsed="false">
      <c r="A305" s="4"/>
      <c r="B305" s="2"/>
      <c r="C305" s="3"/>
    </row>
    <row r="306" customFormat="false" ht="15" hidden="false" customHeight="false" outlineLevel="0" collapsed="false">
      <c r="A306" s="4"/>
      <c r="B306" s="2"/>
      <c r="C306" s="3"/>
    </row>
    <row r="307" customFormat="false" ht="15" hidden="false" customHeight="false" outlineLevel="0" collapsed="false">
      <c r="A307" s="4"/>
      <c r="B307" s="2"/>
      <c r="C307" s="3"/>
    </row>
    <row r="308" customFormat="false" ht="15" hidden="false" customHeight="false" outlineLevel="0" collapsed="false">
      <c r="A308" s="4"/>
      <c r="B308" s="2"/>
      <c r="C308" s="3"/>
    </row>
    <row r="309" customFormat="false" ht="15" hidden="false" customHeight="false" outlineLevel="0" collapsed="false">
      <c r="A309" s="4"/>
      <c r="B309" s="2"/>
      <c r="C309" s="3"/>
    </row>
    <row r="310" customFormat="false" ht="15" hidden="false" customHeight="false" outlineLevel="0" collapsed="false">
      <c r="A310" s="4"/>
      <c r="B310" s="2"/>
      <c r="C310" s="3"/>
    </row>
    <row r="311" customFormat="false" ht="15" hidden="false" customHeight="false" outlineLevel="0" collapsed="false">
      <c r="A311" s="4"/>
      <c r="B311" s="2"/>
      <c r="C311" s="3"/>
    </row>
    <row r="312" customFormat="false" ht="15" hidden="false" customHeight="false" outlineLevel="0" collapsed="false">
      <c r="A312" s="4"/>
      <c r="B312" s="2"/>
      <c r="C312" s="3"/>
    </row>
    <row r="313" customFormat="false" ht="15" hidden="false" customHeight="false" outlineLevel="0" collapsed="false">
      <c r="A313" s="4"/>
      <c r="B313" s="2"/>
      <c r="C313" s="3"/>
    </row>
    <row r="314" customFormat="false" ht="15" hidden="false" customHeight="false" outlineLevel="0" collapsed="false">
      <c r="A314" s="4"/>
      <c r="B314" s="2"/>
      <c r="C314" s="3"/>
    </row>
    <row r="315" customFormat="false" ht="15" hidden="false" customHeight="false" outlineLevel="0" collapsed="false">
      <c r="A315" s="4"/>
      <c r="B315" s="2"/>
      <c r="C315" s="3"/>
    </row>
    <row r="316" customFormat="false" ht="15" hidden="false" customHeight="false" outlineLevel="0" collapsed="false">
      <c r="A316" s="4"/>
      <c r="B316" s="2"/>
      <c r="C316" s="3"/>
    </row>
    <row r="317" customFormat="false" ht="15" hidden="false" customHeight="false" outlineLevel="0" collapsed="false">
      <c r="A317" s="4"/>
      <c r="B317" s="2"/>
      <c r="C317" s="3"/>
    </row>
    <row r="318" customFormat="false" ht="15" hidden="false" customHeight="false" outlineLevel="0" collapsed="false">
      <c r="A318" s="4"/>
      <c r="B318" s="2"/>
      <c r="C318" s="3"/>
    </row>
    <row r="319" customFormat="false" ht="15" hidden="false" customHeight="false" outlineLevel="0" collapsed="false">
      <c r="A319" s="4"/>
      <c r="B319" s="2"/>
      <c r="C319" s="3"/>
    </row>
    <row r="320" customFormat="false" ht="15" hidden="false" customHeight="false" outlineLevel="0" collapsed="false">
      <c r="A320" s="4"/>
      <c r="B320" s="2"/>
      <c r="C320" s="3"/>
    </row>
    <row r="321" customFormat="false" ht="15" hidden="false" customHeight="false" outlineLevel="0" collapsed="false">
      <c r="A321" s="4"/>
      <c r="B321" s="2"/>
      <c r="C321" s="3"/>
    </row>
    <row r="322" customFormat="false" ht="15" hidden="false" customHeight="false" outlineLevel="0" collapsed="false">
      <c r="A322" s="4"/>
      <c r="B322" s="2"/>
      <c r="C322" s="3"/>
    </row>
    <row r="323" customFormat="false" ht="15" hidden="false" customHeight="false" outlineLevel="0" collapsed="false">
      <c r="A323" s="4"/>
      <c r="B323" s="2"/>
      <c r="C323" s="3"/>
    </row>
    <row r="324" customFormat="false" ht="15" hidden="false" customHeight="false" outlineLevel="0" collapsed="false">
      <c r="A324" s="4"/>
      <c r="B324" s="2"/>
      <c r="C324" s="3"/>
    </row>
    <row r="325" customFormat="false" ht="15" hidden="false" customHeight="false" outlineLevel="0" collapsed="false">
      <c r="A325" s="4"/>
      <c r="B325" s="2"/>
      <c r="C325" s="3"/>
    </row>
    <row r="326" customFormat="false" ht="15" hidden="false" customHeight="false" outlineLevel="0" collapsed="false">
      <c r="A326" s="4"/>
      <c r="B326" s="2"/>
      <c r="C326" s="3"/>
    </row>
    <row r="327" customFormat="false" ht="15" hidden="false" customHeight="false" outlineLevel="0" collapsed="false">
      <c r="A327" s="4"/>
      <c r="B327" s="2"/>
      <c r="C327" s="3"/>
    </row>
    <row r="328" customFormat="false" ht="15" hidden="false" customHeight="false" outlineLevel="0" collapsed="false">
      <c r="A328" s="4"/>
      <c r="B328" s="2"/>
      <c r="C328" s="3"/>
    </row>
    <row r="329" customFormat="false" ht="15" hidden="false" customHeight="false" outlineLevel="0" collapsed="false">
      <c r="A329" s="4"/>
      <c r="B329" s="2"/>
      <c r="C329" s="3"/>
    </row>
    <row r="330" customFormat="false" ht="15" hidden="false" customHeight="false" outlineLevel="0" collapsed="false">
      <c r="A330" s="4"/>
      <c r="B330" s="2"/>
      <c r="C330" s="3"/>
    </row>
    <row r="331" customFormat="false" ht="15" hidden="false" customHeight="false" outlineLevel="0" collapsed="false">
      <c r="A331" s="4"/>
      <c r="B331" s="2"/>
      <c r="C331" s="3"/>
    </row>
    <row r="332" customFormat="false" ht="15" hidden="false" customHeight="false" outlineLevel="0" collapsed="false">
      <c r="A332" s="4"/>
      <c r="B332" s="2"/>
      <c r="C332" s="3"/>
    </row>
    <row r="333" customFormat="false" ht="15" hidden="false" customHeight="false" outlineLevel="0" collapsed="false">
      <c r="A333" s="4"/>
      <c r="B333" s="2"/>
      <c r="C333" s="3"/>
    </row>
    <row r="334" customFormat="false" ht="15" hidden="false" customHeight="false" outlineLevel="0" collapsed="false">
      <c r="A334" s="4"/>
      <c r="B334" s="2"/>
      <c r="C334" s="3"/>
    </row>
    <row r="335" customFormat="false" ht="15" hidden="false" customHeight="false" outlineLevel="0" collapsed="false">
      <c r="A335" s="4"/>
      <c r="B335" s="2"/>
      <c r="C335" s="3"/>
    </row>
    <row r="336" customFormat="false" ht="15" hidden="false" customHeight="false" outlineLevel="0" collapsed="false">
      <c r="A336" s="4"/>
      <c r="B336" s="2"/>
      <c r="C336" s="3"/>
    </row>
    <row r="337" customFormat="false" ht="15" hidden="false" customHeight="false" outlineLevel="0" collapsed="false">
      <c r="A337" s="4"/>
      <c r="B337" s="2"/>
      <c r="C337" s="3"/>
    </row>
    <row r="338" customFormat="false" ht="15" hidden="false" customHeight="false" outlineLevel="0" collapsed="false">
      <c r="A338" s="4"/>
      <c r="B338" s="2"/>
      <c r="C338" s="3"/>
    </row>
    <row r="339" customFormat="false" ht="15" hidden="false" customHeight="false" outlineLevel="0" collapsed="false">
      <c r="A339" s="4"/>
      <c r="B339" s="2"/>
      <c r="C339" s="3"/>
    </row>
    <row r="340" customFormat="false" ht="15" hidden="false" customHeight="false" outlineLevel="0" collapsed="false">
      <c r="A340" s="4"/>
      <c r="B340" s="2"/>
      <c r="C340" s="3"/>
    </row>
    <row r="341" customFormat="false" ht="15" hidden="false" customHeight="false" outlineLevel="0" collapsed="false">
      <c r="A341" s="4"/>
      <c r="B341" s="2"/>
      <c r="C341" s="3"/>
    </row>
    <row r="342" customFormat="false" ht="15" hidden="false" customHeight="false" outlineLevel="0" collapsed="false">
      <c r="A342" s="4"/>
      <c r="B342" s="2"/>
      <c r="C342" s="3"/>
    </row>
    <row r="343" customFormat="false" ht="15" hidden="false" customHeight="false" outlineLevel="0" collapsed="false">
      <c r="A343" s="4"/>
      <c r="B343" s="2"/>
      <c r="C343" s="3"/>
    </row>
    <row r="344" customFormat="false" ht="15" hidden="false" customHeight="false" outlineLevel="0" collapsed="false">
      <c r="A344" s="4"/>
      <c r="B344" s="2"/>
      <c r="C344" s="3"/>
    </row>
    <row r="345" customFormat="false" ht="15" hidden="false" customHeight="false" outlineLevel="0" collapsed="false">
      <c r="A345" s="4"/>
      <c r="B345" s="2"/>
      <c r="C345" s="3"/>
    </row>
    <row r="346" customFormat="false" ht="15" hidden="false" customHeight="false" outlineLevel="0" collapsed="false">
      <c r="A346" s="4"/>
      <c r="B346" s="2"/>
      <c r="C346" s="3"/>
    </row>
    <row r="347" customFormat="false" ht="15" hidden="false" customHeight="false" outlineLevel="0" collapsed="false">
      <c r="A347" s="4"/>
      <c r="B347" s="2"/>
      <c r="C347" s="3"/>
    </row>
    <row r="348" customFormat="false" ht="15" hidden="false" customHeight="false" outlineLevel="0" collapsed="false">
      <c r="A348" s="4"/>
      <c r="B348" s="2"/>
      <c r="C348" s="3"/>
    </row>
    <row r="349" customFormat="false" ht="15" hidden="false" customHeight="false" outlineLevel="0" collapsed="false">
      <c r="A349" s="4"/>
      <c r="B349" s="2"/>
      <c r="C349" s="3"/>
    </row>
    <row r="350" customFormat="false" ht="15" hidden="false" customHeight="false" outlineLevel="0" collapsed="false">
      <c r="A350" s="4"/>
      <c r="B350" s="2"/>
      <c r="C350" s="3"/>
    </row>
    <row r="351" customFormat="false" ht="15" hidden="false" customHeight="false" outlineLevel="0" collapsed="false">
      <c r="A351" s="4"/>
      <c r="B351" s="2"/>
      <c r="C351" s="3"/>
    </row>
    <row r="352" customFormat="false" ht="15" hidden="false" customHeight="false" outlineLevel="0" collapsed="false">
      <c r="A352" s="4"/>
      <c r="B352" s="2"/>
      <c r="C352" s="3"/>
    </row>
    <row r="353" customFormat="false" ht="15" hidden="false" customHeight="false" outlineLevel="0" collapsed="false">
      <c r="A353" s="4"/>
      <c r="B353" s="2"/>
      <c r="C353" s="3"/>
    </row>
    <row r="354" customFormat="false" ht="15" hidden="false" customHeight="false" outlineLevel="0" collapsed="false">
      <c r="A354" s="4"/>
      <c r="B354" s="2"/>
      <c r="C354" s="3"/>
    </row>
    <row r="355" customFormat="false" ht="15" hidden="false" customHeight="false" outlineLevel="0" collapsed="false">
      <c r="A355" s="4"/>
      <c r="B355" s="2"/>
      <c r="C355" s="3"/>
    </row>
    <row r="356" customFormat="false" ht="15" hidden="false" customHeight="false" outlineLevel="0" collapsed="false">
      <c r="A356" s="4"/>
      <c r="B356" s="2"/>
      <c r="C356" s="3"/>
    </row>
    <row r="357" customFormat="false" ht="15" hidden="false" customHeight="false" outlineLevel="0" collapsed="false">
      <c r="A357" s="4"/>
      <c r="B357" s="2"/>
      <c r="C357" s="3"/>
    </row>
    <row r="358" customFormat="false" ht="15" hidden="false" customHeight="false" outlineLevel="0" collapsed="false">
      <c r="A358" s="4"/>
      <c r="B358" s="2"/>
      <c r="C358" s="3"/>
    </row>
    <row r="359" customFormat="false" ht="15" hidden="false" customHeight="false" outlineLevel="0" collapsed="false">
      <c r="A359" s="4"/>
      <c r="B359" s="2"/>
      <c r="C359" s="3"/>
    </row>
    <row r="360" customFormat="false" ht="15" hidden="false" customHeight="false" outlineLevel="0" collapsed="false">
      <c r="A360" s="4"/>
      <c r="B360" s="2"/>
      <c r="C360" s="3"/>
    </row>
    <row r="361" customFormat="false" ht="15" hidden="false" customHeight="false" outlineLevel="0" collapsed="false">
      <c r="A361" s="4"/>
      <c r="B361" s="2"/>
      <c r="C361" s="3"/>
    </row>
    <row r="362" customFormat="false" ht="15" hidden="false" customHeight="false" outlineLevel="0" collapsed="false">
      <c r="A362" s="4"/>
      <c r="B362" s="2"/>
      <c r="C362" s="3"/>
    </row>
    <row r="363" customFormat="false" ht="15" hidden="false" customHeight="false" outlineLevel="0" collapsed="false">
      <c r="A363" s="4"/>
      <c r="B363" s="2"/>
      <c r="C363" s="3"/>
    </row>
    <row r="364" customFormat="false" ht="15" hidden="false" customHeight="false" outlineLevel="0" collapsed="false">
      <c r="A364" s="4"/>
      <c r="B364" s="2"/>
      <c r="C364" s="3"/>
    </row>
    <row r="365" customFormat="false" ht="15" hidden="false" customHeight="false" outlineLevel="0" collapsed="false">
      <c r="A365" s="4"/>
      <c r="B365" s="2"/>
      <c r="C365" s="3"/>
    </row>
    <row r="366" customFormat="false" ht="15" hidden="false" customHeight="false" outlineLevel="0" collapsed="false">
      <c r="A366" s="4"/>
      <c r="B366" s="2"/>
      <c r="C366" s="3"/>
    </row>
    <row r="367" customFormat="false" ht="15" hidden="false" customHeight="false" outlineLevel="0" collapsed="false">
      <c r="A367" s="4"/>
      <c r="B367" s="2"/>
      <c r="C367" s="3"/>
    </row>
    <row r="368" customFormat="false" ht="15" hidden="false" customHeight="false" outlineLevel="0" collapsed="false">
      <c r="A368" s="4"/>
      <c r="B368" s="2"/>
      <c r="C368" s="3"/>
    </row>
    <row r="369" customFormat="false" ht="15" hidden="false" customHeight="false" outlineLevel="0" collapsed="false">
      <c r="A369" s="4"/>
      <c r="B369" s="2"/>
      <c r="C369" s="3"/>
    </row>
    <row r="370" customFormat="false" ht="15" hidden="false" customHeight="false" outlineLevel="0" collapsed="false">
      <c r="A370" s="4"/>
      <c r="B370" s="2"/>
      <c r="C370" s="3"/>
    </row>
    <row r="371" customFormat="false" ht="15" hidden="false" customHeight="false" outlineLevel="0" collapsed="false">
      <c r="A371" s="4"/>
      <c r="B371" s="2"/>
      <c r="C371" s="3"/>
    </row>
    <row r="372" customFormat="false" ht="15" hidden="false" customHeight="false" outlineLevel="0" collapsed="false">
      <c r="A372" s="4"/>
      <c r="B372" s="2"/>
      <c r="C372" s="3"/>
    </row>
    <row r="373" customFormat="false" ht="15" hidden="false" customHeight="false" outlineLevel="0" collapsed="false">
      <c r="A373" s="4"/>
      <c r="B373" s="2"/>
      <c r="C373" s="3"/>
    </row>
    <row r="374" customFormat="false" ht="15" hidden="false" customHeight="false" outlineLevel="0" collapsed="false">
      <c r="A374" s="4"/>
      <c r="B374" s="2"/>
      <c r="C374" s="3"/>
    </row>
    <row r="375" customFormat="false" ht="15" hidden="false" customHeight="false" outlineLevel="0" collapsed="false">
      <c r="A375" s="4"/>
      <c r="B375" s="2"/>
      <c r="C375" s="3"/>
    </row>
    <row r="376" customFormat="false" ht="15" hidden="false" customHeight="false" outlineLevel="0" collapsed="false">
      <c r="A376" s="4"/>
      <c r="B376" s="2"/>
      <c r="C376" s="3"/>
    </row>
    <row r="377" customFormat="false" ht="15" hidden="false" customHeight="false" outlineLevel="0" collapsed="false">
      <c r="A377" s="4"/>
      <c r="B377" s="2"/>
      <c r="C377" s="3"/>
    </row>
    <row r="378" customFormat="false" ht="15" hidden="false" customHeight="false" outlineLevel="0" collapsed="false">
      <c r="A378" s="4"/>
      <c r="B378" s="2"/>
      <c r="C378" s="3"/>
    </row>
    <row r="379" customFormat="false" ht="15" hidden="false" customHeight="false" outlineLevel="0" collapsed="false">
      <c r="A379" s="4"/>
      <c r="B379" s="2"/>
      <c r="C379" s="3"/>
    </row>
    <row r="380" customFormat="false" ht="15" hidden="false" customHeight="false" outlineLevel="0" collapsed="false">
      <c r="A380" s="4"/>
      <c r="B380" s="2"/>
      <c r="C380" s="3"/>
    </row>
    <row r="381" customFormat="false" ht="15" hidden="false" customHeight="false" outlineLevel="0" collapsed="false">
      <c r="A381" s="4"/>
      <c r="B381" s="2"/>
      <c r="C381" s="3"/>
    </row>
    <row r="382" customFormat="false" ht="15" hidden="false" customHeight="false" outlineLevel="0" collapsed="false">
      <c r="A382" s="4"/>
      <c r="B382" s="2"/>
      <c r="C382" s="3"/>
    </row>
    <row r="383" customFormat="false" ht="15" hidden="false" customHeight="false" outlineLevel="0" collapsed="false">
      <c r="A383" s="4"/>
      <c r="B383" s="2"/>
      <c r="C383" s="3"/>
    </row>
    <row r="384" customFormat="false" ht="15" hidden="false" customHeight="false" outlineLevel="0" collapsed="false">
      <c r="A384" s="4"/>
      <c r="B384" s="2"/>
      <c r="C384" s="3"/>
    </row>
    <row r="385" customFormat="false" ht="15" hidden="false" customHeight="false" outlineLevel="0" collapsed="false">
      <c r="A385" s="4"/>
      <c r="B385" s="2"/>
      <c r="C385" s="3"/>
    </row>
    <row r="386" customFormat="false" ht="15" hidden="false" customHeight="false" outlineLevel="0" collapsed="false">
      <c r="A386" s="4"/>
      <c r="B386" s="2"/>
      <c r="C386" s="3"/>
    </row>
    <row r="387" customFormat="false" ht="15" hidden="false" customHeight="false" outlineLevel="0" collapsed="false">
      <c r="A387" s="4"/>
      <c r="B387" s="2"/>
      <c r="C387" s="3"/>
    </row>
    <row r="388" customFormat="false" ht="15" hidden="false" customHeight="false" outlineLevel="0" collapsed="false">
      <c r="A388" s="4"/>
      <c r="B388" s="2"/>
      <c r="C388" s="3"/>
    </row>
    <row r="389" customFormat="false" ht="15" hidden="false" customHeight="false" outlineLevel="0" collapsed="false">
      <c r="A389" s="4"/>
      <c r="B389" s="2"/>
      <c r="C389" s="3"/>
    </row>
    <row r="390" customFormat="false" ht="15" hidden="false" customHeight="false" outlineLevel="0" collapsed="false">
      <c r="A390" s="4"/>
      <c r="B390" s="2"/>
      <c r="C390" s="3"/>
    </row>
    <row r="391" customFormat="false" ht="15" hidden="false" customHeight="false" outlineLevel="0" collapsed="false">
      <c r="A391" s="4"/>
      <c r="B391" s="2"/>
      <c r="C391" s="3"/>
    </row>
    <row r="392" customFormat="false" ht="15" hidden="false" customHeight="false" outlineLevel="0" collapsed="false">
      <c r="A392" s="4"/>
      <c r="B392" s="2"/>
      <c r="C392" s="3"/>
    </row>
    <row r="393" customFormat="false" ht="15" hidden="false" customHeight="false" outlineLevel="0" collapsed="false">
      <c r="A393" s="4"/>
      <c r="B393" s="2"/>
      <c r="C393" s="3"/>
    </row>
    <row r="394" customFormat="false" ht="15" hidden="false" customHeight="false" outlineLevel="0" collapsed="false">
      <c r="A394" s="4"/>
      <c r="B394" s="2"/>
      <c r="C394" s="3"/>
    </row>
    <row r="395" customFormat="false" ht="15" hidden="false" customHeight="false" outlineLevel="0" collapsed="false">
      <c r="A395" s="4"/>
      <c r="B395" s="2"/>
      <c r="C395" s="3"/>
    </row>
    <row r="396" customFormat="false" ht="15" hidden="false" customHeight="false" outlineLevel="0" collapsed="false">
      <c r="A396" s="4"/>
      <c r="B396" s="2"/>
      <c r="C396" s="3"/>
    </row>
    <row r="397" customFormat="false" ht="15" hidden="false" customHeight="false" outlineLevel="0" collapsed="false">
      <c r="A397" s="4"/>
      <c r="B397" s="2"/>
      <c r="C397" s="3"/>
    </row>
    <row r="398" customFormat="false" ht="15" hidden="false" customHeight="false" outlineLevel="0" collapsed="false">
      <c r="A398" s="4"/>
      <c r="B398" s="2"/>
      <c r="C398" s="3"/>
    </row>
    <row r="399" customFormat="false" ht="15" hidden="false" customHeight="false" outlineLevel="0" collapsed="false">
      <c r="A399" s="4"/>
      <c r="B399" s="2"/>
      <c r="C399" s="3"/>
    </row>
    <row r="400" customFormat="false" ht="15" hidden="false" customHeight="false" outlineLevel="0" collapsed="false">
      <c r="A400" s="4"/>
      <c r="B400" s="2"/>
      <c r="C400" s="3"/>
    </row>
    <row r="401" customFormat="false" ht="15" hidden="false" customHeight="false" outlineLevel="0" collapsed="false">
      <c r="A401" s="4"/>
      <c r="B401" s="2"/>
      <c r="C401" s="3"/>
    </row>
    <row r="402" customFormat="false" ht="15" hidden="false" customHeight="false" outlineLevel="0" collapsed="false">
      <c r="A402" s="4"/>
      <c r="B402" s="2"/>
      <c r="C402" s="3"/>
    </row>
    <row r="403" customFormat="false" ht="15" hidden="false" customHeight="false" outlineLevel="0" collapsed="false">
      <c r="A403" s="4"/>
      <c r="B403" s="2"/>
      <c r="C403" s="3"/>
    </row>
    <row r="404" customFormat="false" ht="15" hidden="false" customHeight="false" outlineLevel="0" collapsed="false">
      <c r="A404" s="4"/>
      <c r="B404" s="2"/>
      <c r="C404" s="3"/>
    </row>
    <row r="405" customFormat="false" ht="15" hidden="false" customHeight="false" outlineLevel="0" collapsed="false">
      <c r="A405" s="4"/>
      <c r="B405" s="2"/>
      <c r="C405" s="3"/>
    </row>
    <row r="406" customFormat="false" ht="15" hidden="false" customHeight="false" outlineLevel="0" collapsed="false">
      <c r="A406" s="4"/>
      <c r="B406" s="2"/>
      <c r="C406" s="3"/>
    </row>
    <row r="407" customFormat="false" ht="15" hidden="false" customHeight="false" outlineLevel="0" collapsed="false">
      <c r="A407" s="4"/>
      <c r="B407" s="2"/>
      <c r="C407" s="3"/>
    </row>
    <row r="408" customFormat="false" ht="15" hidden="false" customHeight="false" outlineLevel="0" collapsed="false">
      <c r="A408" s="4"/>
      <c r="B408" s="2"/>
      <c r="C408" s="3"/>
    </row>
    <row r="409" customFormat="false" ht="15" hidden="false" customHeight="false" outlineLevel="0" collapsed="false">
      <c r="A409" s="4"/>
      <c r="B409" s="2"/>
      <c r="C409" s="3"/>
    </row>
    <row r="410" customFormat="false" ht="15" hidden="false" customHeight="false" outlineLevel="0" collapsed="false">
      <c r="A410" s="4"/>
      <c r="B410" s="2"/>
      <c r="C410" s="3"/>
    </row>
    <row r="411" customFormat="false" ht="15" hidden="false" customHeight="false" outlineLevel="0" collapsed="false">
      <c r="A411" s="4"/>
      <c r="B411" s="2"/>
      <c r="C411" s="3"/>
    </row>
    <row r="412" customFormat="false" ht="15" hidden="false" customHeight="false" outlineLevel="0" collapsed="false">
      <c r="A412" s="4"/>
      <c r="B412" s="2"/>
      <c r="C412" s="3"/>
    </row>
    <row r="413" customFormat="false" ht="15" hidden="false" customHeight="false" outlineLevel="0" collapsed="false">
      <c r="A413" s="4"/>
      <c r="B413" s="2"/>
      <c r="C413" s="3"/>
    </row>
    <row r="414" customFormat="false" ht="15" hidden="false" customHeight="false" outlineLevel="0" collapsed="false">
      <c r="A414" s="4"/>
      <c r="B414" s="2"/>
      <c r="C414" s="3"/>
    </row>
    <row r="415" customFormat="false" ht="15" hidden="false" customHeight="false" outlineLevel="0" collapsed="false">
      <c r="A415" s="4"/>
      <c r="B415" s="2"/>
      <c r="C415" s="3"/>
    </row>
    <row r="416" customFormat="false" ht="15" hidden="false" customHeight="false" outlineLevel="0" collapsed="false">
      <c r="A416" s="4"/>
      <c r="B416" s="2"/>
      <c r="C416" s="3"/>
    </row>
    <row r="417" customFormat="false" ht="15" hidden="false" customHeight="false" outlineLevel="0" collapsed="false">
      <c r="A417" s="4"/>
      <c r="B417" s="2"/>
      <c r="C417" s="3"/>
    </row>
    <row r="418" customFormat="false" ht="15" hidden="false" customHeight="false" outlineLevel="0" collapsed="false">
      <c r="A418" s="4"/>
      <c r="B418" s="2"/>
      <c r="C418" s="3"/>
    </row>
    <row r="419" customFormat="false" ht="15" hidden="false" customHeight="false" outlineLevel="0" collapsed="false">
      <c r="A419" s="4"/>
      <c r="B419" s="2"/>
      <c r="C419" s="3"/>
    </row>
    <row r="420" customFormat="false" ht="15" hidden="false" customHeight="false" outlineLevel="0" collapsed="false">
      <c r="A420" s="4"/>
      <c r="B420" s="2"/>
      <c r="C420" s="3"/>
    </row>
    <row r="421" customFormat="false" ht="15" hidden="false" customHeight="false" outlineLevel="0" collapsed="false">
      <c r="A421" s="4"/>
      <c r="B421" s="2"/>
      <c r="C421" s="3"/>
    </row>
    <row r="422" customFormat="false" ht="15" hidden="false" customHeight="false" outlineLevel="0" collapsed="false">
      <c r="A422" s="4"/>
      <c r="B422" s="2"/>
      <c r="C422" s="3"/>
    </row>
    <row r="423" customFormat="false" ht="15" hidden="false" customHeight="false" outlineLevel="0" collapsed="false">
      <c r="A423" s="4"/>
      <c r="B423" s="2"/>
      <c r="C423" s="3"/>
    </row>
    <row r="424" customFormat="false" ht="15" hidden="false" customHeight="false" outlineLevel="0" collapsed="false">
      <c r="A424" s="4"/>
      <c r="B424" s="2"/>
      <c r="C424" s="3"/>
    </row>
    <row r="425" customFormat="false" ht="15" hidden="false" customHeight="false" outlineLevel="0" collapsed="false">
      <c r="A425" s="4"/>
      <c r="B425" s="2"/>
      <c r="C425" s="3"/>
    </row>
    <row r="426" customFormat="false" ht="15" hidden="false" customHeight="false" outlineLevel="0" collapsed="false">
      <c r="A426" s="4"/>
      <c r="B426" s="2"/>
      <c r="C426" s="3"/>
    </row>
    <row r="427" customFormat="false" ht="15" hidden="false" customHeight="false" outlineLevel="0" collapsed="false">
      <c r="A427" s="4"/>
      <c r="B427" s="2"/>
      <c r="C427" s="3"/>
    </row>
    <row r="428" customFormat="false" ht="15" hidden="false" customHeight="false" outlineLevel="0" collapsed="false">
      <c r="A428" s="4"/>
      <c r="B428" s="2"/>
      <c r="C428" s="3"/>
    </row>
    <row r="429" customFormat="false" ht="15" hidden="false" customHeight="false" outlineLevel="0" collapsed="false">
      <c r="A429" s="4"/>
      <c r="B429" s="2"/>
      <c r="C429" s="3"/>
    </row>
    <row r="430" customFormat="false" ht="15" hidden="false" customHeight="false" outlineLevel="0" collapsed="false">
      <c r="A430" s="4"/>
      <c r="B430" s="2"/>
      <c r="C430" s="3"/>
    </row>
    <row r="431" customFormat="false" ht="15" hidden="false" customHeight="false" outlineLevel="0" collapsed="false">
      <c r="A431" s="4"/>
      <c r="B431" s="2"/>
      <c r="C431" s="3"/>
    </row>
    <row r="432" customFormat="false" ht="15" hidden="false" customHeight="false" outlineLevel="0" collapsed="false">
      <c r="A432" s="4"/>
      <c r="B432" s="2"/>
      <c r="C432" s="3"/>
    </row>
    <row r="433" customFormat="false" ht="15" hidden="false" customHeight="false" outlineLevel="0" collapsed="false">
      <c r="A433" s="4"/>
      <c r="B433" s="2"/>
      <c r="C433" s="3"/>
    </row>
    <row r="434" customFormat="false" ht="15" hidden="false" customHeight="false" outlineLevel="0" collapsed="false">
      <c r="A434" s="4"/>
      <c r="B434" s="2"/>
      <c r="C434" s="3"/>
    </row>
    <row r="435" customFormat="false" ht="15" hidden="false" customHeight="false" outlineLevel="0" collapsed="false">
      <c r="A435" s="4"/>
      <c r="B435" s="2"/>
      <c r="C435" s="3"/>
    </row>
    <row r="436" customFormat="false" ht="15" hidden="false" customHeight="false" outlineLevel="0" collapsed="false">
      <c r="A436" s="4"/>
      <c r="B436" s="2"/>
      <c r="C436" s="3"/>
    </row>
    <row r="437" customFormat="false" ht="15" hidden="false" customHeight="false" outlineLevel="0" collapsed="false">
      <c r="A437" s="4"/>
      <c r="B437" s="2"/>
      <c r="C437" s="3"/>
    </row>
    <row r="438" customFormat="false" ht="15" hidden="false" customHeight="false" outlineLevel="0" collapsed="false">
      <c r="A438" s="4"/>
      <c r="B438" s="2"/>
      <c r="C438" s="3"/>
    </row>
    <row r="439" customFormat="false" ht="15" hidden="false" customHeight="false" outlineLevel="0" collapsed="false">
      <c r="A439" s="4"/>
      <c r="B439" s="2"/>
      <c r="C439" s="3"/>
    </row>
    <row r="440" customFormat="false" ht="15" hidden="false" customHeight="false" outlineLevel="0" collapsed="false">
      <c r="A440" s="4"/>
      <c r="B440" s="2"/>
      <c r="C440" s="3"/>
    </row>
    <row r="441" customFormat="false" ht="15" hidden="false" customHeight="false" outlineLevel="0" collapsed="false">
      <c r="A441" s="4"/>
      <c r="B441" s="2"/>
      <c r="C441" s="3"/>
    </row>
    <row r="442" customFormat="false" ht="15" hidden="false" customHeight="false" outlineLevel="0" collapsed="false">
      <c r="A442" s="4"/>
      <c r="B442" s="2"/>
      <c r="C442" s="3"/>
    </row>
    <row r="443" customFormat="false" ht="15" hidden="false" customHeight="false" outlineLevel="0" collapsed="false">
      <c r="A443" s="4"/>
      <c r="B443" s="2"/>
      <c r="C443" s="3"/>
    </row>
    <row r="444" customFormat="false" ht="15" hidden="false" customHeight="false" outlineLevel="0" collapsed="false">
      <c r="A444" s="4"/>
      <c r="B444" s="2"/>
      <c r="C444" s="3"/>
    </row>
    <row r="445" customFormat="false" ht="15" hidden="false" customHeight="false" outlineLevel="0" collapsed="false">
      <c r="A445" s="4"/>
      <c r="B445" s="2"/>
      <c r="C445" s="3"/>
    </row>
    <row r="446" customFormat="false" ht="15" hidden="false" customHeight="false" outlineLevel="0" collapsed="false">
      <c r="A446" s="4"/>
      <c r="B446" s="2"/>
      <c r="C446" s="3"/>
    </row>
    <row r="447" customFormat="false" ht="15" hidden="false" customHeight="false" outlineLevel="0" collapsed="false">
      <c r="A447" s="4"/>
      <c r="B447" s="2"/>
      <c r="C447" s="3"/>
    </row>
    <row r="448" customFormat="false" ht="15" hidden="false" customHeight="false" outlineLevel="0" collapsed="false">
      <c r="A448" s="4"/>
      <c r="B448" s="2"/>
      <c r="C448" s="3"/>
    </row>
    <row r="449" customFormat="false" ht="15" hidden="false" customHeight="false" outlineLevel="0" collapsed="false">
      <c r="A449" s="4"/>
      <c r="B449" s="2"/>
      <c r="C449" s="3"/>
    </row>
    <row r="450" customFormat="false" ht="15" hidden="false" customHeight="false" outlineLevel="0" collapsed="false">
      <c r="A450" s="4"/>
      <c r="B450" s="2"/>
      <c r="C450" s="3"/>
    </row>
    <row r="451" customFormat="false" ht="15" hidden="false" customHeight="false" outlineLevel="0" collapsed="false">
      <c r="A451" s="4"/>
      <c r="B451" s="2"/>
      <c r="C451" s="3"/>
    </row>
    <row r="452" customFormat="false" ht="15" hidden="false" customHeight="false" outlineLevel="0" collapsed="false">
      <c r="A452" s="4"/>
      <c r="B452" s="2"/>
      <c r="C452" s="3"/>
    </row>
    <row r="453" customFormat="false" ht="15" hidden="false" customHeight="false" outlineLevel="0" collapsed="false">
      <c r="A453" s="4"/>
      <c r="B453" s="2"/>
      <c r="C453" s="3"/>
    </row>
    <row r="454" customFormat="false" ht="15" hidden="false" customHeight="false" outlineLevel="0" collapsed="false">
      <c r="A454" s="4"/>
      <c r="B454" s="2"/>
      <c r="C454" s="3"/>
    </row>
    <row r="455" customFormat="false" ht="15" hidden="false" customHeight="false" outlineLevel="0" collapsed="false">
      <c r="A455" s="4"/>
      <c r="B455" s="2"/>
      <c r="C455" s="3"/>
    </row>
    <row r="456" customFormat="false" ht="15" hidden="false" customHeight="false" outlineLevel="0" collapsed="false">
      <c r="A456" s="4"/>
      <c r="B456" s="2"/>
      <c r="C456" s="3"/>
    </row>
    <row r="457" customFormat="false" ht="15" hidden="false" customHeight="false" outlineLevel="0" collapsed="false">
      <c r="A457" s="4"/>
      <c r="B457" s="2"/>
      <c r="C457" s="3"/>
    </row>
    <row r="458" customFormat="false" ht="15" hidden="false" customHeight="false" outlineLevel="0" collapsed="false">
      <c r="A458" s="4"/>
      <c r="B458" s="2"/>
      <c r="C458" s="3"/>
    </row>
    <row r="459" customFormat="false" ht="15" hidden="false" customHeight="false" outlineLevel="0" collapsed="false">
      <c r="A459" s="4"/>
      <c r="B459" s="2"/>
      <c r="C459" s="3"/>
    </row>
    <row r="460" customFormat="false" ht="15" hidden="false" customHeight="false" outlineLevel="0" collapsed="false">
      <c r="A460" s="4"/>
      <c r="B460" s="2"/>
      <c r="C460" s="3"/>
    </row>
    <row r="461" customFormat="false" ht="15" hidden="false" customHeight="false" outlineLevel="0" collapsed="false">
      <c r="A461" s="4"/>
      <c r="B461" s="2"/>
      <c r="C461" s="3"/>
    </row>
    <row r="462" customFormat="false" ht="15" hidden="false" customHeight="false" outlineLevel="0" collapsed="false">
      <c r="A462" s="4"/>
      <c r="B462" s="2"/>
      <c r="C462" s="3"/>
    </row>
    <row r="463" customFormat="false" ht="15" hidden="false" customHeight="false" outlineLevel="0" collapsed="false">
      <c r="A463" s="4"/>
      <c r="B463" s="2"/>
      <c r="C463" s="3"/>
    </row>
    <row r="464" customFormat="false" ht="15" hidden="false" customHeight="false" outlineLevel="0" collapsed="false">
      <c r="A464" s="4"/>
      <c r="B464" s="2"/>
      <c r="C464" s="3"/>
    </row>
    <row r="465" customFormat="false" ht="15" hidden="false" customHeight="false" outlineLevel="0" collapsed="false">
      <c r="A465" s="4"/>
      <c r="B465" s="2"/>
      <c r="C465" s="3"/>
    </row>
    <row r="466" customFormat="false" ht="15" hidden="false" customHeight="false" outlineLevel="0" collapsed="false">
      <c r="A466" s="4"/>
      <c r="B466" s="2"/>
      <c r="C466" s="3"/>
    </row>
    <row r="467" customFormat="false" ht="15" hidden="false" customHeight="false" outlineLevel="0" collapsed="false">
      <c r="A467" s="4"/>
      <c r="B467" s="2"/>
      <c r="C467" s="3"/>
    </row>
    <row r="468" customFormat="false" ht="15" hidden="false" customHeight="false" outlineLevel="0" collapsed="false">
      <c r="A468" s="4"/>
      <c r="B468" s="2"/>
      <c r="C468" s="3"/>
    </row>
    <row r="469" customFormat="false" ht="15" hidden="false" customHeight="false" outlineLevel="0" collapsed="false">
      <c r="A469" s="4"/>
      <c r="B469" s="2"/>
      <c r="C469" s="3"/>
    </row>
    <row r="470" customFormat="false" ht="15" hidden="false" customHeight="false" outlineLevel="0" collapsed="false">
      <c r="A470" s="4"/>
      <c r="B470" s="2"/>
      <c r="C470" s="3"/>
    </row>
    <row r="471" customFormat="false" ht="15" hidden="false" customHeight="false" outlineLevel="0" collapsed="false">
      <c r="A471" s="4"/>
      <c r="B471" s="2"/>
      <c r="C471" s="3"/>
    </row>
    <row r="472" customFormat="false" ht="15" hidden="false" customHeight="false" outlineLevel="0" collapsed="false">
      <c r="A472" s="4"/>
      <c r="B472" s="2"/>
      <c r="C472" s="3"/>
    </row>
    <row r="473" customFormat="false" ht="15" hidden="false" customHeight="false" outlineLevel="0" collapsed="false">
      <c r="A473" s="4"/>
      <c r="B473" s="2"/>
      <c r="C473" s="3"/>
    </row>
    <row r="474" customFormat="false" ht="15" hidden="false" customHeight="false" outlineLevel="0" collapsed="false">
      <c r="A474" s="4"/>
      <c r="B474" s="2"/>
      <c r="C474" s="3"/>
    </row>
    <row r="475" customFormat="false" ht="15" hidden="false" customHeight="false" outlineLevel="0" collapsed="false">
      <c r="A475" s="4"/>
      <c r="B475" s="2"/>
      <c r="C475" s="3"/>
    </row>
    <row r="476" customFormat="false" ht="15" hidden="false" customHeight="false" outlineLevel="0" collapsed="false">
      <c r="A476" s="4"/>
      <c r="B476" s="2"/>
      <c r="C476" s="3"/>
    </row>
    <row r="477" customFormat="false" ht="15" hidden="false" customHeight="false" outlineLevel="0" collapsed="false">
      <c r="A477" s="4"/>
      <c r="B477" s="2"/>
      <c r="C477" s="3"/>
    </row>
    <row r="478" customFormat="false" ht="15" hidden="false" customHeight="false" outlineLevel="0" collapsed="false">
      <c r="A478" s="4"/>
      <c r="B478" s="2"/>
      <c r="C478" s="3"/>
    </row>
    <row r="479" customFormat="false" ht="15" hidden="false" customHeight="false" outlineLevel="0" collapsed="false">
      <c r="A479" s="4"/>
      <c r="B479" s="2"/>
      <c r="C479" s="3"/>
    </row>
    <row r="480" customFormat="false" ht="15" hidden="false" customHeight="false" outlineLevel="0" collapsed="false">
      <c r="A480" s="4"/>
      <c r="B480" s="2"/>
      <c r="C480" s="3"/>
    </row>
    <row r="481" customFormat="false" ht="15" hidden="false" customHeight="false" outlineLevel="0" collapsed="false">
      <c r="A481" s="4"/>
      <c r="B481" s="2"/>
      <c r="C481" s="3"/>
    </row>
    <row r="482" customFormat="false" ht="15" hidden="false" customHeight="false" outlineLevel="0" collapsed="false">
      <c r="A482" s="4"/>
      <c r="B482" s="2"/>
      <c r="C482" s="3"/>
    </row>
    <row r="483" customFormat="false" ht="15" hidden="false" customHeight="false" outlineLevel="0" collapsed="false">
      <c r="A483" s="4"/>
      <c r="B483" s="2"/>
      <c r="C483" s="3"/>
    </row>
    <row r="484" customFormat="false" ht="15" hidden="false" customHeight="false" outlineLevel="0" collapsed="false">
      <c r="A484" s="4"/>
      <c r="B484" s="2"/>
      <c r="C484" s="3"/>
    </row>
    <row r="485" customFormat="false" ht="15" hidden="false" customHeight="false" outlineLevel="0" collapsed="false">
      <c r="A485" s="4"/>
      <c r="B485" s="2"/>
      <c r="C485" s="3"/>
    </row>
    <row r="486" customFormat="false" ht="15" hidden="false" customHeight="false" outlineLevel="0" collapsed="false">
      <c r="A486" s="4"/>
      <c r="B486" s="2"/>
      <c r="C486" s="3"/>
    </row>
    <row r="487" customFormat="false" ht="15" hidden="false" customHeight="false" outlineLevel="0" collapsed="false">
      <c r="A487" s="4"/>
      <c r="B487" s="2"/>
      <c r="C487" s="3"/>
    </row>
    <row r="488" customFormat="false" ht="15" hidden="false" customHeight="false" outlineLevel="0" collapsed="false">
      <c r="A488" s="4"/>
      <c r="B488" s="2"/>
      <c r="C488" s="3"/>
    </row>
    <row r="489" customFormat="false" ht="15" hidden="false" customHeight="false" outlineLevel="0" collapsed="false">
      <c r="A489" s="4"/>
      <c r="B489" s="2"/>
      <c r="C489" s="3"/>
    </row>
    <row r="490" customFormat="false" ht="15" hidden="false" customHeight="false" outlineLevel="0" collapsed="false">
      <c r="A490" s="4"/>
      <c r="B490" s="2"/>
      <c r="C490" s="3"/>
    </row>
    <row r="491" customFormat="false" ht="15" hidden="false" customHeight="false" outlineLevel="0" collapsed="false">
      <c r="A491" s="4"/>
      <c r="B491" s="2"/>
      <c r="C491" s="3"/>
    </row>
    <row r="492" customFormat="false" ht="15" hidden="false" customHeight="false" outlineLevel="0" collapsed="false">
      <c r="A492" s="4"/>
      <c r="B492" s="2"/>
      <c r="C492" s="3"/>
    </row>
    <row r="493" customFormat="false" ht="15" hidden="false" customHeight="false" outlineLevel="0" collapsed="false">
      <c r="A493" s="4"/>
      <c r="B493" s="2"/>
      <c r="C493" s="3"/>
    </row>
    <row r="494" customFormat="false" ht="15" hidden="false" customHeight="false" outlineLevel="0" collapsed="false">
      <c r="A494" s="4"/>
      <c r="B494" s="2"/>
      <c r="C494" s="3"/>
    </row>
    <row r="495" customFormat="false" ht="15" hidden="false" customHeight="false" outlineLevel="0" collapsed="false">
      <c r="A495" s="4"/>
      <c r="B495" s="2"/>
      <c r="C495" s="3"/>
    </row>
    <row r="496" customFormat="false" ht="15" hidden="false" customHeight="false" outlineLevel="0" collapsed="false">
      <c r="A496" s="4"/>
      <c r="B496" s="2"/>
      <c r="C496" s="3"/>
    </row>
    <row r="497" customFormat="false" ht="15" hidden="false" customHeight="false" outlineLevel="0" collapsed="false">
      <c r="A497" s="4"/>
      <c r="B497" s="2"/>
      <c r="C497" s="3"/>
    </row>
    <row r="498" customFormat="false" ht="15" hidden="false" customHeight="false" outlineLevel="0" collapsed="false">
      <c r="A498" s="4"/>
      <c r="B498" s="2"/>
      <c r="C498" s="3"/>
    </row>
    <row r="499" customFormat="false" ht="15" hidden="false" customHeight="false" outlineLevel="0" collapsed="false">
      <c r="A499" s="4"/>
      <c r="B499" s="2"/>
      <c r="C499" s="3"/>
    </row>
    <row r="500" customFormat="false" ht="15" hidden="false" customHeight="false" outlineLevel="0" collapsed="false">
      <c r="A500" s="4"/>
      <c r="B500" s="2"/>
      <c r="C500" s="3"/>
    </row>
    <row r="501" customFormat="false" ht="15" hidden="false" customHeight="false" outlineLevel="0" collapsed="false">
      <c r="A501" s="4"/>
      <c r="B501" s="2"/>
      <c r="C501" s="3"/>
    </row>
    <row r="502" customFormat="false" ht="15" hidden="false" customHeight="false" outlineLevel="0" collapsed="false">
      <c r="A502" s="4"/>
      <c r="B502" s="2"/>
      <c r="C502" s="3"/>
    </row>
    <row r="503" customFormat="false" ht="15" hidden="false" customHeight="false" outlineLevel="0" collapsed="false">
      <c r="A503" s="4"/>
      <c r="B503" s="2"/>
      <c r="C503" s="3"/>
    </row>
    <row r="504" customFormat="false" ht="15" hidden="false" customHeight="false" outlineLevel="0" collapsed="false">
      <c r="A504" s="4"/>
      <c r="B504" s="2"/>
      <c r="C504" s="3"/>
    </row>
    <row r="505" customFormat="false" ht="15" hidden="false" customHeight="false" outlineLevel="0" collapsed="false">
      <c r="A505" s="4"/>
      <c r="B505" s="2"/>
      <c r="C505" s="3"/>
    </row>
    <row r="506" customFormat="false" ht="15" hidden="false" customHeight="false" outlineLevel="0" collapsed="false">
      <c r="A506" s="4"/>
      <c r="B506" s="2"/>
      <c r="C506" s="3"/>
    </row>
    <row r="507" customFormat="false" ht="15" hidden="false" customHeight="false" outlineLevel="0" collapsed="false">
      <c r="A507" s="4"/>
      <c r="B507" s="2"/>
      <c r="C507" s="3"/>
    </row>
    <row r="508" customFormat="false" ht="15" hidden="false" customHeight="false" outlineLevel="0" collapsed="false">
      <c r="A508" s="4"/>
      <c r="B508" s="2"/>
      <c r="C508" s="3"/>
    </row>
    <row r="509" customFormat="false" ht="15" hidden="false" customHeight="false" outlineLevel="0" collapsed="false">
      <c r="A509" s="4"/>
      <c r="B509" s="2"/>
      <c r="C509" s="3"/>
    </row>
    <row r="510" customFormat="false" ht="15" hidden="false" customHeight="false" outlineLevel="0" collapsed="false">
      <c r="A510" s="4"/>
      <c r="B510" s="2"/>
      <c r="C510" s="3"/>
    </row>
    <row r="511" customFormat="false" ht="15" hidden="false" customHeight="false" outlineLevel="0" collapsed="false">
      <c r="A511" s="4"/>
      <c r="B511" s="2"/>
      <c r="C511" s="3"/>
    </row>
    <row r="512" customFormat="false" ht="15" hidden="false" customHeight="false" outlineLevel="0" collapsed="false">
      <c r="A512" s="4"/>
      <c r="B512" s="2"/>
      <c r="C512" s="3"/>
    </row>
    <row r="513" customFormat="false" ht="15" hidden="false" customHeight="false" outlineLevel="0" collapsed="false">
      <c r="A513" s="4"/>
      <c r="B513" s="2"/>
      <c r="C513" s="3"/>
    </row>
    <row r="514" customFormat="false" ht="15" hidden="false" customHeight="false" outlineLevel="0" collapsed="false">
      <c r="A514" s="4"/>
      <c r="B514" s="2"/>
      <c r="C514" s="3"/>
    </row>
    <row r="515" customFormat="false" ht="15" hidden="false" customHeight="false" outlineLevel="0" collapsed="false">
      <c r="A515" s="4"/>
      <c r="B515" s="2"/>
      <c r="C515" s="3"/>
    </row>
    <row r="516" customFormat="false" ht="15" hidden="false" customHeight="false" outlineLevel="0" collapsed="false">
      <c r="A516" s="4"/>
      <c r="B516" s="2"/>
      <c r="C516" s="3"/>
    </row>
    <row r="517" customFormat="false" ht="15" hidden="false" customHeight="false" outlineLevel="0" collapsed="false">
      <c r="A517" s="4"/>
      <c r="B517" s="2"/>
      <c r="C517" s="3"/>
    </row>
    <row r="518" customFormat="false" ht="15" hidden="false" customHeight="false" outlineLevel="0" collapsed="false">
      <c r="A518" s="4"/>
      <c r="B518" s="2"/>
      <c r="C518" s="3"/>
    </row>
    <row r="519" customFormat="false" ht="15" hidden="false" customHeight="false" outlineLevel="0" collapsed="false">
      <c r="A519" s="4"/>
      <c r="B519" s="2"/>
      <c r="C519" s="3"/>
    </row>
    <row r="520" customFormat="false" ht="15" hidden="false" customHeight="false" outlineLevel="0" collapsed="false">
      <c r="A520" s="4"/>
      <c r="B520" s="2"/>
      <c r="C520" s="3"/>
    </row>
    <row r="521" customFormat="false" ht="15" hidden="false" customHeight="false" outlineLevel="0" collapsed="false">
      <c r="A521" s="4"/>
      <c r="B521" s="2"/>
      <c r="C521" s="3"/>
    </row>
    <row r="522" customFormat="false" ht="15" hidden="false" customHeight="false" outlineLevel="0" collapsed="false">
      <c r="A522" s="4"/>
      <c r="B522" s="2"/>
      <c r="C522" s="3"/>
    </row>
    <row r="523" customFormat="false" ht="15" hidden="false" customHeight="false" outlineLevel="0" collapsed="false">
      <c r="A523" s="4"/>
      <c r="B523" s="2"/>
      <c r="C523" s="3"/>
    </row>
    <row r="524" customFormat="false" ht="15" hidden="false" customHeight="false" outlineLevel="0" collapsed="false">
      <c r="A524" s="4"/>
      <c r="B524" s="2"/>
      <c r="C524" s="3"/>
    </row>
    <row r="525" customFormat="false" ht="15" hidden="false" customHeight="false" outlineLevel="0" collapsed="false">
      <c r="A525" s="4"/>
      <c r="B525" s="2"/>
      <c r="C525" s="3"/>
    </row>
    <row r="526" customFormat="false" ht="15" hidden="false" customHeight="false" outlineLevel="0" collapsed="false">
      <c r="A526" s="4"/>
      <c r="B526" s="2"/>
      <c r="C526" s="3"/>
    </row>
    <row r="527" customFormat="false" ht="15" hidden="false" customHeight="false" outlineLevel="0" collapsed="false">
      <c r="A527" s="4"/>
      <c r="B527" s="2"/>
      <c r="C527" s="3"/>
    </row>
    <row r="528" customFormat="false" ht="15" hidden="false" customHeight="false" outlineLevel="0" collapsed="false">
      <c r="A528" s="4"/>
      <c r="B528" s="2"/>
      <c r="C528" s="3"/>
    </row>
    <row r="529" customFormat="false" ht="15" hidden="false" customHeight="false" outlineLevel="0" collapsed="false">
      <c r="A529" s="4"/>
      <c r="B529" s="2"/>
      <c r="C529" s="3"/>
    </row>
    <row r="530" customFormat="false" ht="15" hidden="false" customHeight="false" outlineLevel="0" collapsed="false">
      <c r="A530" s="4"/>
      <c r="B530" s="2"/>
      <c r="C530" s="3"/>
    </row>
    <row r="531" customFormat="false" ht="15" hidden="false" customHeight="false" outlineLevel="0" collapsed="false">
      <c r="A531" s="4"/>
      <c r="B531" s="2"/>
      <c r="C531" s="3"/>
    </row>
    <row r="532" customFormat="false" ht="15" hidden="false" customHeight="false" outlineLevel="0" collapsed="false">
      <c r="A532" s="4"/>
      <c r="B532" s="2"/>
      <c r="C532" s="3"/>
    </row>
    <row r="533" customFormat="false" ht="15" hidden="false" customHeight="false" outlineLevel="0" collapsed="false">
      <c r="A533" s="4"/>
      <c r="B533" s="2"/>
      <c r="C533" s="3"/>
    </row>
    <row r="534" customFormat="false" ht="15" hidden="false" customHeight="false" outlineLevel="0" collapsed="false">
      <c r="A534" s="4"/>
      <c r="B534" s="2"/>
      <c r="C534" s="3"/>
    </row>
    <row r="535" customFormat="false" ht="15" hidden="false" customHeight="false" outlineLevel="0" collapsed="false">
      <c r="A535" s="4"/>
      <c r="B535" s="2"/>
      <c r="C535" s="3"/>
    </row>
    <row r="536" customFormat="false" ht="15" hidden="false" customHeight="false" outlineLevel="0" collapsed="false">
      <c r="A536" s="4"/>
      <c r="B536" s="2"/>
      <c r="C536" s="3"/>
    </row>
    <row r="537" customFormat="false" ht="15" hidden="false" customHeight="false" outlineLevel="0" collapsed="false">
      <c r="A537" s="4"/>
      <c r="B537" s="2"/>
      <c r="C537" s="3"/>
    </row>
    <row r="538" customFormat="false" ht="15" hidden="false" customHeight="false" outlineLevel="0" collapsed="false">
      <c r="A538" s="4"/>
      <c r="B538" s="2"/>
      <c r="C538" s="3"/>
    </row>
    <row r="539" customFormat="false" ht="15" hidden="false" customHeight="false" outlineLevel="0" collapsed="false">
      <c r="A539" s="4"/>
      <c r="B539" s="2"/>
      <c r="C539" s="3"/>
    </row>
    <row r="540" customFormat="false" ht="15" hidden="false" customHeight="false" outlineLevel="0" collapsed="false">
      <c r="A540" s="4"/>
      <c r="B540" s="2"/>
      <c r="C540" s="3"/>
    </row>
    <row r="541" customFormat="false" ht="15" hidden="false" customHeight="false" outlineLevel="0" collapsed="false">
      <c r="A541" s="4"/>
      <c r="B541" s="2"/>
      <c r="C541" s="3"/>
    </row>
    <row r="542" customFormat="false" ht="15" hidden="false" customHeight="false" outlineLevel="0" collapsed="false">
      <c r="A542" s="4"/>
      <c r="B542" s="2"/>
      <c r="C542" s="3"/>
    </row>
    <row r="543" customFormat="false" ht="15" hidden="false" customHeight="false" outlineLevel="0" collapsed="false">
      <c r="A543" s="4"/>
      <c r="B543" s="2"/>
      <c r="C543" s="3"/>
    </row>
    <row r="544" customFormat="false" ht="15" hidden="false" customHeight="false" outlineLevel="0" collapsed="false">
      <c r="A544" s="4"/>
      <c r="B544" s="2"/>
      <c r="C544" s="3"/>
    </row>
    <row r="545" customFormat="false" ht="15" hidden="false" customHeight="false" outlineLevel="0" collapsed="false">
      <c r="A545" s="4"/>
      <c r="B545" s="2"/>
      <c r="C545" s="3"/>
    </row>
    <row r="546" customFormat="false" ht="15" hidden="false" customHeight="false" outlineLevel="0" collapsed="false">
      <c r="A546" s="4"/>
      <c r="B546" s="2"/>
      <c r="C546" s="3"/>
    </row>
    <row r="547" customFormat="false" ht="15" hidden="false" customHeight="false" outlineLevel="0" collapsed="false">
      <c r="A547" s="4"/>
      <c r="B547" s="2"/>
      <c r="C547" s="3"/>
    </row>
    <row r="548" customFormat="false" ht="15" hidden="false" customHeight="false" outlineLevel="0" collapsed="false">
      <c r="A548" s="4"/>
      <c r="B548" s="2"/>
      <c r="C548" s="3"/>
    </row>
    <row r="549" customFormat="false" ht="15" hidden="false" customHeight="false" outlineLevel="0" collapsed="false">
      <c r="A549" s="4"/>
      <c r="B549" s="2"/>
      <c r="C549" s="3"/>
    </row>
    <row r="550" customFormat="false" ht="15" hidden="false" customHeight="false" outlineLevel="0" collapsed="false">
      <c r="A550" s="4"/>
      <c r="B550" s="2"/>
      <c r="C550" s="3"/>
    </row>
    <row r="551" customFormat="false" ht="15" hidden="false" customHeight="false" outlineLevel="0" collapsed="false">
      <c r="A551" s="4"/>
      <c r="B551" s="2"/>
      <c r="C551" s="3"/>
    </row>
    <row r="552" customFormat="false" ht="15" hidden="false" customHeight="false" outlineLevel="0" collapsed="false">
      <c r="A552" s="4"/>
      <c r="B552" s="2"/>
      <c r="C552" s="3"/>
    </row>
    <row r="553" customFormat="false" ht="15" hidden="false" customHeight="false" outlineLevel="0" collapsed="false">
      <c r="A553" s="4"/>
      <c r="B553" s="2"/>
      <c r="C553" s="3"/>
    </row>
    <row r="554" customFormat="false" ht="15" hidden="false" customHeight="false" outlineLevel="0" collapsed="false">
      <c r="A554" s="4"/>
      <c r="B554" s="2"/>
      <c r="C554" s="3"/>
    </row>
    <row r="555" customFormat="false" ht="15" hidden="false" customHeight="false" outlineLevel="0" collapsed="false">
      <c r="A555" s="4"/>
      <c r="B555" s="2"/>
      <c r="C555" s="3"/>
    </row>
    <row r="556" customFormat="false" ht="15" hidden="false" customHeight="false" outlineLevel="0" collapsed="false">
      <c r="A556" s="4"/>
      <c r="B556" s="2"/>
      <c r="C556" s="3"/>
    </row>
    <row r="557" customFormat="false" ht="15" hidden="false" customHeight="false" outlineLevel="0" collapsed="false">
      <c r="A557" s="4"/>
      <c r="B557" s="2"/>
      <c r="C557" s="3"/>
    </row>
    <row r="558" customFormat="false" ht="15" hidden="false" customHeight="false" outlineLevel="0" collapsed="false">
      <c r="A558" s="4"/>
      <c r="B558" s="2"/>
      <c r="C558" s="3"/>
    </row>
    <row r="559" customFormat="false" ht="15" hidden="false" customHeight="false" outlineLevel="0" collapsed="false">
      <c r="A559" s="4"/>
      <c r="B559" s="2"/>
      <c r="C559" s="3"/>
    </row>
    <row r="560" customFormat="false" ht="15" hidden="false" customHeight="false" outlineLevel="0" collapsed="false">
      <c r="A560" s="4"/>
      <c r="B560" s="2"/>
      <c r="C560" s="3"/>
    </row>
    <row r="561" customFormat="false" ht="15" hidden="false" customHeight="false" outlineLevel="0" collapsed="false">
      <c r="A561" s="4"/>
      <c r="B561" s="2"/>
      <c r="C561" s="3"/>
    </row>
    <row r="562" customFormat="false" ht="15" hidden="false" customHeight="false" outlineLevel="0" collapsed="false">
      <c r="A562" s="4"/>
      <c r="B562" s="2"/>
      <c r="C562" s="3"/>
    </row>
    <row r="563" customFormat="false" ht="15" hidden="false" customHeight="false" outlineLevel="0" collapsed="false">
      <c r="A563" s="4"/>
      <c r="B563" s="2"/>
      <c r="C563" s="3"/>
    </row>
    <row r="564" customFormat="false" ht="15" hidden="false" customHeight="false" outlineLevel="0" collapsed="false">
      <c r="A564" s="4"/>
      <c r="B564" s="2"/>
      <c r="C564" s="3"/>
    </row>
    <row r="565" customFormat="false" ht="15" hidden="false" customHeight="false" outlineLevel="0" collapsed="false">
      <c r="A565" s="4"/>
      <c r="B565" s="2"/>
      <c r="C565" s="3"/>
    </row>
    <row r="566" customFormat="false" ht="15" hidden="false" customHeight="false" outlineLevel="0" collapsed="false">
      <c r="A566" s="4"/>
      <c r="B566" s="2"/>
      <c r="C566" s="3"/>
    </row>
    <row r="567" customFormat="false" ht="15" hidden="false" customHeight="false" outlineLevel="0" collapsed="false">
      <c r="A567" s="4"/>
      <c r="B567" s="2"/>
      <c r="C567" s="3"/>
    </row>
    <row r="568" customFormat="false" ht="15" hidden="false" customHeight="false" outlineLevel="0" collapsed="false">
      <c r="A568" s="4"/>
      <c r="B568" s="2"/>
      <c r="C568" s="3"/>
    </row>
    <row r="569" customFormat="false" ht="15" hidden="false" customHeight="false" outlineLevel="0" collapsed="false">
      <c r="A569" s="4"/>
      <c r="B569" s="2"/>
      <c r="C569" s="3"/>
    </row>
    <row r="570" customFormat="false" ht="15" hidden="false" customHeight="false" outlineLevel="0" collapsed="false">
      <c r="A570" s="4"/>
      <c r="B570" s="2"/>
      <c r="C570" s="3"/>
    </row>
    <row r="571" customFormat="false" ht="15" hidden="false" customHeight="false" outlineLevel="0" collapsed="false">
      <c r="A571" s="4"/>
      <c r="B571" s="2"/>
      <c r="C571" s="3"/>
    </row>
    <row r="572" customFormat="false" ht="15" hidden="false" customHeight="false" outlineLevel="0" collapsed="false">
      <c r="A572" s="4"/>
      <c r="B572" s="2"/>
      <c r="C572" s="3"/>
    </row>
    <row r="573" customFormat="false" ht="15" hidden="false" customHeight="false" outlineLevel="0" collapsed="false">
      <c r="A573" s="4"/>
      <c r="B573" s="2"/>
      <c r="C573" s="3"/>
    </row>
    <row r="574" customFormat="false" ht="15" hidden="false" customHeight="false" outlineLevel="0" collapsed="false">
      <c r="A574" s="4"/>
      <c r="B574" s="2"/>
      <c r="C574" s="3"/>
    </row>
    <row r="575" customFormat="false" ht="15" hidden="false" customHeight="false" outlineLevel="0" collapsed="false">
      <c r="A575" s="4"/>
      <c r="B575" s="2"/>
      <c r="C575" s="3"/>
    </row>
    <row r="576" customFormat="false" ht="15" hidden="false" customHeight="false" outlineLevel="0" collapsed="false">
      <c r="A576" s="4"/>
      <c r="B576" s="2"/>
      <c r="C576" s="3"/>
    </row>
    <row r="577" customFormat="false" ht="15" hidden="false" customHeight="false" outlineLevel="0" collapsed="false">
      <c r="A577" s="4"/>
      <c r="B577" s="2"/>
      <c r="C577" s="3"/>
    </row>
    <row r="578" customFormat="false" ht="15" hidden="false" customHeight="false" outlineLevel="0" collapsed="false">
      <c r="A578" s="4"/>
      <c r="B578" s="2"/>
      <c r="C578" s="3"/>
    </row>
    <row r="579" customFormat="false" ht="15" hidden="false" customHeight="false" outlineLevel="0" collapsed="false">
      <c r="A579" s="4"/>
      <c r="B579" s="2"/>
      <c r="C579" s="3"/>
    </row>
    <row r="580" customFormat="false" ht="15" hidden="false" customHeight="false" outlineLevel="0" collapsed="false">
      <c r="A580" s="4"/>
      <c r="B580" s="2"/>
      <c r="C580" s="3"/>
    </row>
    <row r="581" customFormat="false" ht="15" hidden="false" customHeight="false" outlineLevel="0" collapsed="false">
      <c r="A581" s="4"/>
      <c r="B581" s="2"/>
      <c r="C581" s="3"/>
    </row>
    <row r="582" customFormat="false" ht="15" hidden="false" customHeight="false" outlineLevel="0" collapsed="false">
      <c r="A582" s="4"/>
      <c r="B582" s="2"/>
      <c r="C582" s="3"/>
    </row>
    <row r="583" customFormat="false" ht="15" hidden="false" customHeight="false" outlineLevel="0" collapsed="false">
      <c r="A583" s="4"/>
      <c r="B583" s="2"/>
      <c r="C583" s="3"/>
    </row>
    <row r="584" customFormat="false" ht="15" hidden="false" customHeight="false" outlineLevel="0" collapsed="false">
      <c r="A584" s="4"/>
      <c r="B584" s="2"/>
      <c r="C584" s="3"/>
    </row>
    <row r="585" customFormat="false" ht="15" hidden="false" customHeight="false" outlineLevel="0" collapsed="false">
      <c r="A585" s="4"/>
      <c r="B585" s="2"/>
      <c r="C585" s="3"/>
    </row>
    <row r="586" customFormat="false" ht="15" hidden="false" customHeight="false" outlineLevel="0" collapsed="false">
      <c r="A586" s="4"/>
      <c r="B586" s="2"/>
      <c r="C586" s="3"/>
    </row>
    <row r="587" customFormat="false" ht="15" hidden="false" customHeight="false" outlineLevel="0" collapsed="false">
      <c r="A587" s="4"/>
      <c r="B587" s="2"/>
      <c r="C587" s="3"/>
    </row>
    <row r="588" customFormat="false" ht="15" hidden="false" customHeight="false" outlineLevel="0" collapsed="false">
      <c r="A588" s="4"/>
      <c r="B588" s="2"/>
      <c r="C588" s="3"/>
    </row>
    <row r="589" customFormat="false" ht="15" hidden="false" customHeight="false" outlineLevel="0" collapsed="false">
      <c r="A589" s="4"/>
      <c r="B589" s="2"/>
      <c r="C589" s="3"/>
    </row>
    <row r="590" customFormat="false" ht="15" hidden="false" customHeight="false" outlineLevel="0" collapsed="false">
      <c r="A590" s="4"/>
      <c r="B590" s="2"/>
      <c r="C590" s="3"/>
    </row>
    <row r="591" customFormat="false" ht="15" hidden="false" customHeight="false" outlineLevel="0" collapsed="false">
      <c r="A591" s="4"/>
      <c r="B591" s="2"/>
      <c r="C591" s="3"/>
    </row>
    <row r="592" customFormat="false" ht="15" hidden="false" customHeight="false" outlineLevel="0" collapsed="false">
      <c r="A592" s="4"/>
      <c r="B592" s="2"/>
      <c r="C592" s="3"/>
    </row>
    <row r="593" customFormat="false" ht="15" hidden="false" customHeight="false" outlineLevel="0" collapsed="false">
      <c r="A593" s="4"/>
      <c r="B593" s="2"/>
      <c r="C593" s="3"/>
    </row>
    <row r="594" customFormat="false" ht="15" hidden="false" customHeight="false" outlineLevel="0" collapsed="false">
      <c r="A594" s="4"/>
      <c r="B594" s="2"/>
      <c r="C594" s="3"/>
    </row>
    <row r="595" customFormat="false" ht="15" hidden="false" customHeight="false" outlineLevel="0" collapsed="false">
      <c r="A595" s="4"/>
      <c r="B595" s="2"/>
      <c r="C595" s="3"/>
    </row>
    <row r="596" customFormat="false" ht="15" hidden="false" customHeight="false" outlineLevel="0" collapsed="false">
      <c r="A596" s="4"/>
      <c r="B596" s="2"/>
      <c r="C596" s="3"/>
    </row>
    <row r="597" customFormat="false" ht="15" hidden="false" customHeight="false" outlineLevel="0" collapsed="false">
      <c r="A597" s="4"/>
      <c r="B597" s="2"/>
      <c r="C597" s="3"/>
    </row>
    <row r="598" customFormat="false" ht="15" hidden="false" customHeight="false" outlineLevel="0" collapsed="false">
      <c r="A598" s="4"/>
      <c r="B598" s="2"/>
      <c r="C598" s="3"/>
    </row>
    <row r="599" customFormat="false" ht="15" hidden="false" customHeight="false" outlineLevel="0" collapsed="false">
      <c r="A599" s="4"/>
      <c r="B599" s="2"/>
      <c r="C599" s="3"/>
    </row>
    <row r="600" customFormat="false" ht="15" hidden="false" customHeight="false" outlineLevel="0" collapsed="false">
      <c r="A600" s="4"/>
      <c r="B600" s="2"/>
      <c r="C600" s="3"/>
    </row>
    <row r="601" customFormat="false" ht="15" hidden="false" customHeight="false" outlineLevel="0" collapsed="false">
      <c r="A601" s="4"/>
      <c r="B601" s="2"/>
      <c r="C601" s="3"/>
    </row>
    <row r="602" customFormat="false" ht="15" hidden="false" customHeight="false" outlineLevel="0" collapsed="false">
      <c r="A602" s="4"/>
      <c r="B602" s="2"/>
      <c r="C602" s="3"/>
    </row>
    <row r="603" customFormat="false" ht="15" hidden="false" customHeight="false" outlineLevel="0" collapsed="false">
      <c r="A603" s="4"/>
      <c r="B603" s="2"/>
      <c r="C603" s="3"/>
    </row>
    <row r="604" customFormat="false" ht="15" hidden="false" customHeight="false" outlineLevel="0" collapsed="false">
      <c r="A604" s="4"/>
      <c r="B604" s="2"/>
      <c r="C604" s="3"/>
    </row>
    <row r="605" customFormat="false" ht="15" hidden="false" customHeight="false" outlineLevel="0" collapsed="false">
      <c r="A605" s="4"/>
      <c r="B605" s="2"/>
      <c r="C605" s="3"/>
    </row>
    <row r="606" customFormat="false" ht="15" hidden="false" customHeight="false" outlineLevel="0" collapsed="false">
      <c r="A606" s="4"/>
      <c r="B606" s="2"/>
      <c r="C606" s="3"/>
    </row>
    <row r="607" customFormat="false" ht="15" hidden="false" customHeight="false" outlineLevel="0" collapsed="false">
      <c r="A607" s="4"/>
      <c r="B607" s="2"/>
      <c r="C607" s="3"/>
    </row>
    <row r="608" customFormat="false" ht="15" hidden="false" customHeight="false" outlineLevel="0" collapsed="false">
      <c r="A608" s="4"/>
      <c r="B608" s="2"/>
      <c r="C608" s="3"/>
    </row>
    <row r="609" customFormat="false" ht="15" hidden="false" customHeight="false" outlineLevel="0" collapsed="false">
      <c r="A609" s="4"/>
      <c r="B609" s="2"/>
      <c r="C609" s="3"/>
    </row>
    <row r="610" customFormat="false" ht="15" hidden="false" customHeight="false" outlineLevel="0" collapsed="false">
      <c r="A610" s="4"/>
      <c r="B610" s="2"/>
      <c r="C610" s="3"/>
    </row>
    <row r="611" customFormat="false" ht="15" hidden="false" customHeight="false" outlineLevel="0" collapsed="false">
      <c r="A611" s="4"/>
      <c r="B611" s="2"/>
      <c r="C611" s="3"/>
    </row>
    <row r="612" customFormat="false" ht="15" hidden="false" customHeight="false" outlineLevel="0" collapsed="false">
      <c r="A612" s="4"/>
      <c r="B612" s="2"/>
      <c r="C612" s="3"/>
    </row>
    <row r="613" customFormat="false" ht="15" hidden="false" customHeight="false" outlineLevel="0" collapsed="false">
      <c r="A613" s="4"/>
      <c r="B613" s="2"/>
      <c r="C613" s="3"/>
    </row>
    <row r="614" customFormat="false" ht="15" hidden="false" customHeight="false" outlineLevel="0" collapsed="false">
      <c r="A614" s="4"/>
      <c r="B614" s="2"/>
      <c r="C614" s="3"/>
    </row>
    <row r="615" customFormat="false" ht="15" hidden="false" customHeight="false" outlineLevel="0" collapsed="false">
      <c r="A615" s="4"/>
      <c r="B615" s="2"/>
      <c r="C615" s="3"/>
    </row>
    <row r="616" customFormat="false" ht="15" hidden="false" customHeight="false" outlineLevel="0" collapsed="false">
      <c r="A616" s="4"/>
      <c r="B616" s="2"/>
      <c r="C616" s="3"/>
    </row>
    <row r="617" customFormat="false" ht="15" hidden="false" customHeight="false" outlineLevel="0" collapsed="false">
      <c r="A617" s="4"/>
      <c r="B617" s="2"/>
      <c r="C617" s="3"/>
    </row>
    <row r="618" customFormat="false" ht="15" hidden="false" customHeight="false" outlineLevel="0" collapsed="false">
      <c r="A618" s="4"/>
      <c r="B618" s="2"/>
      <c r="C618" s="3"/>
    </row>
    <row r="619" customFormat="false" ht="15" hidden="false" customHeight="false" outlineLevel="0" collapsed="false">
      <c r="A619" s="4"/>
      <c r="B619" s="2"/>
      <c r="C619" s="3"/>
    </row>
    <row r="620" customFormat="false" ht="15" hidden="false" customHeight="false" outlineLevel="0" collapsed="false">
      <c r="A620" s="4"/>
      <c r="B620" s="2"/>
      <c r="C620" s="3"/>
    </row>
    <row r="621" customFormat="false" ht="15" hidden="false" customHeight="false" outlineLevel="0" collapsed="false">
      <c r="A621" s="4"/>
      <c r="B621" s="2"/>
      <c r="C621" s="3"/>
    </row>
    <row r="622" customFormat="false" ht="15" hidden="false" customHeight="false" outlineLevel="0" collapsed="false">
      <c r="A622" s="4"/>
      <c r="B622" s="2"/>
      <c r="C622" s="3"/>
    </row>
    <row r="623" customFormat="false" ht="15" hidden="false" customHeight="false" outlineLevel="0" collapsed="false">
      <c r="A623" s="4"/>
      <c r="B623" s="2"/>
      <c r="C623" s="3"/>
    </row>
    <row r="624" customFormat="false" ht="15" hidden="false" customHeight="false" outlineLevel="0" collapsed="false">
      <c r="A624" s="4"/>
      <c r="B624" s="2"/>
      <c r="C624" s="3"/>
    </row>
    <row r="625" customFormat="false" ht="15" hidden="false" customHeight="false" outlineLevel="0" collapsed="false">
      <c r="A625" s="4"/>
      <c r="B625" s="2"/>
      <c r="C625" s="3"/>
    </row>
    <row r="626" customFormat="false" ht="15" hidden="false" customHeight="false" outlineLevel="0" collapsed="false">
      <c r="A626" s="4"/>
      <c r="B626" s="2"/>
      <c r="C626" s="3"/>
    </row>
    <row r="627" customFormat="false" ht="15" hidden="false" customHeight="false" outlineLevel="0" collapsed="false">
      <c r="A627" s="4"/>
      <c r="B627" s="2"/>
      <c r="C627" s="3"/>
    </row>
    <row r="628" customFormat="false" ht="15" hidden="false" customHeight="false" outlineLevel="0" collapsed="false">
      <c r="A628" s="4"/>
      <c r="B628" s="2"/>
      <c r="C628" s="3"/>
    </row>
    <row r="629" customFormat="false" ht="15" hidden="false" customHeight="false" outlineLevel="0" collapsed="false">
      <c r="A629" s="4"/>
      <c r="B629" s="2"/>
      <c r="C629" s="3"/>
    </row>
    <row r="630" customFormat="false" ht="15" hidden="false" customHeight="false" outlineLevel="0" collapsed="false">
      <c r="A630" s="4"/>
      <c r="B630" s="2"/>
      <c r="C630" s="3"/>
    </row>
    <row r="631" customFormat="false" ht="15" hidden="false" customHeight="false" outlineLevel="0" collapsed="false">
      <c r="A631" s="4"/>
      <c r="B631" s="2"/>
      <c r="C631" s="3"/>
    </row>
    <row r="632" customFormat="false" ht="15" hidden="false" customHeight="false" outlineLevel="0" collapsed="false">
      <c r="A632" s="4"/>
      <c r="B632" s="2"/>
      <c r="C632" s="3"/>
    </row>
    <row r="633" customFormat="false" ht="15" hidden="false" customHeight="false" outlineLevel="0" collapsed="false">
      <c r="A633" s="4"/>
      <c r="B633" s="2"/>
      <c r="C633" s="3"/>
    </row>
    <row r="634" customFormat="false" ht="15" hidden="false" customHeight="false" outlineLevel="0" collapsed="false">
      <c r="A634" s="4"/>
      <c r="B634" s="2"/>
      <c r="C634" s="3"/>
    </row>
    <row r="635" customFormat="false" ht="15" hidden="false" customHeight="false" outlineLevel="0" collapsed="false">
      <c r="A635" s="4"/>
      <c r="B635" s="2"/>
      <c r="C635" s="3"/>
    </row>
    <row r="636" customFormat="false" ht="15" hidden="false" customHeight="false" outlineLevel="0" collapsed="false">
      <c r="A636" s="4"/>
      <c r="B636" s="2"/>
      <c r="C636" s="3"/>
    </row>
    <row r="637" customFormat="false" ht="15" hidden="false" customHeight="false" outlineLevel="0" collapsed="false">
      <c r="A637" s="4"/>
      <c r="B637" s="2"/>
      <c r="C637" s="3"/>
    </row>
    <row r="638" customFormat="false" ht="15" hidden="false" customHeight="false" outlineLevel="0" collapsed="false">
      <c r="A638" s="4"/>
      <c r="B638" s="2"/>
      <c r="C638" s="3"/>
    </row>
    <row r="639" customFormat="false" ht="15" hidden="false" customHeight="false" outlineLevel="0" collapsed="false">
      <c r="A639" s="4"/>
      <c r="B639" s="2"/>
      <c r="C639" s="3"/>
    </row>
    <row r="640" customFormat="false" ht="15" hidden="false" customHeight="false" outlineLevel="0" collapsed="false">
      <c r="A640" s="4"/>
      <c r="B640" s="2"/>
      <c r="C640" s="3"/>
    </row>
    <row r="641" customFormat="false" ht="15" hidden="false" customHeight="false" outlineLevel="0" collapsed="false">
      <c r="A641" s="4"/>
      <c r="B641" s="2"/>
      <c r="C641" s="3"/>
    </row>
    <row r="642" customFormat="false" ht="15" hidden="false" customHeight="false" outlineLevel="0" collapsed="false">
      <c r="A642" s="4"/>
      <c r="B642" s="2"/>
      <c r="C642" s="3"/>
    </row>
    <row r="643" customFormat="false" ht="15" hidden="false" customHeight="false" outlineLevel="0" collapsed="false">
      <c r="A643" s="4"/>
      <c r="B643" s="2"/>
      <c r="C643" s="3"/>
    </row>
    <row r="644" customFormat="false" ht="15" hidden="false" customHeight="false" outlineLevel="0" collapsed="false">
      <c r="A644" s="4"/>
      <c r="B644" s="2"/>
      <c r="C644" s="3"/>
    </row>
    <row r="645" customFormat="false" ht="15" hidden="false" customHeight="false" outlineLevel="0" collapsed="false">
      <c r="A645" s="4"/>
      <c r="B645" s="2"/>
      <c r="C645" s="3"/>
    </row>
    <row r="646" customFormat="false" ht="15" hidden="false" customHeight="false" outlineLevel="0" collapsed="false">
      <c r="A646" s="4"/>
      <c r="B646" s="2"/>
      <c r="C646" s="3"/>
    </row>
    <row r="647" customFormat="false" ht="15" hidden="false" customHeight="false" outlineLevel="0" collapsed="false">
      <c r="A647" s="4"/>
      <c r="B647" s="2"/>
      <c r="C647" s="3"/>
    </row>
    <row r="648" customFormat="false" ht="15" hidden="false" customHeight="false" outlineLevel="0" collapsed="false">
      <c r="A648" s="4"/>
      <c r="B648" s="2"/>
      <c r="C648" s="3"/>
    </row>
    <row r="649" customFormat="false" ht="15" hidden="false" customHeight="false" outlineLevel="0" collapsed="false">
      <c r="A649" s="4"/>
      <c r="B649" s="2"/>
      <c r="C649" s="3"/>
    </row>
    <row r="650" customFormat="false" ht="15" hidden="false" customHeight="false" outlineLevel="0" collapsed="false">
      <c r="A650" s="4"/>
      <c r="B650" s="2"/>
      <c r="C650" s="3"/>
    </row>
    <row r="651" customFormat="false" ht="15" hidden="false" customHeight="false" outlineLevel="0" collapsed="false">
      <c r="A651" s="4"/>
      <c r="B651" s="2"/>
      <c r="C651" s="3"/>
    </row>
    <row r="652" customFormat="false" ht="15" hidden="false" customHeight="false" outlineLevel="0" collapsed="false">
      <c r="A652" s="4"/>
      <c r="B652" s="2"/>
      <c r="C652" s="3"/>
    </row>
    <row r="653" customFormat="false" ht="15" hidden="false" customHeight="false" outlineLevel="0" collapsed="false">
      <c r="A653" s="4"/>
      <c r="B653" s="2"/>
      <c r="C653" s="3"/>
    </row>
    <row r="654" customFormat="false" ht="15" hidden="false" customHeight="false" outlineLevel="0" collapsed="false">
      <c r="A654" s="4"/>
      <c r="B654" s="2"/>
      <c r="C654" s="3"/>
    </row>
    <row r="655" customFormat="false" ht="15" hidden="false" customHeight="false" outlineLevel="0" collapsed="false">
      <c r="A655" s="4"/>
      <c r="B655" s="2"/>
      <c r="C655" s="3"/>
    </row>
    <row r="656" customFormat="false" ht="15" hidden="false" customHeight="false" outlineLevel="0" collapsed="false">
      <c r="A656" s="4"/>
      <c r="B656" s="2"/>
      <c r="C656" s="3"/>
    </row>
    <row r="657" customFormat="false" ht="15" hidden="false" customHeight="false" outlineLevel="0" collapsed="false">
      <c r="A657" s="4"/>
      <c r="B657" s="2"/>
      <c r="C657" s="3"/>
    </row>
    <row r="658" customFormat="false" ht="15" hidden="false" customHeight="false" outlineLevel="0" collapsed="false">
      <c r="A658" s="4"/>
      <c r="B658" s="2"/>
      <c r="C658" s="3"/>
    </row>
    <row r="659" customFormat="false" ht="15" hidden="false" customHeight="false" outlineLevel="0" collapsed="false">
      <c r="A659" s="4"/>
      <c r="B659" s="2"/>
      <c r="C659" s="3"/>
    </row>
    <row r="660" customFormat="false" ht="15" hidden="false" customHeight="false" outlineLevel="0" collapsed="false">
      <c r="A660" s="4"/>
      <c r="B660" s="2"/>
      <c r="C660" s="3"/>
    </row>
    <row r="661" customFormat="false" ht="15" hidden="false" customHeight="false" outlineLevel="0" collapsed="false">
      <c r="A661" s="4"/>
      <c r="B661" s="2"/>
      <c r="C661" s="3"/>
    </row>
    <row r="662" customFormat="false" ht="15" hidden="false" customHeight="false" outlineLevel="0" collapsed="false">
      <c r="A662" s="4"/>
      <c r="B662" s="2"/>
      <c r="C662" s="3"/>
    </row>
    <row r="663" customFormat="false" ht="15" hidden="false" customHeight="false" outlineLevel="0" collapsed="false">
      <c r="A663" s="4"/>
      <c r="B663" s="2"/>
      <c r="C663" s="3"/>
    </row>
    <row r="664" customFormat="false" ht="15" hidden="false" customHeight="false" outlineLevel="0" collapsed="false">
      <c r="A664" s="4"/>
      <c r="B664" s="2"/>
      <c r="C664" s="3"/>
    </row>
    <row r="665" customFormat="false" ht="15" hidden="false" customHeight="false" outlineLevel="0" collapsed="false">
      <c r="A665" s="4"/>
      <c r="B665" s="2"/>
      <c r="C665" s="3"/>
    </row>
    <row r="666" customFormat="false" ht="15" hidden="false" customHeight="false" outlineLevel="0" collapsed="false">
      <c r="A666" s="4"/>
      <c r="B666" s="2"/>
      <c r="C666" s="3"/>
    </row>
    <row r="667" customFormat="false" ht="15" hidden="false" customHeight="false" outlineLevel="0" collapsed="false">
      <c r="A667" s="4"/>
      <c r="B667" s="2"/>
      <c r="C667" s="3"/>
    </row>
    <row r="668" customFormat="false" ht="15" hidden="false" customHeight="false" outlineLevel="0" collapsed="false">
      <c r="A668" s="4"/>
      <c r="B668" s="2"/>
      <c r="C668" s="3"/>
    </row>
    <row r="669" customFormat="false" ht="15" hidden="false" customHeight="false" outlineLevel="0" collapsed="false">
      <c r="A669" s="4"/>
      <c r="B669" s="2"/>
      <c r="C669" s="3"/>
    </row>
    <row r="670" customFormat="false" ht="15" hidden="false" customHeight="false" outlineLevel="0" collapsed="false">
      <c r="A670" s="4"/>
      <c r="B670" s="2"/>
      <c r="C670" s="3"/>
    </row>
    <row r="671" customFormat="false" ht="15" hidden="false" customHeight="false" outlineLevel="0" collapsed="false">
      <c r="A671" s="4"/>
      <c r="B671" s="2"/>
      <c r="C671" s="3"/>
    </row>
    <row r="672" customFormat="false" ht="15" hidden="false" customHeight="false" outlineLevel="0" collapsed="false">
      <c r="A672" s="4"/>
      <c r="B672" s="2"/>
      <c r="C672" s="3"/>
    </row>
    <row r="673" customFormat="false" ht="15" hidden="false" customHeight="false" outlineLevel="0" collapsed="false">
      <c r="A673" s="4"/>
      <c r="B673" s="2"/>
      <c r="C673" s="3"/>
    </row>
    <row r="674" customFormat="false" ht="15" hidden="false" customHeight="false" outlineLevel="0" collapsed="false">
      <c r="A674" s="4"/>
      <c r="B674" s="2"/>
      <c r="C674" s="3"/>
    </row>
    <row r="675" customFormat="false" ht="15" hidden="false" customHeight="false" outlineLevel="0" collapsed="false">
      <c r="A675" s="4"/>
      <c r="B675" s="2"/>
      <c r="C675" s="3"/>
    </row>
    <row r="676" customFormat="false" ht="15" hidden="false" customHeight="false" outlineLevel="0" collapsed="false">
      <c r="A676" s="4"/>
      <c r="B676" s="2"/>
      <c r="C676" s="3"/>
    </row>
    <row r="677" customFormat="false" ht="15" hidden="false" customHeight="false" outlineLevel="0" collapsed="false">
      <c r="A677" s="4"/>
      <c r="B677" s="2"/>
      <c r="C677" s="3"/>
    </row>
    <row r="678" customFormat="false" ht="15" hidden="false" customHeight="false" outlineLevel="0" collapsed="false">
      <c r="A678" s="4"/>
      <c r="B678" s="2"/>
      <c r="C678" s="3"/>
    </row>
    <row r="679" customFormat="false" ht="15" hidden="false" customHeight="false" outlineLevel="0" collapsed="false">
      <c r="A679" s="4"/>
      <c r="B679" s="2"/>
      <c r="C679" s="3"/>
    </row>
    <row r="680" customFormat="false" ht="15" hidden="false" customHeight="false" outlineLevel="0" collapsed="false">
      <c r="A680" s="4"/>
      <c r="B680" s="2"/>
      <c r="C680" s="3"/>
    </row>
    <row r="681" customFormat="false" ht="15" hidden="false" customHeight="false" outlineLevel="0" collapsed="false">
      <c r="A681" s="4"/>
      <c r="B681" s="2"/>
      <c r="C681" s="3"/>
    </row>
    <row r="682" customFormat="false" ht="15" hidden="false" customHeight="false" outlineLevel="0" collapsed="false">
      <c r="A682" s="4"/>
      <c r="B682" s="2"/>
      <c r="C682" s="3"/>
    </row>
    <row r="683" customFormat="false" ht="15" hidden="false" customHeight="false" outlineLevel="0" collapsed="false">
      <c r="A683" s="4"/>
      <c r="B683" s="2"/>
      <c r="C683" s="3"/>
    </row>
    <row r="684" customFormat="false" ht="15" hidden="false" customHeight="false" outlineLevel="0" collapsed="false">
      <c r="A684" s="4"/>
      <c r="B684" s="2"/>
      <c r="C684" s="3"/>
    </row>
    <row r="685" customFormat="false" ht="15" hidden="false" customHeight="false" outlineLevel="0" collapsed="false">
      <c r="A685" s="4"/>
      <c r="B685" s="2"/>
      <c r="C685" s="3"/>
    </row>
    <row r="686" customFormat="false" ht="15" hidden="false" customHeight="false" outlineLevel="0" collapsed="false">
      <c r="A686" s="4"/>
      <c r="B686" s="2"/>
      <c r="C686" s="3"/>
    </row>
    <row r="687" customFormat="false" ht="15" hidden="false" customHeight="false" outlineLevel="0" collapsed="false">
      <c r="A687" s="4"/>
      <c r="B687" s="2"/>
      <c r="C687" s="3"/>
    </row>
    <row r="688" customFormat="false" ht="15" hidden="false" customHeight="false" outlineLevel="0" collapsed="false">
      <c r="A688" s="4"/>
      <c r="B688" s="2"/>
      <c r="C688" s="3"/>
    </row>
    <row r="689" customFormat="false" ht="15" hidden="false" customHeight="false" outlineLevel="0" collapsed="false">
      <c r="A689" s="4"/>
      <c r="B689" s="2"/>
      <c r="C689" s="3"/>
    </row>
    <row r="690" customFormat="false" ht="15" hidden="false" customHeight="false" outlineLevel="0" collapsed="false">
      <c r="A690" s="4"/>
      <c r="B690" s="2"/>
      <c r="C690" s="3"/>
    </row>
    <row r="691" customFormat="false" ht="15" hidden="false" customHeight="false" outlineLevel="0" collapsed="false">
      <c r="A691" s="4"/>
      <c r="B691" s="2"/>
      <c r="C691" s="3"/>
    </row>
    <row r="692" customFormat="false" ht="15" hidden="false" customHeight="false" outlineLevel="0" collapsed="false">
      <c r="A692" s="4"/>
      <c r="B692" s="2"/>
      <c r="C692" s="3"/>
    </row>
    <row r="693" customFormat="false" ht="15" hidden="false" customHeight="false" outlineLevel="0" collapsed="false">
      <c r="A693" s="4"/>
      <c r="B693" s="2"/>
      <c r="C693" s="3"/>
    </row>
    <row r="694" customFormat="false" ht="15" hidden="false" customHeight="false" outlineLevel="0" collapsed="false">
      <c r="A694" s="4"/>
      <c r="B694" s="2"/>
      <c r="C694" s="3"/>
    </row>
    <row r="695" customFormat="false" ht="15" hidden="false" customHeight="false" outlineLevel="0" collapsed="false">
      <c r="A695" s="4"/>
      <c r="B695" s="2"/>
      <c r="C695" s="3"/>
    </row>
    <row r="696" customFormat="false" ht="15" hidden="false" customHeight="false" outlineLevel="0" collapsed="false">
      <c r="A696" s="4"/>
      <c r="B696" s="2"/>
      <c r="C696" s="3"/>
    </row>
    <row r="697" customFormat="false" ht="15" hidden="false" customHeight="false" outlineLevel="0" collapsed="false">
      <c r="A697" s="4"/>
      <c r="B697" s="2"/>
      <c r="C697" s="3"/>
    </row>
    <row r="698" customFormat="false" ht="15" hidden="false" customHeight="false" outlineLevel="0" collapsed="false">
      <c r="A698" s="4"/>
      <c r="B698" s="2"/>
      <c r="C698" s="3"/>
    </row>
    <row r="699" customFormat="false" ht="15" hidden="false" customHeight="false" outlineLevel="0" collapsed="false">
      <c r="A699" s="4"/>
      <c r="B699" s="2"/>
      <c r="C699" s="3"/>
    </row>
    <row r="700" customFormat="false" ht="15" hidden="false" customHeight="false" outlineLevel="0" collapsed="false">
      <c r="A700" s="4"/>
      <c r="B700" s="2"/>
      <c r="C700" s="3"/>
    </row>
    <row r="701" customFormat="false" ht="15" hidden="false" customHeight="false" outlineLevel="0" collapsed="false">
      <c r="A701" s="4"/>
      <c r="B701" s="2"/>
      <c r="C701" s="3"/>
    </row>
    <row r="702" customFormat="false" ht="15" hidden="false" customHeight="false" outlineLevel="0" collapsed="false">
      <c r="A702" s="4"/>
      <c r="B702" s="2"/>
      <c r="C702" s="3"/>
    </row>
    <row r="703" customFormat="false" ht="15" hidden="false" customHeight="false" outlineLevel="0" collapsed="false">
      <c r="A703" s="4"/>
      <c r="B703" s="2"/>
      <c r="C703" s="3"/>
    </row>
    <row r="704" customFormat="false" ht="15" hidden="false" customHeight="false" outlineLevel="0" collapsed="false">
      <c r="A704" s="4"/>
      <c r="B704" s="2"/>
      <c r="C704" s="3"/>
    </row>
    <row r="705" customFormat="false" ht="15" hidden="false" customHeight="false" outlineLevel="0" collapsed="false">
      <c r="A705" s="4"/>
      <c r="B705" s="2"/>
      <c r="C705" s="3"/>
    </row>
    <row r="706" customFormat="false" ht="15" hidden="false" customHeight="false" outlineLevel="0" collapsed="false">
      <c r="A706" s="4"/>
      <c r="B706" s="2"/>
      <c r="C706" s="3"/>
    </row>
    <row r="707" customFormat="false" ht="15" hidden="false" customHeight="false" outlineLevel="0" collapsed="false">
      <c r="A707" s="4"/>
      <c r="B707" s="2"/>
      <c r="C707" s="3"/>
    </row>
    <row r="708" customFormat="false" ht="15" hidden="false" customHeight="false" outlineLevel="0" collapsed="false">
      <c r="A708" s="4"/>
      <c r="B708" s="2"/>
      <c r="C708" s="3"/>
    </row>
    <row r="709" customFormat="false" ht="15" hidden="false" customHeight="false" outlineLevel="0" collapsed="false">
      <c r="A709" s="4"/>
      <c r="B709" s="2"/>
      <c r="C709" s="3"/>
    </row>
    <row r="710" customFormat="false" ht="15" hidden="false" customHeight="false" outlineLevel="0" collapsed="false">
      <c r="A710" s="4"/>
      <c r="B710" s="2"/>
      <c r="C710" s="3"/>
    </row>
    <row r="711" customFormat="false" ht="15" hidden="false" customHeight="false" outlineLevel="0" collapsed="false">
      <c r="A711" s="4"/>
      <c r="B711" s="2"/>
      <c r="C711" s="3"/>
    </row>
    <row r="712" customFormat="false" ht="15" hidden="false" customHeight="false" outlineLevel="0" collapsed="false">
      <c r="A712" s="4"/>
      <c r="B712" s="2"/>
      <c r="C712" s="3"/>
    </row>
    <row r="713" customFormat="false" ht="15" hidden="false" customHeight="false" outlineLevel="0" collapsed="false">
      <c r="A713" s="4"/>
      <c r="B713" s="2"/>
      <c r="C713" s="3"/>
    </row>
    <row r="714" customFormat="false" ht="15" hidden="false" customHeight="false" outlineLevel="0" collapsed="false">
      <c r="A714" s="4"/>
      <c r="B714" s="2"/>
      <c r="C714" s="3"/>
    </row>
    <row r="715" customFormat="false" ht="15" hidden="false" customHeight="false" outlineLevel="0" collapsed="false">
      <c r="A715" s="4"/>
      <c r="B715" s="2"/>
      <c r="C715" s="3"/>
    </row>
    <row r="716" customFormat="false" ht="15" hidden="false" customHeight="false" outlineLevel="0" collapsed="false">
      <c r="A716" s="4"/>
      <c r="B716" s="2"/>
      <c r="C716" s="3"/>
    </row>
    <row r="717" customFormat="false" ht="15" hidden="false" customHeight="false" outlineLevel="0" collapsed="false">
      <c r="A717" s="4"/>
      <c r="B717" s="2"/>
      <c r="C717" s="3"/>
    </row>
    <row r="718" customFormat="false" ht="15" hidden="false" customHeight="false" outlineLevel="0" collapsed="false">
      <c r="A718" s="4"/>
      <c r="B718" s="2"/>
      <c r="C718" s="3"/>
    </row>
    <row r="719" customFormat="false" ht="15" hidden="false" customHeight="false" outlineLevel="0" collapsed="false">
      <c r="A719" s="4"/>
      <c r="B719" s="2"/>
      <c r="C719" s="3"/>
    </row>
    <row r="720" customFormat="false" ht="15" hidden="false" customHeight="false" outlineLevel="0" collapsed="false">
      <c r="A720" s="4"/>
      <c r="B720" s="2"/>
      <c r="C720" s="3"/>
    </row>
    <row r="721" customFormat="false" ht="15" hidden="false" customHeight="false" outlineLevel="0" collapsed="false">
      <c r="A721" s="4"/>
      <c r="B721" s="2"/>
      <c r="C721" s="3"/>
    </row>
    <row r="722" customFormat="false" ht="15" hidden="false" customHeight="false" outlineLevel="0" collapsed="false">
      <c r="A722" s="4"/>
      <c r="B722" s="2"/>
      <c r="C722" s="3"/>
    </row>
    <row r="723" customFormat="false" ht="15" hidden="false" customHeight="false" outlineLevel="0" collapsed="false">
      <c r="A723" s="4"/>
      <c r="B723" s="2"/>
      <c r="C723" s="3"/>
    </row>
    <row r="724" customFormat="false" ht="15" hidden="false" customHeight="false" outlineLevel="0" collapsed="false">
      <c r="A724" s="4"/>
      <c r="B724" s="2"/>
      <c r="C724" s="3"/>
    </row>
    <row r="725" customFormat="false" ht="15" hidden="false" customHeight="false" outlineLevel="0" collapsed="false">
      <c r="A725" s="4"/>
      <c r="B725" s="2"/>
      <c r="C725" s="3"/>
    </row>
    <row r="726" customFormat="false" ht="15" hidden="false" customHeight="false" outlineLevel="0" collapsed="false">
      <c r="A726" s="4"/>
      <c r="B726" s="2"/>
      <c r="C726" s="3"/>
    </row>
    <row r="727" customFormat="false" ht="15" hidden="false" customHeight="false" outlineLevel="0" collapsed="false">
      <c r="A727" s="4"/>
      <c r="B727" s="2"/>
      <c r="C727" s="3"/>
    </row>
    <row r="728" customFormat="false" ht="15" hidden="false" customHeight="false" outlineLevel="0" collapsed="false">
      <c r="A728" s="4"/>
      <c r="B728" s="2"/>
      <c r="C728" s="3"/>
    </row>
    <row r="729" customFormat="false" ht="15" hidden="false" customHeight="false" outlineLevel="0" collapsed="false">
      <c r="A729" s="4"/>
      <c r="B729" s="2"/>
      <c r="C729" s="3"/>
    </row>
    <row r="730" customFormat="false" ht="15" hidden="false" customHeight="false" outlineLevel="0" collapsed="false">
      <c r="A730" s="4"/>
      <c r="B730" s="2"/>
      <c r="C730" s="3"/>
    </row>
    <row r="731" customFormat="false" ht="15" hidden="false" customHeight="false" outlineLevel="0" collapsed="false">
      <c r="A731" s="4"/>
      <c r="B731" s="2"/>
      <c r="C731" s="3"/>
    </row>
    <row r="732" customFormat="false" ht="15" hidden="false" customHeight="false" outlineLevel="0" collapsed="false">
      <c r="A732" s="4"/>
      <c r="B732" s="2"/>
      <c r="C732" s="3"/>
    </row>
    <row r="733" customFormat="false" ht="15" hidden="false" customHeight="false" outlineLevel="0" collapsed="false">
      <c r="A733" s="4"/>
      <c r="B733" s="2"/>
      <c r="C733" s="3"/>
    </row>
    <row r="734" customFormat="false" ht="15" hidden="false" customHeight="false" outlineLevel="0" collapsed="false">
      <c r="A734" s="4"/>
      <c r="B734" s="2"/>
      <c r="C734" s="3"/>
    </row>
    <row r="735" customFormat="false" ht="15" hidden="false" customHeight="false" outlineLevel="0" collapsed="false">
      <c r="A735" s="4"/>
      <c r="B735" s="2"/>
      <c r="C735" s="3"/>
    </row>
    <row r="736" customFormat="false" ht="15" hidden="false" customHeight="false" outlineLevel="0" collapsed="false">
      <c r="A736" s="4"/>
      <c r="B736" s="2"/>
      <c r="C736" s="3"/>
    </row>
    <row r="737" customFormat="false" ht="15" hidden="false" customHeight="false" outlineLevel="0" collapsed="false">
      <c r="A737" s="4"/>
      <c r="B737" s="2"/>
      <c r="C737" s="3"/>
    </row>
    <row r="738" customFormat="false" ht="15" hidden="false" customHeight="false" outlineLevel="0" collapsed="false">
      <c r="A738" s="4"/>
      <c r="B738" s="2"/>
      <c r="C738" s="3"/>
    </row>
    <row r="739" customFormat="false" ht="15" hidden="false" customHeight="false" outlineLevel="0" collapsed="false">
      <c r="A739" s="4"/>
      <c r="B739" s="2"/>
      <c r="C739" s="3"/>
    </row>
    <row r="740" customFormat="false" ht="15" hidden="false" customHeight="false" outlineLevel="0" collapsed="false">
      <c r="A740" s="4"/>
      <c r="B740" s="2"/>
      <c r="C740" s="3"/>
    </row>
    <row r="741" customFormat="false" ht="15" hidden="false" customHeight="false" outlineLevel="0" collapsed="false">
      <c r="A741" s="4"/>
      <c r="B741" s="2"/>
      <c r="C741" s="3"/>
    </row>
    <row r="742" customFormat="false" ht="15" hidden="false" customHeight="false" outlineLevel="0" collapsed="false">
      <c r="A742" s="4"/>
      <c r="B742" s="2"/>
      <c r="C742" s="3"/>
    </row>
    <row r="743" customFormat="false" ht="15" hidden="false" customHeight="false" outlineLevel="0" collapsed="false">
      <c r="A743" s="4"/>
      <c r="B743" s="2"/>
      <c r="C743" s="3"/>
    </row>
    <row r="744" customFormat="false" ht="15" hidden="false" customHeight="false" outlineLevel="0" collapsed="false">
      <c r="A744" s="4"/>
      <c r="B744" s="2"/>
      <c r="C744" s="3"/>
    </row>
    <row r="745" customFormat="false" ht="15" hidden="false" customHeight="false" outlineLevel="0" collapsed="false">
      <c r="A745" s="4"/>
      <c r="B745" s="2"/>
      <c r="C745" s="3"/>
    </row>
    <row r="746" customFormat="false" ht="15" hidden="false" customHeight="false" outlineLevel="0" collapsed="false">
      <c r="A746" s="4"/>
      <c r="B746" s="2"/>
      <c r="C746" s="3"/>
    </row>
    <row r="747" customFormat="false" ht="15" hidden="false" customHeight="false" outlineLevel="0" collapsed="false">
      <c r="A747" s="4"/>
      <c r="B747" s="2"/>
      <c r="C747" s="3"/>
    </row>
    <row r="748" customFormat="false" ht="15" hidden="false" customHeight="false" outlineLevel="0" collapsed="false">
      <c r="A748" s="4"/>
      <c r="B748" s="2"/>
      <c r="C748" s="3"/>
    </row>
    <row r="749" customFormat="false" ht="15" hidden="false" customHeight="false" outlineLevel="0" collapsed="false">
      <c r="A749" s="4"/>
      <c r="B749" s="2"/>
      <c r="C749" s="3"/>
    </row>
    <row r="750" customFormat="false" ht="15" hidden="false" customHeight="false" outlineLevel="0" collapsed="false">
      <c r="A750" s="4"/>
      <c r="B750" s="2"/>
      <c r="C750" s="3"/>
    </row>
    <row r="751" customFormat="false" ht="15" hidden="false" customHeight="false" outlineLevel="0" collapsed="false">
      <c r="A751" s="4"/>
      <c r="B751" s="2"/>
      <c r="C751" s="3"/>
    </row>
    <row r="752" customFormat="false" ht="15" hidden="false" customHeight="false" outlineLevel="0" collapsed="false">
      <c r="A752" s="4"/>
      <c r="B752" s="2"/>
      <c r="C752" s="3"/>
    </row>
    <row r="753" customFormat="false" ht="15" hidden="false" customHeight="false" outlineLevel="0" collapsed="false">
      <c r="A753" s="4"/>
      <c r="B753" s="2"/>
      <c r="C753" s="3"/>
    </row>
    <row r="754" customFormat="false" ht="15" hidden="false" customHeight="false" outlineLevel="0" collapsed="false">
      <c r="A754" s="4"/>
      <c r="B754" s="2"/>
      <c r="C754" s="3"/>
    </row>
    <row r="755" customFormat="false" ht="15" hidden="false" customHeight="false" outlineLevel="0" collapsed="false">
      <c r="A755" s="4"/>
      <c r="B755" s="2"/>
      <c r="C755" s="3"/>
    </row>
    <row r="756" customFormat="false" ht="15" hidden="false" customHeight="false" outlineLevel="0" collapsed="false">
      <c r="A756" s="4"/>
      <c r="B756" s="2"/>
      <c r="C756" s="3"/>
    </row>
    <row r="757" customFormat="false" ht="15" hidden="false" customHeight="false" outlineLevel="0" collapsed="false">
      <c r="A757" s="4"/>
      <c r="B757" s="2"/>
      <c r="C757" s="3"/>
    </row>
    <row r="758" customFormat="false" ht="15" hidden="false" customHeight="false" outlineLevel="0" collapsed="false">
      <c r="A758" s="4"/>
      <c r="B758" s="2"/>
      <c r="C758" s="3"/>
    </row>
    <row r="759" customFormat="false" ht="15" hidden="false" customHeight="false" outlineLevel="0" collapsed="false">
      <c r="A759" s="4"/>
      <c r="B759" s="2"/>
      <c r="C759" s="3"/>
    </row>
    <row r="760" customFormat="false" ht="15" hidden="false" customHeight="false" outlineLevel="0" collapsed="false">
      <c r="A760" s="4"/>
      <c r="B760" s="2"/>
      <c r="C760" s="3"/>
    </row>
    <row r="761" customFormat="false" ht="15" hidden="false" customHeight="false" outlineLevel="0" collapsed="false">
      <c r="A761" s="4"/>
      <c r="B761" s="2"/>
      <c r="C761" s="3"/>
    </row>
    <row r="762" customFormat="false" ht="15" hidden="false" customHeight="false" outlineLevel="0" collapsed="false">
      <c r="A762" s="4"/>
      <c r="B762" s="2"/>
      <c r="C762" s="3"/>
    </row>
    <row r="763" customFormat="false" ht="15" hidden="false" customHeight="false" outlineLevel="0" collapsed="false">
      <c r="A763" s="4"/>
      <c r="B763" s="2"/>
      <c r="C763" s="3"/>
    </row>
    <row r="764" customFormat="false" ht="15" hidden="false" customHeight="false" outlineLevel="0" collapsed="false">
      <c r="A764" s="4"/>
      <c r="B764" s="2"/>
      <c r="C764" s="3"/>
    </row>
    <row r="765" customFormat="false" ht="15" hidden="false" customHeight="false" outlineLevel="0" collapsed="false">
      <c r="A765" s="4"/>
      <c r="B765" s="2"/>
      <c r="C765" s="3"/>
    </row>
    <row r="766" customFormat="false" ht="15" hidden="false" customHeight="false" outlineLevel="0" collapsed="false">
      <c r="A766" s="4"/>
      <c r="B766" s="2"/>
      <c r="C766" s="3"/>
    </row>
    <row r="767" customFormat="false" ht="15" hidden="false" customHeight="false" outlineLevel="0" collapsed="false">
      <c r="A767" s="4"/>
      <c r="B767" s="2"/>
      <c r="C767" s="3"/>
    </row>
    <row r="768" customFormat="false" ht="15" hidden="false" customHeight="false" outlineLevel="0" collapsed="false">
      <c r="A768" s="4"/>
      <c r="B768" s="2"/>
      <c r="C768" s="3"/>
    </row>
    <row r="769" customFormat="false" ht="15" hidden="false" customHeight="false" outlineLevel="0" collapsed="false">
      <c r="A769" s="4"/>
      <c r="B769" s="2"/>
      <c r="C769" s="3"/>
    </row>
    <row r="770" customFormat="false" ht="15" hidden="false" customHeight="false" outlineLevel="0" collapsed="false">
      <c r="A770" s="4"/>
      <c r="B770" s="2"/>
      <c r="C770" s="3"/>
    </row>
    <row r="771" customFormat="false" ht="15" hidden="false" customHeight="false" outlineLevel="0" collapsed="false">
      <c r="A771" s="4"/>
      <c r="B771" s="2"/>
      <c r="C771" s="3"/>
    </row>
    <row r="772" customFormat="false" ht="15" hidden="false" customHeight="false" outlineLevel="0" collapsed="false">
      <c r="A772" s="4"/>
      <c r="B772" s="2"/>
      <c r="C772" s="3"/>
    </row>
    <row r="773" customFormat="false" ht="15" hidden="false" customHeight="false" outlineLevel="0" collapsed="false">
      <c r="A773" s="4"/>
      <c r="B773" s="2"/>
      <c r="C773" s="3"/>
    </row>
    <row r="774" customFormat="false" ht="15" hidden="false" customHeight="false" outlineLevel="0" collapsed="false">
      <c r="A774" s="4"/>
      <c r="B774" s="2"/>
      <c r="C774" s="3"/>
    </row>
    <row r="775" customFormat="false" ht="15" hidden="false" customHeight="false" outlineLevel="0" collapsed="false">
      <c r="A775" s="4"/>
      <c r="B775" s="2"/>
      <c r="C775" s="3"/>
    </row>
    <row r="776" customFormat="false" ht="15" hidden="false" customHeight="false" outlineLevel="0" collapsed="false">
      <c r="A776" s="4"/>
      <c r="B776" s="2"/>
      <c r="C776" s="3"/>
    </row>
    <row r="777" customFormat="false" ht="15" hidden="false" customHeight="false" outlineLevel="0" collapsed="false">
      <c r="A777" s="4"/>
      <c r="B777" s="2"/>
      <c r="C777" s="3"/>
    </row>
    <row r="778" customFormat="false" ht="15" hidden="false" customHeight="false" outlineLevel="0" collapsed="false">
      <c r="A778" s="4"/>
      <c r="B778" s="2"/>
      <c r="C778" s="3"/>
    </row>
    <row r="779" customFormat="false" ht="15" hidden="false" customHeight="false" outlineLevel="0" collapsed="false">
      <c r="A779" s="4"/>
      <c r="B779" s="2"/>
      <c r="C779" s="3"/>
    </row>
    <row r="780" customFormat="false" ht="15" hidden="false" customHeight="false" outlineLevel="0" collapsed="false">
      <c r="A780" s="4"/>
      <c r="B780" s="2"/>
      <c r="C780" s="3"/>
    </row>
    <row r="781" customFormat="false" ht="15" hidden="false" customHeight="false" outlineLevel="0" collapsed="false">
      <c r="A781" s="4"/>
      <c r="B781" s="2"/>
      <c r="C781" s="3"/>
    </row>
    <row r="782" customFormat="false" ht="15" hidden="false" customHeight="false" outlineLevel="0" collapsed="false">
      <c r="A782" s="4"/>
      <c r="B782" s="2"/>
      <c r="C782" s="3"/>
    </row>
    <row r="783" customFormat="false" ht="15" hidden="false" customHeight="false" outlineLevel="0" collapsed="false">
      <c r="A783" s="4"/>
      <c r="B783" s="2"/>
      <c r="C783" s="3"/>
    </row>
    <row r="784" customFormat="false" ht="15" hidden="false" customHeight="false" outlineLevel="0" collapsed="false">
      <c r="A784" s="4"/>
      <c r="B784" s="2"/>
      <c r="C784" s="3"/>
    </row>
    <row r="785" customFormat="false" ht="15" hidden="false" customHeight="false" outlineLevel="0" collapsed="false">
      <c r="A785" s="4"/>
      <c r="B785" s="2"/>
      <c r="C785" s="3"/>
    </row>
    <row r="786" customFormat="false" ht="15" hidden="false" customHeight="false" outlineLevel="0" collapsed="false">
      <c r="A786" s="4"/>
      <c r="B786" s="2"/>
      <c r="C786" s="3"/>
    </row>
    <row r="787" customFormat="false" ht="15" hidden="false" customHeight="false" outlineLevel="0" collapsed="false">
      <c r="A787" s="4"/>
      <c r="B787" s="2"/>
      <c r="C787" s="3"/>
    </row>
    <row r="788" customFormat="false" ht="15" hidden="false" customHeight="false" outlineLevel="0" collapsed="false">
      <c r="A788" s="4"/>
      <c r="B788" s="2"/>
      <c r="C788" s="3"/>
    </row>
    <row r="789" customFormat="false" ht="15" hidden="false" customHeight="false" outlineLevel="0" collapsed="false">
      <c r="A789" s="4"/>
      <c r="B789" s="2"/>
      <c r="C789" s="3"/>
    </row>
    <row r="790" customFormat="false" ht="15" hidden="false" customHeight="false" outlineLevel="0" collapsed="false">
      <c r="A790" s="4"/>
      <c r="B790" s="2"/>
      <c r="C790" s="3"/>
    </row>
    <row r="791" customFormat="false" ht="15" hidden="false" customHeight="false" outlineLevel="0" collapsed="false">
      <c r="A791" s="4"/>
      <c r="B791" s="2"/>
      <c r="C791" s="3"/>
    </row>
    <row r="792" customFormat="false" ht="15" hidden="false" customHeight="false" outlineLevel="0" collapsed="false">
      <c r="A792" s="4"/>
      <c r="B792" s="2"/>
      <c r="C792" s="3"/>
    </row>
    <row r="793" customFormat="false" ht="15" hidden="false" customHeight="false" outlineLevel="0" collapsed="false">
      <c r="A793" s="4"/>
      <c r="B793" s="2"/>
      <c r="C793" s="3"/>
    </row>
    <row r="794" customFormat="false" ht="15" hidden="false" customHeight="false" outlineLevel="0" collapsed="false">
      <c r="A794" s="4"/>
      <c r="B794" s="2"/>
      <c r="C794" s="3"/>
    </row>
    <row r="795" customFormat="false" ht="15" hidden="false" customHeight="false" outlineLevel="0" collapsed="false">
      <c r="A795" s="4"/>
      <c r="B795" s="2"/>
      <c r="C795" s="3"/>
    </row>
    <row r="796" customFormat="false" ht="15" hidden="false" customHeight="false" outlineLevel="0" collapsed="false">
      <c r="A796" s="4"/>
      <c r="B796" s="2"/>
      <c r="C796" s="3"/>
    </row>
    <row r="797" customFormat="false" ht="15" hidden="false" customHeight="false" outlineLevel="0" collapsed="false">
      <c r="A797" s="4"/>
      <c r="B797" s="2"/>
      <c r="C797" s="3"/>
    </row>
    <row r="798" customFormat="false" ht="15" hidden="false" customHeight="false" outlineLevel="0" collapsed="false">
      <c r="A798" s="4"/>
      <c r="B798" s="2"/>
      <c r="C798" s="3"/>
    </row>
    <row r="799" customFormat="false" ht="15" hidden="false" customHeight="false" outlineLevel="0" collapsed="false">
      <c r="A799" s="4"/>
      <c r="B799" s="2"/>
      <c r="C799" s="3"/>
    </row>
    <row r="800" customFormat="false" ht="15" hidden="false" customHeight="false" outlineLevel="0" collapsed="false">
      <c r="A800" s="4"/>
      <c r="B800" s="2"/>
      <c r="C800" s="3"/>
    </row>
    <row r="801" customFormat="false" ht="15" hidden="false" customHeight="false" outlineLevel="0" collapsed="false">
      <c r="A801" s="4"/>
      <c r="B801" s="2"/>
      <c r="C801" s="3"/>
    </row>
    <row r="802" customFormat="false" ht="15" hidden="false" customHeight="false" outlineLevel="0" collapsed="false">
      <c r="A802" s="4"/>
      <c r="B802" s="2"/>
      <c r="C802" s="3"/>
    </row>
    <row r="803" customFormat="false" ht="15" hidden="false" customHeight="false" outlineLevel="0" collapsed="false">
      <c r="A803" s="4"/>
      <c r="B803" s="2"/>
      <c r="C803" s="3"/>
    </row>
    <row r="804" customFormat="false" ht="15" hidden="false" customHeight="false" outlineLevel="0" collapsed="false">
      <c r="A804" s="4"/>
      <c r="B804" s="2"/>
      <c r="C804" s="3"/>
    </row>
    <row r="805" customFormat="false" ht="15" hidden="false" customHeight="false" outlineLevel="0" collapsed="false">
      <c r="A805" s="4"/>
      <c r="B805" s="2"/>
      <c r="C805" s="3"/>
    </row>
    <row r="806" customFormat="false" ht="15" hidden="false" customHeight="false" outlineLevel="0" collapsed="false">
      <c r="A806" s="4"/>
      <c r="B806" s="2"/>
      <c r="C806" s="3"/>
    </row>
    <row r="807" customFormat="false" ht="15" hidden="false" customHeight="false" outlineLevel="0" collapsed="false">
      <c r="A807" s="4"/>
      <c r="B807" s="2"/>
      <c r="C807" s="3"/>
    </row>
    <row r="808" customFormat="false" ht="15" hidden="false" customHeight="false" outlineLevel="0" collapsed="false">
      <c r="A808" s="4"/>
      <c r="B808" s="2"/>
      <c r="C808" s="3"/>
    </row>
    <row r="809" customFormat="false" ht="15" hidden="false" customHeight="false" outlineLevel="0" collapsed="false">
      <c r="A809" s="4"/>
      <c r="B809" s="2"/>
      <c r="C809" s="3"/>
    </row>
    <row r="810" customFormat="false" ht="15" hidden="false" customHeight="false" outlineLevel="0" collapsed="false">
      <c r="A810" s="4"/>
      <c r="B810" s="2"/>
      <c r="C810" s="3"/>
    </row>
    <row r="811" customFormat="false" ht="15" hidden="false" customHeight="false" outlineLevel="0" collapsed="false">
      <c r="A811" s="4"/>
      <c r="B811" s="2"/>
      <c r="C811" s="3"/>
    </row>
    <row r="812" customFormat="false" ht="15" hidden="false" customHeight="false" outlineLevel="0" collapsed="false">
      <c r="A812" s="4"/>
      <c r="B812" s="2"/>
      <c r="C812" s="3"/>
    </row>
    <row r="813" customFormat="false" ht="15" hidden="false" customHeight="false" outlineLevel="0" collapsed="false">
      <c r="A813" s="4"/>
      <c r="B813" s="2"/>
      <c r="C813" s="3"/>
    </row>
    <row r="814" customFormat="false" ht="15" hidden="false" customHeight="false" outlineLevel="0" collapsed="false">
      <c r="A814" s="4"/>
      <c r="B814" s="2"/>
      <c r="C814" s="3"/>
    </row>
    <row r="815" customFormat="false" ht="15" hidden="false" customHeight="false" outlineLevel="0" collapsed="false">
      <c r="A815" s="4"/>
      <c r="B815" s="2"/>
      <c r="C815" s="3"/>
    </row>
    <row r="816" customFormat="false" ht="15" hidden="false" customHeight="false" outlineLevel="0" collapsed="false">
      <c r="A816" s="4"/>
      <c r="B816" s="2"/>
      <c r="C816" s="3"/>
    </row>
    <row r="817" customFormat="false" ht="15" hidden="false" customHeight="false" outlineLevel="0" collapsed="false">
      <c r="A817" s="4"/>
      <c r="B817" s="2"/>
      <c r="C817" s="3"/>
    </row>
    <row r="818" customFormat="false" ht="15" hidden="false" customHeight="false" outlineLevel="0" collapsed="false">
      <c r="A818" s="4"/>
      <c r="B818" s="2"/>
      <c r="C818" s="3"/>
    </row>
    <row r="819" customFormat="false" ht="15" hidden="false" customHeight="false" outlineLevel="0" collapsed="false">
      <c r="A819" s="4"/>
      <c r="B819" s="2"/>
      <c r="C819" s="3"/>
    </row>
    <row r="820" customFormat="false" ht="15" hidden="false" customHeight="false" outlineLevel="0" collapsed="false">
      <c r="A820" s="4"/>
      <c r="B820" s="2"/>
      <c r="C820" s="3"/>
    </row>
    <row r="821" customFormat="false" ht="15" hidden="false" customHeight="false" outlineLevel="0" collapsed="false">
      <c r="A821" s="4"/>
      <c r="B821" s="2"/>
      <c r="C821" s="3"/>
    </row>
    <row r="822" customFormat="false" ht="15" hidden="false" customHeight="false" outlineLevel="0" collapsed="false">
      <c r="A822" s="4"/>
      <c r="B822" s="2"/>
      <c r="C822" s="3"/>
    </row>
    <row r="823" customFormat="false" ht="15" hidden="false" customHeight="false" outlineLevel="0" collapsed="false">
      <c r="A823" s="4"/>
      <c r="B823" s="2"/>
      <c r="C823" s="3"/>
    </row>
    <row r="824" customFormat="false" ht="15" hidden="false" customHeight="false" outlineLevel="0" collapsed="false">
      <c r="A824" s="4"/>
      <c r="B824" s="2"/>
      <c r="C824" s="3"/>
    </row>
    <row r="825" customFormat="false" ht="15" hidden="false" customHeight="false" outlineLevel="0" collapsed="false">
      <c r="A825" s="4"/>
      <c r="B825" s="2"/>
      <c r="C825" s="3"/>
    </row>
    <row r="826" customFormat="false" ht="15" hidden="false" customHeight="false" outlineLevel="0" collapsed="false">
      <c r="A826" s="4"/>
      <c r="B826" s="2"/>
      <c r="C826" s="3"/>
    </row>
    <row r="827" customFormat="false" ht="15" hidden="false" customHeight="false" outlineLevel="0" collapsed="false">
      <c r="A827" s="4"/>
      <c r="B827" s="2"/>
      <c r="C827" s="3"/>
    </row>
    <row r="828" customFormat="false" ht="15" hidden="false" customHeight="false" outlineLevel="0" collapsed="false">
      <c r="A828" s="4"/>
      <c r="B828" s="2"/>
      <c r="C828" s="3"/>
    </row>
    <row r="829" customFormat="false" ht="15" hidden="false" customHeight="false" outlineLevel="0" collapsed="false">
      <c r="A829" s="4"/>
      <c r="B829" s="2"/>
      <c r="C829" s="3"/>
    </row>
    <row r="830" customFormat="false" ht="15" hidden="false" customHeight="false" outlineLevel="0" collapsed="false">
      <c r="A830" s="4"/>
      <c r="B830" s="2"/>
      <c r="C830" s="3"/>
    </row>
    <row r="831" customFormat="false" ht="15" hidden="false" customHeight="false" outlineLevel="0" collapsed="false">
      <c r="A831" s="4"/>
      <c r="B831" s="2"/>
      <c r="C831" s="3"/>
    </row>
    <row r="832" customFormat="false" ht="15" hidden="false" customHeight="false" outlineLevel="0" collapsed="false">
      <c r="A832" s="4"/>
      <c r="B832" s="2"/>
      <c r="C832" s="3"/>
    </row>
    <row r="833" customFormat="false" ht="15" hidden="false" customHeight="false" outlineLevel="0" collapsed="false">
      <c r="A833" s="4"/>
      <c r="B833" s="2"/>
      <c r="C833" s="3"/>
    </row>
    <row r="834" customFormat="false" ht="15" hidden="false" customHeight="false" outlineLevel="0" collapsed="false">
      <c r="A834" s="4"/>
      <c r="B834" s="2"/>
      <c r="C834" s="3"/>
    </row>
    <row r="835" customFormat="false" ht="15" hidden="false" customHeight="false" outlineLevel="0" collapsed="false">
      <c r="A835" s="4"/>
      <c r="B835" s="2"/>
      <c r="C835" s="3"/>
    </row>
    <row r="836" customFormat="false" ht="15" hidden="false" customHeight="false" outlineLevel="0" collapsed="false">
      <c r="A836" s="4"/>
      <c r="B836" s="2"/>
      <c r="C836" s="3"/>
    </row>
    <row r="837" customFormat="false" ht="15" hidden="false" customHeight="false" outlineLevel="0" collapsed="false">
      <c r="A837" s="4"/>
      <c r="B837" s="2"/>
      <c r="C837" s="3"/>
    </row>
    <row r="838" customFormat="false" ht="15" hidden="false" customHeight="false" outlineLevel="0" collapsed="false">
      <c r="A838" s="4"/>
      <c r="B838" s="2"/>
      <c r="C838" s="3"/>
    </row>
    <row r="839" customFormat="false" ht="15" hidden="false" customHeight="false" outlineLevel="0" collapsed="false">
      <c r="A839" s="4"/>
      <c r="B839" s="2"/>
      <c r="C839" s="3"/>
    </row>
    <row r="840" customFormat="false" ht="15" hidden="false" customHeight="false" outlineLevel="0" collapsed="false">
      <c r="A840" s="4"/>
      <c r="B840" s="2"/>
      <c r="C840" s="3"/>
    </row>
    <row r="841" customFormat="false" ht="15" hidden="false" customHeight="false" outlineLevel="0" collapsed="false">
      <c r="A841" s="4"/>
      <c r="B841" s="2"/>
      <c r="C841" s="3"/>
    </row>
    <row r="842" customFormat="false" ht="15" hidden="false" customHeight="false" outlineLevel="0" collapsed="false">
      <c r="A842" s="4"/>
      <c r="B842" s="2"/>
      <c r="C842" s="3"/>
    </row>
    <row r="843" customFormat="false" ht="15" hidden="false" customHeight="false" outlineLevel="0" collapsed="false">
      <c r="A843" s="4"/>
      <c r="B843" s="2"/>
      <c r="C843" s="3"/>
    </row>
    <row r="844" customFormat="false" ht="15" hidden="false" customHeight="false" outlineLevel="0" collapsed="false">
      <c r="A844" s="4"/>
      <c r="B844" s="2"/>
      <c r="C844" s="3"/>
    </row>
    <row r="845" customFormat="false" ht="15" hidden="false" customHeight="false" outlineLevel="0" collapsed="false">
      <c r="A845" s="4"/>
      <c r="B845" s="2"/>
      <c r="C845" s="3"/>
    </row>
    <row r="846" customFormat="false" ht="15" hidden="false" customHeight="false" outlineLevel="0" collapsed="false">
      <c r="A846" s="4"/>
      <c r="B846" s="2"/>
      <c r="C846" s="3"/>
    </row>
    <row r="847" customFormat="false" ht="15" hidden="false" customHeight="false" outlineLevel="0" collapsed="false">
      <c r="A847" s="4"/>
      <c r="B847" s="2"/>
      <c r="C847" s="3"/>
    </row>
    <row r="848" customFormat="false" ht="15" hidden="false" customHeight="false" outlineLevel="0" collapsed="false">
      <c r="A848" s="4"/>
      <c r="B848" s="2"/>
      <c r="C848" s="3"/>
    </row>
    <row r="849" customFormat="false" ht="15" hidden="false" customHeight="false" outlineLevel="0" collapsed="false">
      <c r="A849" s="4"/>
      <c r="B849" s="2"/>
      <c r="C849" s="3"/>
    </row>
    <row r="850" customFormat="false" ht="15" hidden="false" customHeight="false" outlineLevel="0" collapsed="false">
      <c r="A850" s="4"/>
      <c r="B850" s="2"/>
      <c r="C850" s="3"/>
    </row>
    <row r="851" customFormat="false" ht="15" hidden="false" customHeight="false" outlineLevel="0" collapsed="false">
      <c r="A851" s="4"/>
      <c r="B851" s="2"/>
      <c r="C851" s="3"/>
    </row>
    <row r="852" customFormat="false" ht="15" hidden="false" customHeight="false" outlineLevel="0" collapsed="false">
      <c r="A852" s="4"/>
      <c r="B852" s="2"/>
      <c r="C852" s="3"/>
    </row>
    <row r="853" customFormat="false" ht="15" hidden="false" customHeight="false" outlineLevel="0" collapsed="false">
      <c r="A853" s="4"/>
      <c r="B853" s="2"/>
      <c r="C853" s="3"/>
    </row>
    <row r="854" customFormat="false" ht="15" hidden="false" customHeight="false" outlineLevel="0" collapsed="false">
      <c r="A854" s="4"/>
      <c r="B854" s="2"/>
      <c r="C854" s="3"/>
    </row>
    <row r="855" customFormat="false" ht="15" hidden="false" customHeight="false" outlineLevel="0" collapsed="false">
      <c r="A855" s="4"/>
      <c r="B855" s="2"/>
      <c r="C855" s="3"/>
    </row>
    <row r="856" customFormat="false" ht="15" hidden="false" customHeight="false" outlineLevel="0" collapsed="false">
      <c r="A856" s="4"/>
      <c r="B856" s="2"/>
      <c r="C856" s="3"/>
    </row>
    <row r="857" customFormat="false" ht="15" hidden="false" customHeight="false" outlineLevel="0" collapsed="false">
      <c r="A857" s="4"/>
      <c r="B857" s="2"/>
      <c r="C857" s="3"/>
    </row>
    <row r="858" customFormat="false" ht="15" hidden="false" customHeight="false" outlineLevel="0" collapsed="false">
      <c r="A858" s="4"/>
      <c r="B858" s="2"/>
      <c r="C858" s="3"/>
    </row>
    <row r="859" customFormat="false" ht="15" hidden="false" customHeight="false" outlineLevel="0" collapsed="false">
      <c r="A859" s="4"/>
      <c r="B859" s="2"/>
      <c r="C859" s="3"/>
    </row>
    <row r="860" customFormat="false" ht="15" hidden="false" customHeight="false" outlineLevel="0" collapsed="false">
      <c r="A860" s="4"/>
      <c r="B860" s="2"/>
      <c r="C860" s="3"/>
    </row>
    <row r="861" customFormat="false" ht="15" hidden="false" customHeight="false" outlineLevel="0" collapsed="false">
      <c r="A861" s="4"/>
      <c r="B861" s="2"/>
      <c r="C861" s="3"/>
    </row>
    <row r="862" customFormat="false" ht="15" hidden="false" customHeight="false" outlineLevel="0" collapsed="false">
      <c r="A862" s="4"/>
      <c r="B862" s="2"/>
      <c r="C862" s="3"/>
    </row>
    <row r="863" customFormat="false" ht="15" hidden="false" customHeight="false" outlineLevel="0" collapsed="false">
      <c r="A863" s="4"/>
      <c r="B863" s="2"/>
      <c r="C863" s="3"/>
    </row>
    <row r="864" customFormat="false" ht="15" hidden="false" customHeight="false" outlineLevel="0" collapsed="false">
      <c r="A864" s="4"/>
      <c r="B864" s="2"/>
      <c r="C864" s="3"/>
    </row>
    <row r="865" customFormat="false" ht="15" hidden="false" customHeight="false" outlineLevel="0" collapsed="false">
      <c r="A865" s="4"/>
      <c r="B865" s="2"/>
      <c r="C865" s="3"/>
    </row>
    <row r="866" customFormat="false" ht="15" hidden="false" customHeight="false" outlineLevel="0" collapsed="false">
      <c r="A866" s="4"/>
      <c r="B866" s="2"/>
      <c r="C866" s="3"/>
    </row>
    <row r="867" customFormat="false" ht="15" hidden="false" customHeight="false" outlineLevel="0" collapsed="false">
      <c r="A867" s="4"/>
      <c r="B867" s="2"/>
      <c r="C867" s="3"/>
    </row>
    <row r="868" customFormat="false" ht="15" hidden="false" customHeight="false" outlineLevel="0" collapsed="false">
      <c r="A868" s="4"/>
      <c r="B868" s="2"/>
      <c r="C868" s="3"/>
    </row>
    <row r="869" customFormat="false" ht="15" hidden="false" customHeight="false" outlineLevel="0" collapsed="false">
      <c r="A869" s="4"/>
      <c r="B869" s="2"/>
      <c r="C869" s="3"/>
    </row>
    <row r="870" customFormat="false" ht="15" hidden="false" customHeight="false" outlineLevel="0" collapsed="false">
      <c r="A870" s="4"/>
      <c r="B870" s="2"/>
      <c r="C870" s="3"/>
    </row>
    <row r="871" customFormat="false" ht="15" hidden="false" customHeight="false" outlineLevel="0" collapsed="false">
      <c r="A871" s="4"/>
      <c r="B871" s="2"/>
      <c r="C871" s="3"/>
    </row>
    <row r="872" customFormat="false" ht="15" hidden="false" customHeight="false" outlineLevel="0" collapsed="false">
      <c r="A872" s="4"/>
      <c r="B872" s="2"/>
      <c r="C872" s="3"/>
    </row>
    <row r="873" customFormat="false" ht="15" hidden="false" customHeight="false" outlineLevel="0" collapsed="false">
      <c r="A873" s="4"/>
      <c r="B873" s="2"/>
      <c r="C873" s="3"/>
    </row>
    <row r="874" customFormat="false" ht="15" hidden="false" customHeight="false" outlineLevel="0" collapsed="false">
      <c r="A874" s="4"/>
      <c r="B874" s="2"/>
      <c r="C874" s="3"/>
    </row>
    <row r="875" customFormat="false" ht="15" hidden="false" customHeight="false" outlineLevel="0" collapsed="false">
      <c r="A875" s="4"/>
      <c r="B875" s="2"/>
      <c r="C875" s="3"/>
    </row>
    <row r="876" customFormat="false" ht="15" hidden="false" customHeight="false" outlineLevel="0" collapsed="false">
      <c r="A876" s="4"/>
      <c r="B876" s="2"/>
      <c r="C876" s="3"/>
    </row>
    <row r="877" customFormat="false" ht="15" hidden="false" customHeight="false" outlineLevel="0" collapsed="false">
      <c r="A877" s="4"/>
      <c r="B877" s="2"/>
      <c r="C877" s="3"/>
    </row>
    <row r="878" customFormat="false" ht="15" hidden="false" customHeight="false" outlineLevel="0" collapsed="false">
      <c r="A878" s="4"/>
      <c r="B878" s="2"/>
      <c r="C878" s="3"/>
    </row>
    <row r="879" customFormat="false" ht="15" hidden="false" customHeight="false" outlineLevel="0" collapsed="false">
      <c r="A879" s="4"/>
      <c r="B879" s="2"/>
      <c r="C879" s="3"/>
    </row>
    <row r="880" customFormat="false" ht="15" hidden="false" customHeight="false" outlineLevel="0" collapsed="false">
      <c r="A880" s="4"/>
      <c r="B880" s="2"/>
      <c r="C880" s="3"/>
    </row>
    <row r="881" customFormat="false" ht="15" hidden="false" customHeight="false" outlineLevel="0" collapsed="false">
      <c r="A881" s="4"/>
      <c r="B881" s="2"/>
      <c r="C881" s="3"/>
    </row>
    <row r="882" customFormat="false" ht="15" hidden="false" customHeight="false" outlineLevel="0" collapsed="false">
      <c r="A882" s="4"/>
      <c r="B882" s="2"/>
      <c r="C882" s="3"/>
    </row>
    <row r="883" customFormat="false" ht="15" hidden="false" customHeight="false" outlineLevel="0" collapsed="false">
      <c r="A883" s="4"/>
      <c r="B883" s="2"/>
      <c r="C883" s="3"/>
    </row>
    <row r="884" customFormat="false" ht="15" hidden="false" customHeight="false" outlineLevel="0" collapsed="false">
      <c r="A884" s="4"/>
      <c r="B884" s="2"/>
      <c r="C884" s="3"/>
    </row>
    <row r="885" customFormat="false" ht="15" hidden="false" customHeight="false" outlineLevel="0" collapsed="false">
      <c r="A885" s="4"/>
      <c r="B885" s="2"/>
      <c r="C885" s="3"/>
    </row>
    <row r="886" customFormat="false" ht="15" hidden="false" customHeight="false" outlineLevel="0" collapsed="false">
      <c r="A886" s="4"/>
      <c r="B886" s="2"/>
      <c r="C886" s="3"/>
    </row>
    <row r="887" customFormat="false" ht="15" hidden="false" customHeight="false" outlineLevel="0" collapsed="false">
      <c r="A887" s="4"/>
      <c r="B887" s="2"/>
      <c r="C887" s="3"/>
    </row>
    <row r="888" customFormat="false" ht="15" hidden="false" customHeight="false" outlineLevel="0" collapsed="false">
      <c r="A888" s="4"/>
      <c r="B888" s="2"/>
      <c r="C888" s="3"/>
    </row>
    <row r="889" customFormat="false" ht="15" hidden="false" customHeight="false" outlineLevel="0" collapsed="false">
      <c r="A889" s="4"/>
      <c r="B889" s="2"/>
      <c r="C889" s="3"/>
    </row>
    <row r="890" customFormat="false" ht="15" hidden="false" customHeight="false" outlineLevel="0" collapsed="false">
      <c r="A890" s="4"/>
      <c r="B890" s="2"/>
      <c r="C890" s="3"/>
    </row>
    <row r="891" customFormat="false" ht="15" hidden="false" customHeight="false" outlineLevel="0" collapsed="false">
      <c r="A891" s="4"/>
      <c r="B891" s="2"/>
      <c r="C891" s="3"/>
    </row>
    <row r="892" customFormat="false" ht="15" hidden="false" customHeight="false" outlineLevel="0" collapsed="false">
      <c r="A892" s="4"/>
      <c r="B892" s="2"/>
      <c r="C892" s="3"/>
    </row>
    <row r="893" customFormat="false" ht="15" hidden="false" customHeight="false" outlineLevel="0" collapsed="false">
      <c r="A893" s="4"/>
      <c r="B893" s="2"/>
      <c r="C893" s="3"/>
    </row>
    <row r="894" customFormat="false" ht="15" hidden="false" customHeight="false" outlineLevel="0" collapsed="false">
      <c r="A894" s="4"/>
      <c r="B894" s="2"/>
      <c r="C894" s="3"/>
    </row>
    <row r="895" customFormat="false" ht="15" hidden="false" customHeight="false" outlineLevel="0" collapsed="false">
      <c r="A895" s="4"/>
      <c r="B895" s="2"/>
      <c r="C895" s="3"/>
    </row>
    <row r="896" customFormat="false" ht="15" hidden="false" customHeight="false" outlineLevel="0" collapsed="false">
      <c r="A896" s="4"/>
      <c r="B896" s="2"/>
      <c r="C896" s="3"/>
    </row>
    <row r="897" customFormat="false" ht="15" hidden="false" customHeight="false" outlineLevel="0" collapsed="false">
      <c r="A897" s="4"/>
      <c r="B897" s="2"/>
      <c r="C897" s="3"/>
    </row>
    <row r="898" customFormat="false" ht="15" hidden="false" customHeight="false" outlineLevel="0" collapsed="false">
      <c r="A898" s="4"/>
      <c r="B898" s="2"/>
      <c r="C898" s="3"/>
    </row>
    <row r="899" customFormat="false" ht="15" hidden="false" customHeight="false" outlineLevel="0" collapsed="false">
      <c r="A899" s="4"/>
      <c r="B899" s="2"/>
      <c r="C899" s="3"/>
    </row>
    <row r="900" customFormat="false" ht="15" hidden="false" customHeight="false" outlineLevel="0" collapsed="false">
      <c r="A900" s="4"/>
      <c r="B900" s="2"/>
      <c r="C900" s="3"/>
    </row>
    <row r="901" customFormat="false" ht="15" hidden="false" customHeight="false" outlineLevel="0" collapsed="false">
      <c r="A901" s="4"/>
      <c r="B901" s="2"/>
      <c r="C901" s="3"/>
    </row>
    <row r="902" customFormat="false" ht="15" hidden="false" customHeight="false" outlineLevel="0" collapsed="false">
      <c r="A902" s="4"/>
      <c r="B902" s="2"/>
      <c r="C902" s="3"/>
    </row>
    <row r="903" customFormat="false" ht="15" hidden="false" customHeight="false" outlineLevel="0" collapsed="false">
      <c r="A903" s="4"/>
      <c r="B903" s="2"/>
      <c r="C903" s="3"/>
    </row>
    <row r="904" customFormat="false" ht="15" hidden="false" customHeight="false" outlineLevel="0" collapsed="false">
      <c r="A904" s="4"/>
      <c r="B904" s="2"/>
      <c r="C904" s="3"/>
    </row>
    <row r="905" customFormat="false" ht="15" hidden="false" customHeight="false" outlineLevel="0" collapsed="false">
      <c r="A905" s="4"/>
      <c r="B905" s="2"/>
      <c r="C905" s="3"/>
    </row>
    <row r="906" customFormat="false" ht="15" hidden="false" customHeight="false" outlineLevel="0" collapsed="false">
      <c r="A906" s="4"/>
      <c r="B906" s="2"/>
      <c r="C906" s="3"/>
    </row>
    <row r="907" customFormat="false" ht="15" hidden="false" customHeight="false" outlineLevel="0" collapsed="false">
      <c r="A907" s="4"/>
      <c r="B907" s="2"/>
      <c r="C907" s="3"/>
    </row>
    <row r="908" customFormat="false" ht="15" hidden="false" customHeight="false" outlineLevel="0" collapsed="false">
      <c r="A908" s="4"/>
      <c r="B908" s="2"/>
      <c r="C908" s="3"/>
    </row>
    <row r="909" customFormat="false" ht="15" hidden="false" customHeight="false" outlineLevel="0" collapsed="false">
      <c r="A909" s="4"/>
      <c r="B909" s="2"/>
      <c r="C909" s="3"/>
    </row>
    <row r="910" customFormat="false" ht="15" hidden="false" customHeight="false" outlineLevel="0" collapsed="false">
      <c r="A910" s="4"/>
      <c r="B910" s="2"/>
      <c r="C910" s="3"/>
    </row>
    <row r="911" customFormat="false" ht="15" hidden="false" customHeight="false" outlineLevel="0" collapsed="false">
      <c r="A911" s="4"/>
      <c r="B911" s="2"/>
      <c r="C911" s="3"/>
    </row>
    <row r="912" customFormat="false" ht="15" hidden="false" customHeight="false" outlineLevel="0" collapsed="false">
      <c r="A912" s="4"/>
      <c r="B912" s="2"/>
      <c r="C912" s="3"/>
    </row>
    <row r="913" customFormat="false" ht="15" hidden="false" customHeight="false" outlineLevel="0" collapsed="false">
      <c r="A913" s="4"/>
      <c r="B913" s="2"/>
      <c r="C913" s="3"/>
    </row>
    <row r="914" customFormat="false" ht="15" hidden="false" customHeight="false" outlineLevel="0" collapsed="false">
      <c r="A914" s="4"/>
      <c r="B914" s="2"/>
      <c r="C914" s="3"/>
    </row>
    <row r="915" customFormat="false" ht="15" hidden="false" customHeight="false" outlineLevel="0" collapsed="false">
      <c r="A915" s="4"/>
      <c r="B915" s="2"/>
      <c r="C915" s="3"/>
    </row>
    <row r="916" customFormat="false" ht="15" hidden="false" customHeight="false" outlineLevel="0" collapsed="false">
      <c r="A916" s="4"/>
      <c r="B916" s="2"/>
      <c r="C916" s="3"/>
    </row>
    <row r="917" customFormat="false" ht="15" hidden="false" customHeight="false" outlineLevel="0" collapsed="false">
      <c r="A917" s="4"/>
      <c r="B917" s="2"/>
      <c r="C917" s="3"/>
    </row>
    <row r="918" customFormat="false" ht="15" hidden="false" customHeight="false" outlineLevel="0" collapsed="false">
      <c r="A918" s="4"/>
      <c r="B918" s="2"/>
      <c r="C918" s="3"/>
    </row>
    <row r="919" customFormat="false" ht="15" hidden="false" customHeight="false" outlineLevel="0" collapsed="false">
      <c r="A919" s="4"/>
      <c r="B919" s="2"/>
      <c r="C919" s="3"/>
    </row>
    <row r="920" customFormat="false" ht="15" hidden="false" customHeight="false" outlineLevel="0" collapsed="false">
      <c r="A920" s="4"/>
      <c r="B920" s="2"/>
      <c r="C920" s="3"/>
    </row>
    <row r="921" customFormat="false" ht="15" hidden="false" customHeight="false" outlineLevel="0" collapsed="false">
      <c r="A921" s="4"/>
      <c r="B921" s="2"/>
      <c r="C921" s="3"/>
    </row>
    <row r="922" customFormat="false" ht="15" hidden="false" customHeight="false" outlineLevel="0" collapsed="false">
      <c r="A922" s="4"/>
      <c r="B922" s="2"/>
      <c r="C922" s="3"/>
    </row>
    <row r="923" customFormat="false" ht="15" hidden="false" customHeight="false" outlineLevel="0" collapsed="false">
      <c r="A923" s="4"/>
      <c r="B923" s="2"/>
      <c r="C923" s="3"/>
    </row>
    <row r="924" customFormat="false" ht="15" hidden="false" customHeight="false" outlineLevel="0" collapsed="false">
      <c r="A924" s="4"/>
      <c r="B924" s="2"/>
      <c r="C924" s="3"/>
    </row>
    <row r="925" customFormat="false" ht="15" hidden="false" customHeight="false" outlineLevel="0" collapsed="false">
      <c r="A925" s="4"/>
      <c r="B925" s="2"/>
      <c r="C925" s="3"/>
    </row>
    <row r="926" customFormat="false" ht="15" hidden="false" customHeight="false" outlineLevel="0" collapsed="false">
      <c r="A926" s="4"/>
      <c r="B926" s="2"/>
      <c r="C926" s="3"/>
    </row>
    <row r="927" customFormat="false" ht="15" hidden="false" customHeight="false" outlineLevel="0" collapsed="false">
      <c r="A927" s="4"/>
      <c r="B927" s="2"/>
      <c r="C927" s="3"/>
    </row>
    <row r="928" customFormat="false" ht="15" hidden="false" customHeight="false" outlineLevel="0" collapsed="false">
      <c r="A928" s="4"/>
      <c r="B928" s="2"/>
      <c r="C928" s="3"/>
    </row>
    <row r="929" customFormat="false" ht="15" hidden="false" customHeight="false" outlineLevel="0" collapsed="false">
      <c r="A929" s="4"/>
      <c r="B929" s="2"/>
      <c r="C929" s="3"/>
    </row>
    <row r="930" customFormat="false" ht="15" hidden="false" customHeight="false" outlineLevel="0" collapsed="false">
      <c r="A930" s="4"/>
      <c r="B930" s="2"/>
      <c r="C930" s="3"/>
    </row>
    <row r="931" customFormat="false" ht="15" hidden="false" customHeight="false" outlineLevel="0" collapsed="false">
      <c r="A931" s="4"/>
      <c r="B931" s="2"/>
      <c r="C931" s="3"/>
    </row>
    <row r="932" customFormat="false" ht="15" hidden="false" customHeight="false" outlineLevel="0" collapsed="false">
      <c r="A932" s="4"/>
      <c r="B932" s="2"/>
      <c r="C932" s="3"/>
    </row>
    <row r="933" customFormat="false" ht="15" hidden="false" customHeight="false" outlineLevel="0" collapsed="false">
      <c r="A933" s="4"/>
      <c r="B933" s="2"/>
      <c r="C933" s="3"/>
    </row>
    <row r="934" customFormat="false" ht="15" hidden="false" customHeight="false" outlineLevel="0" collapsed="false">
      <c r="A934" s="4"/>
      <c r="B934" s="2"/>
      <c r="C934" s="3"/>
    </row>
    <row r="935" customFormat="false" ht="15" hidden="false" customHeight="false" outlineLevel="0" collapsed="false">
      <c r="A935" s="4"/>
      <c r="B935" s="2"/>
      <c r="C935" s="3"/>
    </row>
    <row r="936" customFormat="false" ht="15" hidden="false" customHeight="false" outlineLevel="0" collapsed="false">
      <c r="A936" s="4"/>
      <c r="B936" s="2"/>
      <c r="C936" s="3"/>
    </row>
    <row r="937" customFormat="false" ht="15" hidden="false" customHeight="false" outlineLevel="0" collapsed="false">
      <c r="A937" s="4"/>
      <c r="B937" s="2"/>
      <c r="C937" s="3"/>
    </row>
    <row r="938" customFormat="false" ht="15" hidden="false" customHeight="false" outlineLevel="0" collapsed="false">
      <c r="A938" s="4"/>
      <c r="B938" s="2"/>
      <c r="C938" s="3"/>
    </row>
    <row r="939" customFormat="false" ht="15" hidden="false" customHeight="false" outlineLevel="0" collapsed="false">
      <c r="A939" s="4"/>
      <c r="B939" s="2"/>
      <c r="C939" s="3"/>
    </row>
    <row r="940" customFormat="false" ht="15" hidden="false" customHeight="false" outlineLevel="0" collapsed="false">
      <c r="A940" s="4"/>
      <c r="B940" s="2"/>
      <c r="C940" s="3"/>
    </row>
    <row r="941" customFormat="false" ht="15" hidden="false" customHeight="false" outlineLevel="0" collapsed="false">
      <c r="A941" s="4"/>
      <c r="B941" s="2"/>
      <c r="C941" s="3"/>
    </row>
    <row r="942" customFormat="false" ht="15" hidden="false" customHeight="false" outlineLevel="0" collapsed="false">
      <c r="A942" s="4"/>
      <c r="B942" s="2"/>
      <c r="C942" s="3"/>
    </row>
    <row r="943" customFormat="false" ht="15" hidden="false" customHeight="false" outlineLevel="0" collapsed="false">
      <c r="A943" s="4"/>
      <c r="B943" s="2"/>
      <c r="C943" s="3"/>
    </row>
    <row r="944" customFormat="false" ht="15" hidden="false" customHeight="false" outlineLevel="0" collapsed="false">
      <c r="A944" s="4"/>
      <c r="B944" s="2"/>
      <c r="C944" s="3"/>
    </row>
    <row r="945" customFormat="false" ht="15" hidden="false" customHeight="false" outlineLevel="0" collapsed="false">
      <c r="A945" s="4"/>
      <c r="B945" s="2"/>
      <c r="C945" s="3"/>
    </row>
    <row r="946" customFormat="false" ht="15" hidden="false" customHeight="false" outlineLevel="0" collapsed="false">
      <c r="A946" s="4"/>
      <c r="B946" s="2"/>
      <c r="C946" s="3"/>
    </row>
    <row r="947" customFormat="false" ht="15" hidden="false" customHeight="false" outlineLevel="0" collapsed="false">
      <c r="A947" s="4"/>
      <c r="B947" s="2"/>
      <c r="C947" s="3"/>
    </row>
    <row r="948" customFormat="false" ht="15" hidden="false" customHeight="false" outlineLevel="0" collapsed="false">
      <c r="A948" s="4"/>
      <c r="B948" s="2"/>
      <c r="C948" s="3"/>
    </row>
    <row r="949" customFormat="false" ht="15" hidden="false" customHeight="false" outlineLevel="0" collapsed="false">
      <c r="A949" s="4"/>
      <c r="B949" s="2"/>
      <c r="C949" s="3"/>
    </row>
    <row r="950" customFormat="false" ht="15" hidden="false" customHeight="false" outlineLevel="0" collapsed="false">
      <c r="A950" s="4"/>
      <c r="B950" s="2"/>
      <c r="C950" s="3"/>
    </row>
    <row r="951" customFormat="false" ht="15" hidden="false" customHeight="false" outlineLevel="0" collapsed="false">
      <c r="A951" s="4"/>
      <c r="B951" s="2"/>
      <c r="C951" s="3"/>
    </row>
    <row r="952" customFormat="false" ht="15" hidden="false" customHeight="false" outlineLevel="0" collapsed="false">
      <c r="A952" s="4"/>
      <c r="B952" s="2"/>
      <c r="C952" s="3"/>
    </row>
    <row r="953" customFormat="false" ht="15" hidden="false" customHeight="false" outlineLevel="0" collapsed="false">
      <c r="A953" s="4"/>
      <c r="B953" s="2"/>
      <c r="C953" s="3"/>
    </row>
    <row r="954" customFormat="false" ht="15" hidden="false" customHeight="false" outlineLevel="0" collapsed="false">
      <c r="A954" s="4"/>
      <c r="B954" s="2"/>
      <c r="C954" s="3"/>
    </row>
    <row r="955" customFormat="false" ht="15" hidden="false" customHeight="false" outlineLevel="0" collapsed="false">
      <c r="A955" s="4"/>
      <c r="B955" s="2"/>
      <c r="C955" s="3"/>
    </row>
    <row r="956" customFormat="false" ht="15" hidden="false" customHeight="false" outlineLevel="0" collapsed="false">
      <c r="A956" s="4"/>
      <c r="B956" s="2"/>
      <c r="C956" s="3"/>
    </row>
    <row r="957" customFormat="false" ht="15" hidden="false" customHeight="false" outlineLevel="0" collapsed="false">
      <c r="A957" s="4"/>
      <c r="B957" s="2"/>
      <c r="C957" s="3"/>
    </row>
    <row r="958" customFormat="false" ht="15" hidden="false" customHeight="false" outlineLevel="0" collapsed="false">
      <c r="A958" s="4"/>
      <c r="B958" s="2"/>
      <c r="C958" s="3"/>
    </row>
    <row r="959" customFormat="false" ht="15" hidden="false" customHeight="false" outlineLevel="0" collapsed="false">
      <c r="A959" s="4"/>
      <c r="B959" s="2"/>
      <c r="C959" s="3"/>
    </row>
    <row r="960" customFormat="false" ht="15" hidden="false" customHeight="false" outlineLevel="0" collapsed="false">
      <c r="A960" s="4"/>
      <c r="B960" s="2"/>
      <c r="C960" s="3"/>
    </row>
    <row r="961" customFormat="false" ht="15" hidden="false" customHeight="false" outlineLevel="0" collapsed="false">
      <c r="A961" s="4"/>
      <c r="B961" s="2"/>
      <c r="C961" s="3"/>
    </row>
    <row r="962" customFormat="false" ht="15" hidden="false" customHeight="false" outlineLevel="0" collapsed="false">
      <c r="A962" s="4"/>
      <c r="B962" s="2"/>
      <c r="C962" s="3"/>
    </row>
    <row r="963" customFormat="false" ht="15" hidden="false" customHeight="false" outlineLevel="0" collapsed="false">
      <c r="A963" s="4"/>
      <c r="B963" s="2"/>
      <c r="C963" s="3"/>
    </row>
    <row r="964" customFormat="false" ht="15" hidden="false" customHeight="false" outlineLevel="0" collapsed="false">
      <c r="A964" s="4"/>
      <c r="B964" s="2"/>
      <c r="C964" s="3"/>
    </row>
    <row r="965" customFormat="false" ht="15" hidden="false" customHeight="false" outlineLevel="0" collapsed="false">
      <c r="A965" s="4"/>
      <c r="B965" s="2"/>
      <c r="C965" s="3"/>
    </row>
    <row r="966" customFormat="false" ht="15" hidden="false" customHeight="false" outlineLevel="0" collapsed="false">
      <c r="A966" s="4"/>
      <c r="B966" s="2"/>
      <c r="C966" s="3"/>
    </row>
    <row r="967" customFormat="false" ht="15" hidden="false" customHeight="false" outlineLevel="0" collapsed="false">
      <c r="A967" s="4"/>
      <c r="B967" s="2"/>
      <c r="C967" s="3"/>
    </row>
    <row r="968" customFormat="false" ht="15" hidden="false" customHeight="false" outlineLevel="0" collapsed="false">
      <c r="A968" s="4"/>
      <c r="B968" s="2"/>
      <c r="C968" s="3"/>
    </row>
    <row r="969" customFormat="false" ht="15" hidden="false" customHeight="false" outlineLevel="0" collapsed="false">
      <c r="A969" s="4"/>
      <c r="B969" s="2"/>
      <c r="C969" s="3"/>
    </row>
    <row r="970" customFormat="false" ht="15" hidden="false" customHeight="false" outlineLevel="0" collapsed="false">
      <c r="A970" s="4"/>
      <c r="B970" s="2"/>
      <c r="C970" s="3"/>
    </row>
    <row r="971" customFormat="false" ht="15" hidden="false" customHeight="false" outlineLevel="0" collapsed="false">
      <c r="A971" s="4"/>
      <c r="B971" s="2"/>
      <c r="C971" s="3"/>
    </row>
    <row r="972" customFormat="false" ht="15" hidden="false" customHeight="false" outlineLevel="0" collapsed="false">
      <c r="A972" s="4"/>
      <c r="B972" s="2"/>
      <c r="C972" s="3"/>
    </row>
    <row r="973" customFormat="false" ht="15" hidden="false" customHeight="false" outlineLevel="0" collapsed="false">
      <c r="A973" s="4"/>
      <c r="B973" s="2"/>
      <c r="C973" s="3"/>
    </row>
    <row r="974" customFormat="false" ht="15" hidden="false" customHeight="false" outlineLevel="0" collapsed="false">
      <c r="A974" s="4"/>
      <c r="B974" s="2"/>
      <c r="C974" s="3"/>
    </row>
    <row r="975" customFormat="false" ht="15" hidden="false" customHeight="false" outlineLevel="0" collapsed="false">
      <c r="A975" s="4"/>
      <c r="B975" s="2"/>
      <c r="C975" s="3"/>
    </row>
    <row r="976" customFormat="false" ht="15" hidden="false" customHeight="false" outlineLevel="0" collapsed="false">
      <c r="A976" s="4"/>
      <c r="B976" s="2"/>
      <c r="C976" s="3"/>
    </row>
    <row r="977" customFormat="false" ht="15" hidden="false" customHeight="false" outlineLevel="0" collapsed="false">
      <c r="A977" s="4"/>
      <c r="B977" s="2"/>
      <c r="C977" s="3"/>
    </row>
    <row r="978" customFormat="false" ht="15" hidden="false" customHeight="false" outlineLevel="0" collapsed="false">
      <c r="A978" s="4"/>
      <c r="B978" s="2"/>
      <c r="C978" s="3"/>
    </row>
    <row r="979" customFormat="false" ht="15" hidden="false" customHeight="false" outlineLevel="0" collapsed="false">
      <c r="A979" s="4"/>
      <c r="B979" s="2"/>
      <c r="C979" s="3"/>
    </row>
    <row r="980" customFormat="false" ht="15" hidden="false" customHeight="false" outlineLevel="0" collapsed="false">
      <c r="A980" s="4"/>
      <c r="B980" s="2"/>
      <c r="C980" s="3"/>
    </row>
    <row r="981" customFormat="false" ht="15" hidden="false" customHeight="false" outlineLevel="0" collapsed="false">
      <c r="A981" s="4"/>
      <c r="B981" s="2"/>
      <c r="C981" s="3"/>
    </row>
    <row r="982" customFormat="false" ht="15" hidden="false" customHeight="false" outlineLevel="0" collapsed="false">
      <c r="A982" s="4"/>
      <c r="B982" s="2"/>
      <c r="C982" s="3"/>
    </row>
    <row r="983" customFormat="false" ht="15" hidden="false" customHeight="false" outlineLevel="0" collapsed="false">
      <c r="A983" s="4"/>
      <c r="B983" s="2"/>
      <c r="C983" s="3"/>
    </row>
    <row r="984" customFormat="false" ht="15" hidden="false" customHeight="false" outlineLevel="0" collapsed="false">
      <c r="A984" s="4"/>
      <c r="B984" s="2"/>
      <c r="C984" s="3"/>
    </row>
    <row r="985" customFormat="false" ht="15" hidden="false" customHeight="false" outlineLevel="0" collapsed="false">
      <c r="A985" s="4"/>
      <c r="B985" s="2"/>
      <c r="C985" s="3"/>
    </row>
    <row r="986" customFormat="false" ht="15" hidden="false" customHeight="false" outlineLevel="0" collapsed="false">
      <c r="A986" s="4"/>
      <c r="B986" s="2"/>
      <c r="C986" s="3"/>
    </row>
    <row r="987" customFormat="false" ht="15" hidden="false" customHeight="false" outlineLevel="0" collapsed="false">
      <c r="A987" s="4"/>
      <c r="B987" s="2"/>
      <c r="C987" s="3"/>
    </row>
    <row r="988" customFormat="false" ht="15" hidden="false" customHeight="false" outlineLevel="0" collapsed="false">
      <c r="A988" s="4"/>
      <c r="B988" s="2"/>
      <c r="C988" s="3"/>
    </row>
    <row r="989" customFormat="false" ht="15" hidden="false" customHeight="false" outlineLevel="0" collapsed="false">
      <c r="A989" s="4"/>
      <c r="B989" s="2"/>
      <c r="C989" s="3"/>
    </row>
    <row r="990" customFormat="false" ht="15" hidden="false" customHeight="false" outlineLevel="0" collapsed="false">
      <c r="A990" s="4"/>
      <c r="B990" s="2"/>
      <c r="C990" s="3"/>
    </row>
    <row r="991" customFormat="false" ht="15" hidden="false" customHeight="false" outlineLevel="0" collapsed="false">
      <c r="A991" s="4"/>
      <c r="B991" s="2"/>
      <c r="C991" s="3"/>
    </row>
    <row r="992" customFormat="false" ht="15" hidden="false" customHeight="false" outlineLevel="0" collapsed="false">
      <c r="A992" s="4"/>
      <c r="B992" s="2"/>
      <c r="C992" s="3"/>
    </row>
    <row r="993" customFormat="false" ht="15" hidden="false" customHeight="false" outlineLevel="0" collapsed="false">
      <c r="A993" s="4"/>
      <c r="B993" s="2"/>
      <c r="C993" s="3"/>
    </row>
    <row r="994" customFormat="false" ht="15" hidden="false" customHeight="false" outlineLevel="0" collapsed="false">
      <c r="A994" s="4"/>
      <c r="B994" s="2"/>
      <c r="C994" s="3"/>
    </row>
    <row r="995" customFormat="false" ht="15" hidden="false" customHeight="false" outlineLevel="0" collapsed="false">
      <c r="A995" s="4"/>
      <c r="B995" s="2"/>
      <c r="C995" s="3"/>
    </row>
    <row r="996" customFormat="false" ht="15" hidden="false" customHeight="false" outlineLevel="0" collapsed="false">
      <c r="A996" s="4"/>
      <c r="B996" s="2"/>
      <c r="C996" s="3"/>
    </row>
    <row r="997" customFormat="false" ht="15" hidden="false" customHeight="false" outlineLevel="0" collapsed="false">
      <c r="A997" s="4"/>
      <c r="B997" s="2"/>
      <c r="C997" s="3"/>
    </row>
    <row r="998" customFormat="false" ht="15" hidden="false" customHeight="false" outlineLevel="0" collapsed="false">
      <c r="A998" s="4"/>
      <c r="B998" s="2"/>
      <c r="C998" s="3"/>
    </row>
    <row r="999" customFormat="false" ht="15" hidden="false" customHeight="false" outlineLevel="0" collapsed="false">
      <c r="A999" s="4"/>
      <c r="B999" s="2"/>
      <c r="C999" s="3"/>
    </row>
    <row r="1000" customFormat="false" ht="15" hidden="false" customHeight="false" outlineLevel="0" collapsed="false">
      <c r="A1000" s="4"/>
      <c r="B1000" s="2"/>
      <c r="C1000" s="3"/>
    </row>
    <row r="1001" customFormat="false" ht="15" hidden="false" customHeight="false" outlineLevel="0" collapsed="false">
      <c r="A1001" s="4"/>
      <c r="B1001" s="2"/>
      <c r="C1001" s="3"/>
    </row>
    <row r="1002" customFormat="false" ht="15" hidden="false" customHeight="false" outlineLevel="0" collapsed="false">
      <c r="A1002" s="4"/>
      <c r="B1002" s="2"/>
      <c r="C1002" s="3"/>
    </row>
    <row r="1003" customFormat="false" ht="15" hidden="false" customHeight="false" outlineLevel="0" collapsed="false">
      <c r="A1003" s="4"/>
      <c r="B1003" s="2"/>
      <c r="C1003" s="3"/>
    </row>
    <row r="1004" customFormat="false" ht="15" hidden="false" customHeight="false" outlineLevel="0" collapsed="false">
      <c r="A1004" s="4"/>
      <c r="B1004" s="2"/>
      <c r="C1004" s="3"/>
    </row>
    <row r="1005" customFormat="false" ht="15" hidden="false" customHeight="false" outlineLevel="0" collapsed="false">
      <c r="A1005" s="4"/>
      <c r="B1005" s="2"/>
      <c r="C1005" s="3"/>
    </row>
    <row r="1006" customFormat="false" ht="15" hidden="false" customHeight="false" outlineLevel="0" collapsed="false">
      <c r="A1006" s="4"/>
      <c r="B1006" s="2"/>
      <c r="C1006" s="3"/>
    </row>
    <row r="1007" customFormat="false" ht="15" hidden="false" customHeight="false" outlineLevel="0" collapsed="false">
      <c r="A1007" s="4"/>
      <c r="B1007" s="2"/>
      <c r="C1007" s="3"/>
    </row>
    <row r="1008" customFormat="false" ht="15" hidden="false" customHeight="false" outlineLevel="0" collapsed="false">
      <c r="A1008" s="4"/>
      <c r="B1008" s="2"/>
      <c r="C1008" s="3"/>
    </row>
    <row r="1009" customFormat="false" ht="15" hidden="false" customHeight="false" outlineLevel="0" collapsed="false">
      <c r="A1009" s="4"/>
      <c r="B1009" s="2"/>
      <c r="C1009" s="3"/>
    </row>
    <row r="1010" customFormat="false" ht="15" hidden="false" customHeight="false" outlineLevel="0" collapsed="false">
      <c r="A1010" s="4"/>
      <c r="B1010" s="2"/>
      <c r="C1010" s="3"/>
    </row>
    <row r="1011" customFormat="false" ht="15" hidden="false" customHeight="false" outlineLevel="0" collapsed="false">
      <c r="A1011" s="4"/>
      <c r="B1011" s="2"/>
      <c r="C1011" s="3"/>
    </row>
    <row r="1012" customFormat="false" ht="15" hidden="false" customHeight="false" outlineLevel="0" collapsed="false">
      <c r="A1012" s="4"/>
      <c r="B1012" s="2"/>
      <c r="C1012" s="3"/>
    </row>
    <row r="1013" customFormat="false" ht="15" hidden="false" customHeight="false" outlineLevel="0" collapsed="false">
      <c r="A1013" s="4"/>
      <c r="B1013" s="2"/>
      <c r="C1013" s="3"/>
    </row>
    <row r="1014" customFormat="false" ht="15" hidden="false" customHeight="false" outlineLevel="0" collapsed="false">
      <c r="A1014" s="4"/>
      <c r="B1014" s="2"/>
      <c r="C1014" s="3"/>
    </row>
    <row r="1015" customFormat="false" ht="15" hidden="false" customHeight="false" outlineLevel="0" collapsed="false">
      <c r="A1015" s="4"/>
      <c r="B1015" s="2"/>
      <c r="C1015" s="3"/>
    </row>
    <row r="1016" customFormat="false" ht="15" hidden="false" customHeight="false" outlineLevel="0" collapsed="false">
      <c r="A1016" s="4"/>
      <c r="B1016" s="2"/>
      <c r="C1016" s="3"/>
    </row>
    <row r="1017" customFormat="false" ht="15" hidden="false" customHeight="false" outlineLevel="0" collapsed="false">
      <c r="A1017" s="4"/>
      <c r="B1017" s="2"/>
      <c r="C1017" s="3"/>
    </row>
    <row r="1018" customFormat="false" ht="15" hidden="false" customHeight="false" outlineLevel="0" collapsed="false">
      <c r="A1018" s="4"/>
      <c r="B1018" s="2"/>
      <c r="C1018" s="3"/>
    </row>
    <row r="1019" customFormat="false" ht="15" hidden="false" customHeight="false" outlineLevel="0" collapsed="false">
      <c r="A1019" s="4"/>
      <c r="B1019" s="2"/>
      <c r="C1019" s="3"/>
    </row>
    <row r="1020" customFormat="false" ht="15" hidden="false" customHeight="false" outlineLevel="0" collapsed="false">
      <c r="A1020" s="4"/>
      <c r="B1020" s="2"/>
      <c r="C1020" s="3"/>
    </row>
    <row r="1021" customFormat="false" ht="15" hidden="false" customHeight="false" outlineLevel="0" collapsed="false">
      <c r="A1021" s="4"/>
      <c r="B1021" s="2"/>
      <c r="C1021" s="3"/>
    </row>
    <row r="1022" customFormat="false" ht="15" hidden="false" customHeight="false" outlineLevel="0" collapsed="false">
      <c r="A1022" s="4"/>
      <c r="B1022" s="2"/>
      <c r="C1022" s="3"/>
    </row>
    <row r="1023" customFormat="false" ht="15" hidden="false" customHeight="false" outlineLevel="0" collapsed="false">
      <c r="A1023" s="4"/>
      <c r="B1023" s="2"/>
      <c r="C1023" s="3"/>
    </row>
    <row r="1024" customFormat="false" ht="15" hidden="false" customHeight="false" outlineLevel="0" collapsed="false">
      <c r="A1024" s="4"/>
      <c r="B1024" s="2"/>
      <c r="C1024" s="3"/>
    </row>
    <row r="1025" customFormat="false" ht="15" hidden="false" customHeight="false" outlineLevel="0" collapsed="false">
      <c r="A1025" s="4"/>
      <c r="B1025" s="2"/>
      <c r="C1025" s="3"/>
    </row>
    <row r="1026" customFormat="false" ht="15" hidden="false" customHeight="false" outlineLevel="0" collapsed="false">
      <c r="A1026" s="4"/>
      <c r="B1026" s="2"/>
      <c r="C1026" s="3"/>
    </row>
    <row r="1027" customFormat="false" ht="15" hidden="false" customHeight="false" outlineLevel="0" collapsed="false">
      <c r="A1027" s="4"/>
      <c r="B1027" s="2"/>
      <c r="C1027" s="3"/>
    </row>
    <row r="1028" customFormat="false" ht="15" hidden="false" customHeight="false" outlineLevel="0" collapsed="false">
      <c r="A1028" s="4"/>
      <c r="B1028" s="2"/>
      <c r="C1028" s="3"/>
    </row>
    <row r="1029" customFormat="false" ht="15" hidden="false" customHeight="false" outlineLevel="0" collapsed="false">
      <c r="A1029" s="4"/>
      <c r="B1029" s="2"/>
      <c r="C1029" s="3"/>
    </row>
    <row r="1030" customFormat="false" ht="15" hidden="false" customHeight="false" outlineLevel="0" collapsed="false">
      <c r="A1030" s="4"/>
      <c r="B1030" s="2"/>
      <c r="C1030" s="3"/>
    </row>
    <row r="1031" customFormat="false" ht="15" hidden="false" customHeight="false" outlineLevel="0" collapsed="false">
      <c r="A1031" s="4"/>
      <c r="B1031" s="2"/>
      <c r="C1031" s="3"/>
    </row>
    <row r="1032" customFormat="false" ht="15" hidden="false" customHeight="false" outlineLevel="0" collapsed="false">
      <c r="A1032" s="4"/>
      <c r="B1032" s="2"/>
      <c r="C1032" s="3"/>
    </row>
    <row r="1033" customFormat="false" ht="15" hidden="false" customHeight="false" outlineLevel="0" collapsed="false">
      <c r="A1033" s="4"/>
      <c r="B1033" s="2"/>
      <c r="C1033" s="3"/>
    </row>
    <row r="1034" customFormat="false" ht="15" hidden="false" customHeight="false" outlineLevel="0" collapsed="false">
      <c r="A1034" s="4"/>
      <c r="B1034" s="2"/>
      <c r="C1034" s="3"/>
    </row>
    <row r="1035" customFormat="false" ht="15" hidden="false" customHeight="false" outlineLevel="0" collapsed="false">
      <c r="A1035" s="4"/>
      <c r="B1035" s="2"/>
      <c r="C1035" s="3"/>
    </row>
    <row r="1036" customFormat="false" ht="15" hidden="false" customHeight="false" outlineLevel="0" collapsed="false">
      <c r="A1036" s="4"/>
      <c r="B1036" s="2"/>
      <c r="C1036" s="3"/>
    </row>
    <row r="1037" customFormat="false" ht="15" hidden="false" customHeight="false" outlineLevel="0" collapsed="false">
      <c r="A1037" s="4"/>
      <c r="B1037" s="2"/>
      <c r="C1037" s="3"/>
    </row>
    <row r="1038" customFormat="false" ht="15" hidden="false" customHeight="false" outlineLevel="0" collapsed="false">
      <c r="A1038" s="4"/>
      <c r="B1038" s="2"/>
      <c r="C1038" s="3"/>
    </row>
    <row r="1039" customFormat="false" ht="15" hidden="false" customHeight="false" outlineLevel="0" collapsed="false">
      <c r="A1039" s="4"/>
      <c r="B1039" s="2"/>
      <c r="C1039" s="3"/>
    </row>
    <row r="1040" customFormat="false" ht="15" hidden="false" customHeight="false" outlineLevel="0" collapsed="false">
      <c r="A1040" s="4"/>
      <c r="B1040" s="2"/>
      <c r="C1040" s="3"/>
    </row>
    <row r="1041" customFormat="false" ht="15" hidden="false" customHeight="false" outlineLevel="0" collapsed="false">
      <c r="A1041" s="4"/>
      <c r="B1041" s="2"/>
      <c r="C1041" s="3"/>
    </row>
    <row r="1042" customFormat="false" ht="15" hidden="false" customHeight="false" outlineLevel="0" collapsed="false">
      <c r="A1042" s="4"/>
      <c r="B1042" s="2"/>
      <c r="C1042" s="3"/>
    </row>
    <row r="1043" customFormat="false" ht="15" hidden="false" customHeight="false" outlineLevel="0" collapsed="false">
      <c r="A1043" s="4"/>
      <c r="B1043" s="2"/>
      <c r="C1043" s="3"/>
    </row>
    <row r="1044" customFormat="false" ht="15" hidden="false" customHeight="false" outlineLevel="0" collapsed="false">
      <c r="A1044" s="4"/>
      <c r="B1044" s="2"/>
      <c r="C1044" s="3"/>
    </row>
    <row r="1045" customFormat="false" ht="15" hidden="false" customHeight="false" outlineLevel="0" collapsed="false">
      <c r="A1045" s="4"/>
      <c r="B1045" s="2"/>
      <c r="C1045" s="3"/>
    </row>
    <row r="1046" customFormat="false" ht="15" hidden="false" customHeight="false" outlineLevel="0" collapsed="false">
      <c r="A1046" s="4"/>
      <c r="B1046" s="2"/>
      <c r="C1046" s="3"/>
    </row>
    <row r="1047" customFormat="false" ht="15" hidden="false" customHeight="false" outlineLevel="0" collapsed="false">
      <c r="A1047" s="4"/>
      <c r="B1047" s="2"/>
      <c r="C1047" s="3"/>
    </row>
    <row r="1048" customFormat="false" ht="15" hidden="false" customHeight="false" outlineLevel="0" collapsed="false">
      <c r="A1048" s="4"/>
      <c r="B1048" s="2"/>
      <c r="C1048" s="3"/>
    </row>
    <row r="1049" customFormat="false" ht="15" hidden="false" customHeight="false" outlineLevel="0" collapsed="false">
      <c r="A1049" s="4"/>
      <c r="B1049" s="2"/>
      <c r="C1049" s="3"/>
    </row>
    <row r="1050" customFormat="false" ht="15" hidden="false" customHeight="false" outlineLevel="0" collapsed="false">
      <c r="A1050" s="4"/>
      <c r="B1050" s="2"/>
      <c r="C1050" s="3"/>
    </row>
    <row r="1051" customFormat="false" ht="15" hidden="false" customHeight="false" outlineLevel="0" collapsed="false">
      <c r="A1051" s="4"/>
      <c r="B1051" s="2"/>
      <c r="C1051" s="3"/>
    </row>
    <row r="1052" customFormat="false" ht="15" hidden="false" customHeight="false" outlineLevel="0" collapsed="false">
      <c r="A1052" s="4"/>
      <c r="B1052" s="2"/>
      <c r="C1052" s="3"/>
    </row>
    <row r="1053" customFormat="false" ht="15" hidden="false" customHeight="false" outlineLevel="0" collapsed="false">
      <c r="A1053" s="4"/>
      <c r="B1053" s="2"/>
      <c r="C1053" s="3"/>
    </row>
    <row r="1054" customFormat="false" ht="15" hidden="false" customHeight="false" outlineLevel="0" collapsed="false">
      <c r="A1054" s="4"/>
      <c r="B1054" s="2"/>
      <c r="C1054" s="3"/>
    </row>
    <row r="1055" customFormat="false" ht="15" hidden="false" customHeight="false" outlineLevel="0" collapsed="false">
      <c r="A1055" s="4"/>
      <c r="B1055" s="2"/>
      <c r="C1055" s="3"/>
    </row>
    <row r="1056" customFormat="false" ht="15" hidden="false" customHeight="false" outlineLevel="0" collapsed="false">
      <c r="A1056" s="4"/>
      <c r="B1056" s="2"/>
      <c r="C1056" s="3"/>
    </row>
    <row r="1057" customFormat="false" ht="15" hidden="false" customHeight="false" outlineLevel="0" collapsed="false">
      <c r="A1057" s="4"/>
      <c r="B1057" s="2"/>
      <c r="C1057" s="3"/>
    </row>
    <row r="1058" customFormat="false" ht="15" hidden="false" customHeight="false" outlineLevel="0" collapsed="false">
      <c r="A1058" s="4"/>
      <c r="B1058" s="2"/>
      <c r="C1058" s="3"/>
    </row>
    <row r="1059" customFormat="false" ht="15" hidden="false" customHeight="false" outlineLevel="0" collapsed="false">
      <c r="A1059" s="4"/>
      <c r="B1059" s="2"/>
      <c r="C1059" s="3"/>
    </row>
    <row r="1060" customFormat="false" ht="15" hidden="false" customHeight="false" outlineLevel="0" collapsed="false">
      <c r="A1060" s="4"/>
      <c r="B1060" s="2"/>
      <c r="C1060" s="3"/>
    </row>
    <row r="1061" customFormat="false" ht="15" hidden="false" customHeight="false" outlineLevel="0" collapsed="false">
      <c r="A1061" s="4"/>
      <c r="B1061" s="2"/>
      <c r="C1061" s="3"/>
    </row>
    <row r="1062" customFormat="false" ht="15" hidden="false" customHeight="false" outlineLevel="0" collapsed="false">
      <c r="A1062" s="4"/>
      <c r="B1062" s="2"/>
      <c r="C1062" s="3"/>
    </row>
    <row r="1063" customFormat="false" ht="15" hidden="false" customHeight="false" outlineLevel="0" collapsed="false">
      <c r="A1063" s="4"/>
      <c r="B1063" s="2"/>
      <c r="C1063" s="3"/>
    </row>
    <row r="1064" customFormat="false" ht="15" hidden="false" customHeight="false" outlineLevel="0" collapsed="false">
      <c r="A1064" s="4"/>
      <c r="B1064" s="2"/>
      <c r="C1064" s="3"/>
    </row>
    <row r="1065" customFormat="false" ht="15" hidden="false" customHeight="false" outlineLevel="0" collapsed="false">
      <c r="A1065" s="4"/>
      <c r="B1065" s="2"/>
      <c r="C1065" s="3"/>
    </row>
    <row r="1066" customFormat="false" ht="15" hidden="false" customHeight="false" outlineLevel="0" collapsed="false">
      <c r="A1066" s="4"/>
      <c r="B1066" s="2"/>
      <c r="C1066" s="3"/>
    </row>
    <row r="1067" customFormat="false" ht="15" hidden="false" customHeight="false" outlineLevel="0" collapsed="false">
      <c r="A1067" s="4"/>
      <c r="B1067" s="2"/>
      <c r="C1067" s="3"/>
    </row>
    <row r="1068" customFormat="false" ht="15" hidden="false" customHeight="false" outlineLevel="0" collapsed="false">
      <c r="A1068" s="4"/>
      <c r="B1068" s="2"/>
      <c r="C1068" s="3"/>
    </row>
    <row r="1069" customFormat="false" ht="15" hidden="false" customHeight="false" outlineLevel="0" collapsed="false">
      <c r="A1069" s="4"/>
      <c r="B1069" s="2"/>
      <c r="C1069" s="3"/>
    </row>
    <row r="1070" customFormat="false" ht="15" hidden="false" customHeight="false" outlineLevel="0" collapsed="false">
      <c r="A1070" s="4"/>
      <c r="B1070" s="2"/>
      <c r="C1070" s="3"/>
    </row>
    <row r="1071" customFormat="false" ht="15" hidden="false" customHeight="false" outlineLevel="0" collapsed="false">
      <c r="A1071" s="4"/>
      <c r="B1071" s="2"/>
      <c r="C1071" s="3"/>
    </row>
    <row r="1072" customFormat="false" ht="15" hidden="false" customHeight="false" outlineLevel="0" collapsed="false">
      <c r="A1072" s="4"/>
      <c r="B1072" s="2"/>
      <c r="C1072" s="3"/>
    </row>
    <row r="1073" customFormat="false" ht="15" hidden="false" customHeight="false" outlineLevel="0" collapsed="false">
      <c r="A1073" s="4"/>
      <c r="B1073" s="2"/>
      <c r="C1073" s="3"/>
    </row>
    <row r="1074" customFormat="false" ht="15" hidden="false" customHeight="false" outlineLevel="0" collapsed="false">
      <c r="A1074" s="4"/>
      <c r="B1074" s="2"/>
      <c r="C1074" s="3"/>
    </row>
    <row r="1075" customFormat="false" ht="15" hidden="false" customHeight="false" outlineLevel="0" collapsed="false">
      <c r="A1075" s="4"/>
      <c r="B1075" s="2"/>
      <c r="C1075" s="3"/>
    </row>
    <row r="1076" customFormat="false" ht="15" hidden="false" customHeight="false" outlineLevel="0" collapsed="false">
      <c r="A1076" s="4"/>
      <c r="B1076" s="2"/>
      <c r="C1076" s="3"/>
    </row>
    <row r="1077" customFormat="false" ht="15" hidden="false" customHeight="false" outlineLevel="0" collapsed="false">
      <c r="A1077" s="4"/>
      <c r="B1077" s="2"/>
      <c r="C1077" s="3"/>
    </row>
    <row r="1078" customFormat="false" ht="15" hidden="false" customHeight="false" outlineLevel="0" collapsed="false">
      <c r="A1078" s="4"/>
      <c r="B1078" s="2"/>
      <c r="C1078" s="3"/>
    </row>
    <row r="1079" customFormat="false" ht="15" hidden="false" customHeight="false" outlineLevel="0" collapsed="false">
      <c r="A1079" s="4"/>
      <c r="B1079" s="2"/>
      <c r="C1079" s="3"/>
    </row>
    <row r="1080" customFormat="false" ht="15" hidden="false" customHeight="false" outlineLevel="0" collapsed="false">
      <c r="A1080" s="4"/>
      <c r="B1080" s="2"/>
      <c r="C1080" s="3"/>
    </row>
    <row r="1081" customFormat="false" ht="15" hidden="false" customHeight="false" outlineLevel="0" collapsed="false">
      <c r="A1081" s="4"/>
      <c r="B1081" s="2"/>
      <c r="C1081" s="3"/>
    </row>
    <row r="1082" customFormat="false" ht="15" hidden="false" customHeight="false" outlineLevel="0" collapsed="false">
      <c r="A1082" s="4"/>
      <c r="B1082" s="2"/>
      <c r="C1082" s="3"/>
    </row>
    <row r="1083" customFormat="false" ht="15" hidden="false" customHeight="false" outlineLevel="0" collapsed="false">
      <c r="A1083" s="4"/>
      <c r="B1083" s="2"/>
      <c r="C1083" s="3"/>
    </row>
    <row r="1084" customFormat="false" ht="15" hidden="false" customHeight="false" outlineLevel="0" collapsed="false">
      <c r="A1084" s="4"/>
      <c r="B1084" s="2"/>
      <c r="C1084" s="3"/>
    </row>
    <row r="1085" customFormat="false" ht="15" hidden="false" customHeight="false" outlineLevel="0" collapsed="false">
      <c r="A1085" s="4"/>
      <c r="B1085" s="2"/>
      <c r="C1085" s="3"/>
    </row>
    <row r="1086" customFormat="false" ht="15" hidden="false" customHeight="false" outlineLevel="0" collapsed="false">
      <c r="A1086" s="4"/>
      <c r="B1086" s="2"/>
      <c r="C1086" s="3"/>
    </row>
    <row r="1087" customFormat="false" ht="15" hidden="false" customHeight="false" outlineLevel="0" collapsed="false">
      <c r="A1087" s="4"/>
      <c r="B1087" s="2"/>
      <c r="C1087" s="3"/>
    </row>
    <row r="1088" customFormat="false" ht="15" hidden="false" customHeight="false" outlineLevel="0" collapsed="false">
      <c r="A1088" s="4"/>
      <c r="B1088" s="2"/>
      <c r="C1088" s="3"/>
    </row>
    <row r="1089" customFormat="false" ht="15" hidden="false" customHeight="false" outlineLevel="0" collapsed="false">
      <c r="A1089" s="4"/>
      <c r="B1089" s="2"/>
      <c r="C1089" s="3"/>
    </row>
    <row r="1090" customFormat="false" ht="15" hidden="false" customHeight="false" outlineLevel="0" collapsed="false">
      <c r="A1090" s="4"/>
      <c r="B1090" s="2"/>
      <c r="C1090" s="3"/>
    </row>
    <row r="1091" customFormat="false" ht="15" hidden="false" customHeight="false" outlineLevel="0" collapsed="false">
      <c r="A1091" s="4"/>
      <c r="B1091" s="2"/>
      <c r="C1091" s="3"/>
    </row>
    <row r="1092" customFormat="false" ht="15" hidden="false" customHeight="false" outlineLevel="0" collapsed="false">
      <c r="A1092" s="4"/>
      <c r="B1092" s="2"/>
      <c r="C1092" s="3"/>
    </row>
    <row r="1093" customFormat="false" ht="15" hidden="false" customHeight="false" outlineLevel="0" collapsed="false">
      <c r="A1093" s="4"/>
      <c r="B1093" s="2"/>
      <c r="C1093" s="3"/>
    </row>
    <row r="1094" customFormat="false" ht="15" hidden="false" customHeight="false" outlineLevel="0" collapsed="false">
      <c r="A1094" s="4"/>
      <c r="B1094" s="2"/>
      <c r="C1094" s="3"/>
    </row>
    <row r="1095" customFormat="false" ht="15" hidden="false" customHeight="false" outlineLevel="0" collapsed="false">
      <c r="A1095" s="4"/>
      <c r="B1095" s="2"/>
      <c r="C1095" s="3"/>
    </row>
    <row r="1096" customFormat="false" ht="15" hidden="false" customHeight="false" outlineLevel="0" collapsed="false">
      <c r="A1096" s="4"/>
      <c r="B1096" s="2"/>
      <c r="C1096" s="3"/>
    </row>
    <row r="1097" customFormat="false" ht="15" hidden="false" customHeight="false" outlineLevel="0" collapsed="false">
      <c r="A1097" s="4"/>
      <c r="B1097" s="2"/>
      <c r="C1097" s="3"/>
    </row>
    <row r="1098" customFormat="false" ht="15" hidden="false" customHeight="false" outlineLevel="0" collapsed="false">
      <c r="A1098" s="4"/>
      <c r="B1098" s="2"/>
      <c r="C1098" s="3"/>
    </row>
    <row r="1099" customFormat="false" ht="15" hidden="false" customHeight="false" outlineLevel="0" collapsed="false">
      <c r="A1099" s="4"/>
      <c r="B1099" s="2"/>
      <c r="C1099" s="3"/>
    </row>
    <row r="1100" customFormat="false" ht="15" hidden="false" customHeight="false" outlineLevel="0" collapsed="false">
      <c r="A1100" s="4"/>
      <c r="B1100" s="2"/>
      <c r="C1100" s="3"/>
    </row>
    <row r="1101" customFormat="false" ht="15" hidden="false" customHeight="false" outlineLevel="0" collapsed="false">
      <c r="A1101" s="4"/>
      <c r="B1101" s="2"/>
      <c r="C1101" s="3"/>
    </row>
    <row r="1102" customFormat="false" ht="15" hidden="false" customHeight="false" outlineLevel="0" collapsed="false">
      <c r="A1102" s="4"/>
      <c r="B1102" s="2"/>
      <c r="C1102" s="3"/>
    </row>
    <row r="1103" customFormat="false" ht="15" hidden="false" customHeight="false" outlineLevel="0" collapsed="false">
      <c r="A1103" s="4"/>
      <c r="B1103" s="2"/>
      <c r="C1103" s="3"/>
    </row>
    <row r="1104" customFormat="false" ht="15" hidden="false" customHeight="false" outlineLevel="0" collapsed="false">
      <c r="A1104" s="4"/>
      <c r="B1104" s="2"/>
      <c r="C1104" s="3"/>
    </row>
    <row r="1105" customFormat="false" ht="15" hidden="false" customHeight="false" outlineLevel="0" collapsed="false">
      <c r="A1105" s="4"/>
      <c r="B1105" s="2"/>
      <c r="C1105" s="3"/>
    </row>
    <row r="1106" customFormat="false" ht="15" hidden="false" customHeight="false" outlineLevel="0" collapsed="false">
      <c r="A1106" s="4"/>
      <c r="B1106" s="2"/>
      <c r="C1106" s="3"/>
    </row>
    <row r="1107" customFormat="false" ht="15" hidden="false" customHeight="false" outlineLevel="0" collapsed="false">
      <c r="A1107" s="4"/>
      <c r="B1107" s="2"/>
      <c r="C1107" s="3"/>
    </row>
    <row r="1108" customFormat="false" ht="15" hidden="false" customHeight="false" outlineLevel="0" collapsed="false">
      <c r="A1108" s="4"/>
      <c r="B1108" s="2"/>
      <c r="C1108" s="3"/>
    </row>
    <row r="1109" customFormat="false" ht="15" hidden="false" customHeight="false" outlineLevel="0" collapsed="false">
      <c r="A1109" s="4"/>
      <c r="B1109" s="2"/>
      <c r="C1109" s="3"/>
    </row>
    <row r="1110" customFormat="false" ht="15" hidden="false" customHeight="false" outlineLevel="0" collapsed="false">
      <c r="A1110" s="4"/>
      <c r="B1110" s="2"/>
      <c r="C1110" s="3"/>
    </row>
    <row r="1111" customFormat="false" ht="15" hidden="false" customHeight="false" outlineLevel="0" collapsed="false">
      <c r="A1111" s="4"/>
      <c r="B1111" s="2"/>
      <c r="C1111" s="3"/>
    </row>
    <row r="1112" customFormat="false" ht="15" hidden="false" customHeight="false" outlineLevel="0" collapsed="false">
      <c r="A1112" s="4"/>
      <c r="B1112" s="2"/>
      <c r="C1112" s="3"/>
    </row>
    <row r="1113" customFormat="false" ht="15" hidden="false" customHeight="false" outlineLevel="0" collapsed="false">
      <c r="A1113" s="4"/>
      <c r="B1113" s="2"/>
      <c r="C1113" s="3"/>
    </row>
    <row r="1114" customFormat="false" ht="15" hidden="false" customHeight="false" outlineLevel="0" collapsed="false">
      <c r="A1114" s="4"/>
      <c r="B1114" s="2"/>
      <c r="C1114" s="3"/>
    </row>
    <row r="1115" customFormat="false" ht="15" hidden="false" customHeight="false" outlineLevel="0" collapsed="false">
      <c r="A1115" s="4"/>
      <c r="B1115" s="2"/>
      <c r="C1115" s="3"/>
    </row>
    <row r="1116" customFormat="false" ht="15" hidden="false" customHeight="false" outlineLevel="0" collapsed="false">
      <c r="A1116" s="4"/>
      <c r="B1116" s="2"/>
      <c r="C1116" s="3"/>
    </row>
    <row r="1117" customFormat="false" ht="15" hidden="false" customHeight="false" outlineLevel="0" collapsed="false">
      <c r="A1117" s="4"/>
      <c r="B1117" s="2"/>
      <c r="C1117" s="3"/>
    </row>
    <row r="1118" customFormat="false" ht="15" hidden="false" customHeight="false" outlineLevel="0" collapsed="false">
      <c r="A1118" s="4"/>
      <c r="B1118" s="2"/>
      <c r="C1118" s="3"/>
    </row>
    <row r="1119" customFormat="false" ht="15" hidden="false" customHeight="false" outlineLevel="0" collapsed="false">
      <c r="A1119" s="4"/>
      <c r="B1119" s="2"/>
      <c r="C1119" s="3"/>
    </row>
    <row r="1120" customFormat="false" ht="15" hidden="false" customHeight="false" outlineLevel="0" collapsed="false">
      <c r="A1120" s="4"/>
      <c r="B1120" s="2"/>
      <c r="C1120" s="3"/>
    </row>
    <row r="1121" customFormat="false" ht="15" hidden="false" customHeight="false" outlineLevel="0" collapsed="false">
      <c r="A1121" s="4"/>
      <c r="B1121" s="2"/>
      <c r="C1121" s="3"/>
    </row>
    <row r="1122" customFormat="false" ht="15" hidden="false" customHeight="false" outlineLevel="0" collapsed="false">
      <c r="A1122" s="4"/>
      <c r="B1122" s="2"/>
      <c r="C1122" s="3"/>
    </row>
    <row r="1123" customFormat="false" ht="15" hidden="false" customHeight="false" outlineLevel="0" collapsed="false">
      <c r="A1123" s="4"/>
      <c r="B1123" s="2"/>
      <c r="C1123" s="3"/>
    </row>
    <row r="1124" customFormat="false" ht="15" hidden="false" customHeight="false" outlineLevel="0" collapsed="false">
      <c r="A1124" s="4"/>
      <c r="B1124" s="2"/>
      <c r="C1124" s="3"/>
    </row>
    <row r="1125" customFormat="false" ht="15" hidden="false" customHeight="false" outlineLevel="0" collapsed="false">
      <c r="A1125" s="4"/>
      <c r="B1125" s="2"/>
      <c r="C1125" s="3"/>
    </row>
    <row r="1126" customFormat="false" ht="15" hidden="false" customHeight="false" outlineLevel="0" collapsed="false">
      <c r="A1126" s="4"/>
      <c r="B1126" s="2"/>
      <c r="C1126" s="3"/>
    </row>
    <row r="1127" customFormat="false" ht="15" hidden="false" customHeight="false" outlineLevel="0" collapsed="false">
      <c r="A1127" s="4"/>
      <c r="B1127" s="2"/>
      <c r="C1127" s="3"/>
    </row>
    <row r="1128" customFormat="false" ht="15" hidden="false" customHeight="false" outlineLevel="0" collapsed="false">
      <c r="A1128" s="4"/>
      <c r="B1128" s="2"/>
      <c r="C1128" s="3"/>
    </row>
    <row r="1129" customFormat="false" ht="15" hidden="false" customHeight="false" outlineLevel="0" collapsed="false">
      <c r="A1129" s="4"/>
      <c r="B1129" s="2"/>
      <c r="C1129" s="3"/>
    </row>
    <row r="1130" customFormat="false" ht="15" hidden="false" customHeight="false" outlineLevel="0" collapsed="false">
      <c r="A1130" s="4"/>
      <c r="B1130" s="2"/>
      <c r="C1130" s="3"/>
    </row>
    <row r="1131" customFormat="false" ht="15" hidden="false" customHeight="false" outlineLevel="0" collapsed="false">
      <c r="A1131" s="4"/>
      <c r="B1131" s="2"/>
      <c r="C1131" s="3"/>
    </row>
    <row r="1132" customFormat="false" ht="15" hidden="false" customHeight="false" outlineLevel="0" collapsed="false">
      <c r="A1132" s="4"/>
      <c r="B1132" s="2"/>
      <c r="C1132" s="3"/>
    </row>
    <row r="1133" customFormat="false" ht="15" hidden="false" customHeight="false" outlineLevel="0" collapsed="false">
      <c r="A1133" s="4"/>
      <c r="B1133" s="2"/>
      <c r="C1133" s="3"/>
    </row>
    <row r="1134" customFormat="false" ht="15" hidden="false" customHeight="false" outlineLevel="0" collapsed="false">
      <c r="A1134" s="4"/>
      <c r="B1134" s="2"/>
      <c r="C1134" s="3"/>
    </row>
    <row r="1135" customFormat="false" ht="15" hidden="false" customHeight="false" outlineLevel="0" collapsed="false">
      <c r="A1135" s="4"/>
      <c r="B1135" s="2"/>
      <c r="C1135" s="3"/>
    </row>
    <row r="1136" customFormat="false" ht="15" hidden="false" customHeight="false" outlineLevel="0" collapsed="false">
      <c r="A1136" s="4"/>
      <c r="B1136" s="2"/>
      <c r="C1136" s="3"/>
    </row>
    <row r="1137" customFormat="false" ht="15" hidden="false" customHeight="false" outlineLevel="0" collapsed="false">
      <c r="A1137" s="4"/>
      <c r="B1137" s="2"/>
      <c r="C1137" s="3"/>
    </row>
    <row r="1138" customFormat="false" ht="15" hidden="false" customHeight="false" outlineLevel="0" collapsed="false">
      <c r="A1138" s="4"/>
      <c r="B1138" s="2"/>
      <c r="C1138" s="3"/>
    </row>
    <row r="1139" customFormat="false" ht="15" hidden="false" customHeight="false" outlineLevel="0" collapsed="false">
      <c r="A1139" s="4"/>
      <c r="B1139" s="2"/>
      <c r="C1139" s="3"/>
    </row>
    <row r="1140" customFormat="false" ht="15" hidden="false" customHeight="false" outlineLevel="0" collapsed="false">
      <c r="A1140" s="4"/>
      <c r="B1140" s="2"/>
      <c r="C1140" s="3"/>
    </row>
    <row r="1141" customFormat="false" ht="15" hidden="false" customHeight="false" outlineLevel="0" collapsed="false">
      <c r="A1141" s="4"/>
      <c r="B1141" s="2"/>
      <c r="C1141" s="3"/>
    </row>
    <row r="1142" customFormat="false" ht="15" hidden="false" customHeight="false" outlineLevel="0" collapsed="false">
      <c r="A1142" s="4"/>
      <c r="B1142" s="2"/>
      <c r="C1142" s="3"/>
    </row>
    <row r="1143" customFormat="false" ht="15" hidden="false" customHeight="false" outlineLevel="0" collapsed="false">
      <c r="A1143" s="4"/>
      <c r="B1143" s="2"/>
      <c r="C1143" s="3"/>
    </row>
    <row r="1144" customFormat="false" ht="15" hidden="false" customHeight="false" outlineLevel="0" collapsed="false">
      <c r="A1144" s="4"/>
      <c r="B1144" s="2"/>
      <c r="C1144" s="3"/>
    </row>
    <row r="1145" customFormat="false" ht="15" hidden="false" customHeight="false" outlineLevel="0" collapsed="false">
      <c r="A1145" s="4"/>
      <c r="B1145" s="2"/>
      <c r="C1145" s="3"/>
    </row>
    <row r="1146" customFormat="false" ht="15" hidden="false" customHeight="false" outlineLevel="0" collapsed="false">
      <c r="A1146" s="4"/>
      <c r="B1146" s="2"/>
      <c r="C1146" s="3"/>
    </row>
    <row r="1147" customFormat="false" ht="15" hidden="false" customHeight="false" outlineLevel="0" collapsed="false">
      <c r="A1147" s="4"/>
      <c r="B1147" s="2"/>
      <c r="C1147" s="3"/>
    </row>
    <row r="1148" customFormat="false" ht="15" hidden="false" customHeight="false" outlineLevel="0" collapsed="false">
      <c r="A1148" s="4"/>
      <c r="B1148" s="2"/>
      <c r="C1148" s="3"/>
    </row>
    <row r="1149" customFormat="false" ht="15" hidden="false" customHeight="false" outlineLevel="0" collapsed="false">
      <c r="A1149" s="4"/>
      <c r="B1149" s="2"/>
      <c r="C1149" s="3"/>
    </row>
    <row r="1150" customFormat="false" ht="15" hidden="false" customHeight="false" outlineLevel="0" collapsed="false">
      <c r="A1150" s="4"/>
      <c r="B1150" s="2"/>
      <c r="C1150" s="3"/>
    </row>
    <row r="1151" customFormat="false" ht="15" hidden="false" customHeight="false" outlineLevel="0" collapsed="false">
      <c r="A1151" s="4"/>
      <c r="B1151" s="2"/>
      <c r="C1151" s="3"/>
    </row>
    <row r="1152" customFormat="false" ht="15" hidden="false" customHeight="false" outlineLevel="0" collapsed="false">
      <c r="A1152" s="4"/>
      <c r="B1152" s="2"/>
      <c r="C1152" s="3"/>
    </row>
    <row r="1153" customFormat="false" ht="15" hidden="false" customHeight="false" outlineLevel="0" collapsed="false">
      <c r="A1153" s="4"/>
      <c r="B1153" s="2"/>
      <c r="C1153" s="3"/>
    </row>
    <row r="1154" customFormat="false" ht="15" hidden="false" customHeight="false" outlineLevel="0" collapsed="false">
      <c r="A1154" s="4"/>
      <c r="B1154" s="2"/>
      <c r="C1154" s="3"/>
    </row>
    <row r="1155" customFormat="false" ht="15" hidden="false" customHeight="false" outlineLevel="0" collapsed="false">
      <c r="A1155" s="4"/>
      <c r="B1155" s="2"/>
      <c r="C1155" s="3"/>
    </row>
    <row r="1156" customFormat="false" ht="15" hidden="false" customHeight="false" outlineLevel="0" collapsed="false">
      <c r="A1156" s="4"/>
      <c r="B1156" s="2"/>
      <c r="C1156" s="3"/>
    </row>
    <row r="1157" customFormat="false" ht="15" hidden="false" customHeight="false" outlineLevel="0" collapsed="false">
      <c r="A1157" s="4"/>
      <c r="B1157" s="2"/>
      <c r="C1157" s="3"/>
    </row>
    <row r="1158" customFormat="false" ht="15" hidden="false" customHeight="false" outlineLevel="0" collapsed="false">
      <c r="A1158" s="4"/>
      <c r="B1158" s="2"/>
      <c r="C1158" s="3"/>
    </row>
    <row r="1159" customFormat="false" ht="15" hidden="false" customHeight="false" outlineLevel="0" collapsed="false">
      <c r="A1159" s="4"/>
      <c r="B1159" s="2"/>
      <c r="C1159" s="3"/>
    </row>
    <row r="1160" customFormat="false" ht="15" hidden="false" customHeight="false" outlineLevel="0" collapsed="false">
      <c r="A1160" s="4"/>
      <c r="B1160" s="2"/>
      <c r="C1160" s="3"/>
    </row>
    <row r="1161" customFormat="false" ht="15" hidden="false" customHeight="false" outlineLevel="0" collapsed="false">
      <c r="A1161" s="4"/>
      <c r="B1161" s="2"/>
      <c r="C1161" s="3"/>
    </row>
    <row r="1162" customFormat="false" ht="15" hidden="false" customHeight="false" outlineLevel="0" collapsed="false">
      <c r="A1162" s="4"/>
      <c r="B1162" s="2"/>
      <c r="C1162" s="3"/>
    </row>
    <row r="1163" customFormat="false" ht="15" hidden="false" customHeight="false" outlineLevel="0" collapsed="false">
      <c r="A1163" s="4"/>
      <c r="B1163" s="2"/>
      <c r="C1163" s="3"/>
    </row>
    <row r="1164" customFormat="false" ht="15" hidden="false" customHeight="false" outlineLevel="0" collapsed="false">
      <c r="A1164" s="4"/>
      <c r="B1164" s="2"/>
      <c r="C1164" s="3"/>
    </row>
    <row r="1165" customFormat="false" ht="15" hidden="false" customHeight="false" outlineLevel="0" collapsed="false">
      <c r="A1165" s="4"/>
      <c r="B1165" s="2"/>
      <c r="C1165" s="3"/>
    </row>
    <row r="1166" customFormat="false" ht="15" hidden="false" customHeight="false" outlineLevel="0" collapsed="false">
      <c r="A1166" s="4"/>
      <c r="B1166" s="2"/>
      <c r="C1166" s="3"/>
    </row>
    <row r="1167" customFormat="false" ht="15" hidden="false" customHeight="false" outlineLevel="0" collapsed="false">
      <c r="A1167" s="4"/>
      <c r="B1167" s="2"/>
      <c r="C1167" s="3"/>
    </row>
    <row r="1168" customFormat="false" ht="15" hidden="false" customHeight="false" outlineLevel="0" collapsed="false">
      <c r="A1168" s="4"/>
      <c r="B1168" s="2"/>
      <c r="C1168" s="3"/>
    </row>
    <row r="1169" customFormat="false" ht="15" hidden="false" customHeight="false" outlineLevel="0" collapsed="false">
      <c r="A1169" s="4"/>
      <c r="B1169" s="2"/>
      <c r="C1169" s="3"/>
    </row>
    <row r="1170" customFormat="false" ht="15" hidden="false" customHeight="false" outlineLevel="0" collapsed="false">
      <c r="A1170" s="4"/>
      <c r="B1170" s="2"/>
      <c r="C1170" s="3"/>
    </row>
    <row r="1171" customFormat="false" ht="15" hidden="false" customHeight="false" outlineLevel="0" collapsed="false">
      <c r="A1171" s="4"/>
      <c r="B1171" s="2"/>
      <c r="C1171" s="3"/>
    </row>
    <row r="1172" customFormat="false" ht="15" hidden="false" customHeight="false" outlineLevel="0" collapsed="false">
      <c r="A1172" s="4"/>
      <c r="B1172" s="2"/>
      <c r="C1172" s="3"/>
    </row>
    <row r="1173" customFormat="false" ht="15" hidden="false" customHeight="false" outlineLevel="0" collapsed="false">
      <c r="A1173" s="4"/>
      <c r="B1173" s="2"/>
      <c r="C1173" s="3"/>
    </row>
    <row r="1174" customFormat="false" ht="15" hidden="false" customHeight="false" outlineLevel="0" collapsed="false">
      <c r="A1174" s="4"/>
      <c r="B1174" s="2"/>
      <c r="C1174" s="3"/>
    </row>
    <row r="1175" customFormat="false" ht="15" hidden="false" customHeight="false" outlineLevel="0" collapsed="false">
      <c r="A1175" s="4"/>
      <c r="B1175" s="2"/>
      <c r="C1175" s="3"/>
    </row>
    <row r="1176" customFormat="false" ht="15" hidden="false" customHeight="false" outlineLevel="0" collapsed="false">
      <c r="A1176" s="4"/>
      <c r="B1176" s="2"/>
      <c r="C1176" s="3"/>
    </row>
    <row r="1177" customFormat="false" ht="15" hidden="false" customHeight="false" outlineLevel="0" collapsed="false">
      <c r="A1177" s="4"/>
      <c r="B1177" s="2"/>
      <c r="C1177" s="3"/>
    </row>
    <row r="1178" customFormat="false" ht="15" hidden="false" customHeight="false" outlineLevel="0" collapsed="false">
      <c r="A1178" s="4"/>
      <c r="B1178" s="2"/>
      <c r="C1178" s="3"/>
    </row>
    <row r="1179" customFormat="false" ht="15" hidden="false" customHeight="false" outlineLevel="0" collapsed="false">
      <c r="A1179" s="4"/>
      <c r="B1179" s="2"/>
      <c r="C1179" s="3"/>
    </row>
    <row r="1180" customFormat="false" ht="15" hidden="false" customHeight="false" outlineLevel="0" collapsed="false">
      <c r="A1180" s="4"/>
      <c r="B1180" s="2"/>
      <c r="C1180" s="3"/>
    </row>
    <row r="1181" customFormat="false" ht="15" hidden="false" customHeight="false" outlineLevel="0" collapsed="false">
      <c r="A1181" s="4"/>
      <c r="B1181" s="2"/>
      <c r="C1181" s="3"/>
    </row>
    <row r="1182" customFormat="false" ht="15" hidden="false" customHeight="false" outlineLevel="0" collapsed="false">
      <c r="A1182" s="4"/>
      <c r="B1182" s="2"/>
      <c r="C1182" s="3"/>
    </row>
    <row r="1183" customFormat="false" ht="15" hidden="false" customHeight="false" outlineLevel="0" collapsed="false">
      <c r="A1183" s="4"/>
      <c r="B1183" s="2"/>
      <c r="C1183" s="3"/>
    </row>
    <row r="1184" customFormat="false" ht="15" hidden="false" customHeight="false" outlineLevel="0" collapsed="false">
      <c r="A1184" s="4"/>
      <c r="B1184" s="2"/>
      <c r="C1184" s="3"/>
    </row>
    <row r="1185" customFormat="false" ht="15" hidden="false" customHeight="false" outlineLevel="0" collapsed="false">
      <c r="A1185" s="4"/>
      <c r="B1185" s="2"/>
      <c r="C1185" s="3"/>
    </row>
    <row r="1186" customFormat="false" ht="15" hidden="false" customHeight="false" outlineLevel="0" collapsed="false">
      <c r="A1186" s="4"/>
      <c r="B1186" s="2"/>
      <c r="C1186" s="3"/>
    </row>
    <row r="1187" customFormat="false" ht="15" hidden="false" customHeight="false" outlineLevel="0" collapsed="false">
      <c r="A1187" s="4"/>
      <c r="B1187" s="2"/>
      <c r="C1187" s="3"/>
    </row>
    <row r="1188" customFormat="false" ht="15" hidden="false" customHeight="false" outlineLevel="0" collapsed="false">
      <c r="A1188" s="4"/>
      <c r="B1188" s="2"/>
      <c r="C1188" s="3"/>
    </row>
    <row r="1189" customFormat="false" ht="15" hidden="false" customHeight="false" outlineLevel="0" collapsed="false">
      <c r="A1189" s="4"/>
      <c r="B1189" s="2"/>
      <c r="C1189" s="3"/>
    </row>
    <row r="1190" customFormat="false" ht="15" hidden="false" customHeight="false" outlineLevel="0" collapsed="false">
      <c r="A1190" s="4"/>
      <c r="B1190" s="2"/>
      <c r="C1190" s="3"/>
    </row>
    <row r="1191" customFormat="false" ht="15" hidden="false" customHeight="false" outlineLevel="0" collapsed="false">
      <c r="A1191" s="4"/>
      <c r="B1191" s="2"/>
      <c r="C1191" s="3"/>
    </row>
    <row r="1192" customFormat="false" ht="15" hidden="false" customHeight="false" outlineLevel="0" collapsed="false">
      <c r="A1192" s="4"/>
      <c r="B1192" s="2"/>
      <c r="C1192" s="3"/>
    </row>
    <row r="1193" customFormat="false" ht="15" hidden="false" customHeight="false" outlineLevel="0" collapsed="false">
      <c r="A1193" s="4"/>
      <c r="B1193" s="2"/>
      <c r="C1193" s="3"/>
    </row>
    <row r="1194" customFormat="false" ht="15" hidden="false" customHeight="false" outlineLevel="0" collapsed="false">
      <c r="A1194" s="4"/>
      <c r="B1194" s="2"/>
      <c r="C1194" s="3"/>
    </row>
    <row r="1195" customFormat="false" ht="15" hidden="false" customHeight="false" outlineLevel="0" collapsed="false">
      <c r="A1195" s="4"/>
      <c r="B1195" s="2"/>
      <c r="C1195" s="3"/>
    </row>
    <row r="1196" customFormat="false" ht="15" hidden="false" customHeight="false" outlineLevel="0" collapsed="false">
      <c r="A1196" s="4"/>
      <c r="B1196" s="2"/>
      <c r="C1196" s="3"/>
    </row>
    <row r="1197" customFormat="false" ht="15" hidden="false" customHeight="false" outlineLevel="0" collapsed="false">
      <c r="A1197" s="4"/>
      <c r="B1197" s="2"/>
      <c r="C1197" s="3"/>
    </row>
    <row r="1198" customFormat="false" ht="15" hidden="false" customHeight="false" outlineLevel="0" collapsed="false">
      <c r="A1198" s="4"/>
      <c r="B1198" s="2"/>
      <c r="C1198" s="3"/>
    </row>
    <row r="1199" customFormat="false" ht="15" hidden="false" customHeight="false" outlineLevel="0" collapsed="false">
      <c r="A1199" s="4"/>
      <c r="B1199" s="2"/>
      <c r="C1199" s="3"/>
    </row>
    <row r="1200" customFormat="false" ht="15" hidden="false" customHeight="false" outlineLevel="0" collapsed="false">
      <c r="A1200" s="4"/>
      <c r="B1200" s="2"/>
      <c r="C1200" s="3"/>
    </row>
    <row r="1201" customFormat="false" ht="15" hidden="false" customHeight="false" outlineLevel="0" collapsed="false">
      <c r="A1201" s="4"/>
      <c r="B1201" s="2"/>
      <c r="C1201" s="3"/>
    </row>
    <row r="1202" customFormat="false" ht="15" hidden="false" customHeight="false" outlineLevel="0" collapsed="false">
      <c r="A1202" s="4"/>
      <c r="B1202" s="2"/>
      <c r="C1202" s="3"/>
    </row>
    <row r="1203" customFormat="false" ht="15" hidden="false" customHeight="false" outlineLevel="0" collapsed="false">
      <c r="A1203" s="4"/>
      <c r="B1203" s="2"/>
      <c r="C1203" s="3"/>
    </row>
    <row r="1204" customFormat="false" ht="15" hidden="false" customHeight="false" outlineLevel="0" collapsed="false">
      <c r="A1204" s="4"/>
      <c r="B1204" s="2"/>
      <c r="C1204" s="3"/>
    </row>
    <row r="1205" customFormat="false" ht="15" hidden="false" customHeight="false" outlineLevel="0" collapsed="false">
      <c r="A1205" s="4"/>
      <c r="B1205" s="2"/>
      <c r="C1205" s="3"/>
    </row>
    <row r="1206" customFormat="false" ht="15" hidden="false" customHeight="false" outlineLevel="0" collapsed="false">
      <c r="A1206" s="4"/>
      <c r="B1206" s="2"/>
      <c r="C1206" s="3"/>
    </row>
    <row r="1207" customFormat="false" ht="15" hidden="false" customHeight="false" outlineLevel="0" collapsed="false">
      <c r="A1207" s="4"/>
      <c r="B1207" s="2"/>
      <c r="C1207" s="3"/>
    </row>
    <row r="1208" customFormat="false" ht="15" hidden="false" customHeight="false" outlineLevel="0" collapsed="false">
      <c r="A1208" s="4"/>
      <c r="B1208" s="2"/>
      <c r="C1208" s="3"/>
    </row>
    <row r="1209" customFormat="false" ht="15" hidden="false" customHeight="false" outlineLevel="0" collapsed="false">
      <c r="A1209" s="4"/>
      <c r="B1209" s="2"/>
      <c r="C1209" s="3"/>
    </row>
    <row r="1210" customFormat="false" ht="15" hidden="false" customHeight="false" outlineLevel="0" collapsed="false">
      <c r="A1210" s="4"/>
      <c r="B1210" s="2"/>
      <c r="C1210" s="3"/>
    </row>
    <row r="1211" customFormat="false" ht="15" hidden="false" customHeight="false" outlineLevel="0" collapsed="false">
      <c r="A1211" s="4"/>
      <c r="B1211" s="2"/>
      <c r="C1211" s="3"/>
    </row>
  </sheetData>
  <autoFilter ref="A1:G211"/>
  <dataValidations count="1">
    <dataValidation allowBlank="true" errorStyle="stop" operator="between" showDropDown="false" showErrorMessage="false" showInputMessage="false" sqref="B2:B1211" type="list">
      <formula1>Prices_ID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34"/>
    <col collapsed="false" customWidth="true" hidden="false" outlineLevel="0" max="8" min="8" style="0" width="36"/>
    <col collapsed="false" customWidth="true" hidden="false" outlineLevel="0" max="9" min="9" style="0" width="50"/>
  </cols>
  <sheetData>
    <row r="1" customFormat="false" ht="28.35" hidden="false" customHeight="false" outlineLevel="0" collapsed="false">
      <c r="A1" s="1" t="s">
        <v>2238</v>
      </c>
      <c r="B1" s="1" t="s">
        <v>1884</v>
      </c>
      <c r="C1" s="1" t="s">
        <v>1902</v>
      </c>
      <c r="D1" s="1" t="s">
        <v>1903</v>
      </c>
      <c r="E1" s="1" t="s">
        <v>1904</v>
      </c>
      <c r="F1" s="1" t="s">
        <v>1901</v>
      </c>
      <c r="G1" s="1" t="s">
        <v>1909</v>
      </c>
      <c r="H1" s="1" t="s">
        <v>1910</v>
      </c>
      <c r="I1" s="1" t="s">
        <v>2241</v>
      </c>
    </row>
    <row r="2" customFormat="false" ht="15" hidden="false" customHeight="false" outlineLevel="0" collapsed="false">
      <c r="A2" s="4" t="n">
        <v>46316</v>
      </c>
      <c r="B2" s="0" t="s">
        <v>1916</v>
      </c>
      <c r="C2" s="3" t="n">
        <v>80</v>
      </c>
      <c r="D2" s="3" t="n">
        <v>95</v>
      </c>
      <c r="E2" s="3"/>
      <c r="F2" s="0" t="s">
        <v>1919</v>
      </c>
      <c r="G2" s="0" t="s">
        <v>1921</v>
      </c>
      <c r="I2" s="0" t="s">
        <v>2265</v>
      </c>
    </row>
    <row r="3" customFormat="false" ht="15" hidden="false" customHeight="false" outlineLevel="0" collapsed="false">
      <c r="A3" s="4" t="n">
        <v>46316</v>
      </c>
      <c r="B3" s="0" t="s">
        <v>1924</v>
      </c>
      <c r="C3" s="3"/>
      <c r="D3" s="3" t="n">
        <v>1500</v>
      </c>
      <c r="E3" s="3"/>
      <c r="F3" s="0" t="s">
        <v>1926</v>
      </c>
      <c r="G3" s="0" t="s">
        <v>1928</v>
      </c>
      <c r="H3" s="0" t="s">
        <v>1929</v>
      </c>
      <c r="I3" s="0" t="s">
        <v>2266</v>
      </c>
    </row>
    <row r="4" customFormat="false" ht="15" hidden="false" customHeight="false" outlineLevel="0" collapsed="false">
      <c r="A4" s="4" t="n">
        <v>46316</v>
      </c>
      <c r="B4" s="0" t="s">
        <v>1931</v>
      </c>
      <c r="C4" s="3"/>
      <c r="D4" s="3" t="n">
        <v>1500</v>
      </c>
      <c r="E4" s="3"/>
      <c r="F4" s="0" t="s">
        <v>1926</v>
      </c>
      <c r="G4" s="0" t="s">
        <v>1928</v>
      </c>
      <c r="H4" s="0" t="s">
        <v>1929</v>
      </c>
      <c r="I4" s="0" t="s">
        <v>2266</v>
      </c>
    </row>
    <row r="5" customFormat="false" ht="15" hidden="false" customHeight="false" outlineLevel="0" collapsed="false">
      <c r="A5" s="4" t="n">
        <v>46316</v>
      </c>
      <c r="B5" s="0" t="s">
        <v>1933</v>
      </c>
      <c r="C5" s="3"/>
      <c r="D5" s="3" t="n">
        <v>1800</v>
      </c>
      <c r="E5" s="3"/>
      <c r="F5" s="0" t="s">
        <v>1926</v>
      </c>
      <c r="G5" s="0" t="s">
        <v>1928</v>
      </c>
      <c r="H5" s="0" t="s">
        <v>1929</v>
      </c>
      <c r="I5" s="0" t="s">
        <v>2266</v>
      </c>
    </row>
    <row r="6" customFormat="false" ht="15" hidden="false" customHeight="false" outlineLevel="0" collapsed="false">
      <c r="A6" s="4" t="n">
        <v>46316</v>
      </c>
      <c r="B6" s="0" t="s">
        <v>1935</v>
      </c>
      <c r="C6" s="3"/>
      <c r="D6" s="3" t="n">
        <v>2500</v>
      </c>
      <c r="E6" s="3"/>
      <c r="F6" s="0" t="s">
        <v>1926</v>
      </c>
      <c r="G6" s="0" t="s">
        <v>1928</v>
      </c>
      <c r="H6" s="0" t="s">
        <v>1929</v>
      </c>
      <c r="I6" s="0" t="s">
        <v>2266</v>
      </c>
    </row>
    <row r="7" customFormat="false" ht="15" hidden="false" customHeight="false" outlineLevel="0" collapsed="false">
      <c r="A7" s="4" t="n">
        <v>46316</v>
      </c>
      <c r="B7" s="0" t="s">
        <v>1937</v>
      </c>
      <c r="C7" s="3" t="n">
        <v>600</v>
      </c>
      <c r="D7" s="3" t="n">
        <v>900</v>
      </c>
      <c r="E7" s="3" t="n">
        <v>1500</v>
      </c>
      <c r="F7" s="0" t="s">
        <v>1926</v>
      </c>
      <c r="G7" s="0" t="s">
        <v>1939</v>
      </c>
      <c r="H7" s="0" t="s">
        <v>1940</v>
      </c>
      <c r="I7" s="0" t="s">
        <v>2266</v>
      </c>
    </row>
    <row r="8" customFormat="false" ht="15" hidden="false" customHeight="false" outlineLevel="0" collapsed="false">
      <c r="A8" s="4" t="n">
        <v>46316</v>
      </c>
      <c r="B8" s="0" t="s">
        <v>1942</v>
      </c>
      <c r="C8" s="3" t="n">
        <v>600</v>
      </c>
      <c r="D8" s="3" t="n">
        <v>1050</v>
      </c>
      <c r="E8" s="3" t="n">
        <v>1500</v>
      </c>
      <c r="F8" s="0" t="s">
        <v>1926</v>
      </c>
      <c r="G8" s="0" t="s">
        <v>1939</v>
      </c>
      <c r="H8" s="0" t="s">
        <v>1940</v>
      </c>
      <c r="I8" s="0" t="s">
        <v>2266</v>
      </c>
    </row>
    <row r="9" customFormat="false" ht="15" hidden="false" customHeight="false" outlineLevel="0" collapsed="false">
      <c r="A9" s="4" t="n">
        <v>46316</v>
      </c>
      <c r="B9" s="0" t="s">
        <v>1944</v>
      </c>
      <c r="C9" s="3" t="n">
        <v>600</v>
      </c>
      <c r="D9" s="3" t="n">
        <v>1200</v>
      </c>
      <c r="E9" s="3" t="n">
        <v>1500</v>
      </c>
      <c r="F9" s="0" t="s">
        <v>1926</v>
      </c>
      <c r="G9" s="0" t="s">
        <v>1939</v>
      </c>
      <c r="H9" s="0" t="s">
        <v>1940</v>
      </c>
      <c r="I9" s="0" t="s">
        <v>2266</v>
      </c>
    </row>
    <row r="10" customFormat="false" ht="15" hidden="false" customHeight="false" outlineLevel="0" collapsed="false">
      <c r="A10" s="4" t="n">
        <v>46316</v>
      </c>
      <c r="B10" s="0" t="s">
        <v>1946</v>
      </c>
      <c r="C10" s="3" t="n">
        <v>600</v>
      </c>
      <c r="D10" s="3" t="n">
        <v>1500</v>
      </c>
      <c r="E10" s="3" t="n">
        <v>1500</v>
      </c>
      <c r="F10" s="0" t="s">
        <v>1926</v>
      </c>
      <c r="G10" s="0" t="s">
        <v>1939</v>
      </c>
      <c r="H10" s="0" t="s">
        <v>1940</v>
      </c>
      <c r="I10" s="0" t="s">
        <v>2266</v>
      </c>
    </row>
    <row r="11" customFormat="false" ht="15" hidden="false" customHeight="false" outlineLevel="0" collapsed="false">
      <c r="A11" s="4" t="n">
        <v>46316</v>
      </c>
      <c r="B11" s="0" t="s">
        <v>1948</v>
      </c>
      <c r="C11" s="3" t="n">
        <v>400</v>
      </c>
      <c r="D11" s="3" t="n">
        <v>800</v>
      </c>
      <c r="E11" s="3" t="n">
        <v>1500</v>
      </c>
      <c r="F11" s="0" t="s">
        <v>250</v>
      </c>
      <c r="G11" s="0" t="s">
        <v>1951</v>
      </c>
      <c r="I11" s="0" t="s">
        <v>2265</v>
      </c>
    </row>
    <row r="12" customFormat="false" ht="15" hidden="false" customHeight="false" outlineLevel="0" collapsed="false">
      <c r="A12" s="4" t="n">
        <v>46316</v>
      </c>
      <c r="B12" s="0" t="s">
        <v>1952</v>
      </c>
      <c r="C12" s="3" t="n">
        <v>350</v>
      </c>
      <c r="D12" s="3" t="n">
        <v>650</v>
      </c>
      <c r="E12" s="3" t="n">
        <v>900</v>
      </c>
      <c r="F12" s="0" t="s">
        <v>250</v>
      </c>
      <c r="G12" s="0" t="s">
        <v>1951</v>
      </c>
      <c r="I12" s="0" t="s">
        <v>2265</v>
      </c>
    </row>
    <row r="13" customFormat="false" ht="15" hidden="false" customHeight="false" outlineLevel="0" collapsed="false">
      <c r="A13" s="4" t="n">
        <v>46316</v>
      </c>
      <c r="B13" s="0" t="s">
        <v>1955</v>
      </c>
      <c r="C13" s="3" t="n">
        <v>350</v>
      </c>
      <c r="D13" s="3" t="n">
        <v>650</v>
      </c>
      <c r="E13" s="3" t="n">
        <v>900</v>
      </c>
      <c r="F13" s="0" t="s">
        <v>250</v>
      </c>
      <c r="G13" s="0" t="s">
        <v>1951</v>
      </c>
      <c r="I13" s="0" t="s">
        <v>2265</v>
      </c>
    </row>
    <row r="14" customFormat="false" ht="15" hidden="false" customHeight="false" outlineLevel="0" collapsed="false">
      <c r="A14" s="4" t="n">
        <v>46316</v>
      </c>
      <c r="B14" s="0" t="s">
        <v>1956</v>
      </c>
      <c r="C14" s="3" t="n">
        <v>1200</v>
      </c>
      <c r="D14" s="3" t="n">
        <v>1800</v>
      </c>
      <c r="E14" s="3" t="n">
        <v>2500</v>
      </c>
      <c r="F14" s="0" t="s">
        <v>250</v>
      </c>
      <c r="G14" s="0" t="s">
        <v>1951</v>
      </c>
      <c r="I14" s="0" t="s">
        <v>2265</v>
      </c>
    </row>
    <row r="15" customFormat="false" ht="15" hidden="false" customHeight="false" outlineLevel="0" collapsed="false">
      <c r="A15" s="4" t="n">
        <v>46316</v>
      </c>
      <c r="B15" s="0" t="s">
        <v>1958</v>
      </c>
      <c r="C15" s="3" t="n">
        <v>643</v>
      </c>
      <c r="D15" s="3"/>
      <c r="E15" s="3" t="n">
        <v>1286</v>
      </c>
      <c r="F15" s="0" t="s">
        <v>250</v>
      </c>
      <c r="G15" s="0" t="s">
        <v>1960</v>
      </c>
      <c r="H15" s="0" t="s">
        <v>1961</v>
      </c>
      <c r="I15" s="0" t="s">
        <v>2266</v>
      </c>
    </row>
    <row r="16" customFormat="false" ht="15" hidden="false" customHeight="false" outlineLevel="0" collapsed="false">
      <c r="A16" s="4" t="n">
        <v>46316</v>
      </c>
      <c r="B16" s="0" t="s">
        <v>1963</v>
      </c>
      <c r="C16" s="3" t="n">
        <v>500</v>
      </c>
      <c r="D16" s="3" t="n">
        <v>1150</v>
      </c>
      <c r="E16" s="3" t="n">
        <v>3500</v>
      </c>
      <c r="F16" s="0" t="s">
        <v>250</v>
      </c>
      <c r="G16" s="0" t="s">
        <v>1951</v>
      </c>
      <c r="I16" s="0" t="s">
        <v>2265</v>
      </c>
    </row>
    <row r="17" customFormat="false" ht="15" hidden="false" customHeight="false" outlineLevel="0" collapsed="false">
      <c r="A17" s="4" t="n">
        <v>46316</v>
      </c>
      <c r="B17" s="0" t="s">
        <v>1965</v>
      </c>
      <c r="C17" s="3" t="n">
        <v>250</v>
      </c>
      <c r="D17" s="3" t="n">
        <v>375</v>
      </c>
      <c r="E17" s="3" t="n">
        <v>800</v>
      </c>
      <c r="F17" s="0" t="s">
        <v>1967</v>
      </c>
      <c r="G17" s="0" t="s">
        <v>1969</v>
      </c>
      <c r="I17" s="0" t="s">
        <v>2265</v>
      </c>
    </row>
    <row r="18" customFormat="false" ht="15" hidden="false" customHeight="false" outlineLevel="0" collapsed="false">
      <c r="A18" s="4" t="n">
        <v>46316</v>
      </c>
      <c r="B18" s="0" t="s">
        <v>1972</v>
      </c>
      <c r="C18" s="3" t="n">
        <v>250</v>
      </c>
      <c r="D18" s="3" t="n">
        <v>400</v>
      </c>
      <c r="E18" s="3" t="n">
        <v>3500</v>
      </c>
      <c r="F18" s="0" t="s">
        <v>250</v>
      </c>
      <c r="G18" s="0" t="s">
        <v>1969</v>
      </c>
      <c r="I18" s="0" t="s">
        <v>2265</v>
      </c>
    </row>
    <row r="19" customFormat="false" ht="15" hidden="false" customHeight="false" outlineLevel="0" collapsed="false">
      <c r="A19" s="4" t="n">
        <v>46316</v>
      </c>
      <c r="B19" s="0" t="s">
        <v>1974</v>
      </c>
      <c r="C19" s="3" t="n">
        <v>483</v>
      </c>
      <c r="D19" s="3" t="n">
        <v>800</v>
      </c>
      <c r="E19" s="3" t="n">
        <v>3500</v>
      </c>
      <c r="F19" s="0" t="s">
        <v>250</v>
      </c>
      <c r="G19" s="0" t="s">
        <v>1969</v>
      </c>
      <c r="I19" s="0" t="s">
        <v>2265</v>
      </c>
    </row>
    <row r="20" customFormat="false" ht="15" hidden="false" customHeight="false" outlineLevel="0" collapsed="false">
      <c r="A20" s="4" t="n">
        <v>46316</v>
      </c>
      <c r="B20" s="0" t="s">
        <v>1976</v>
      </c>
      <c r="C20" s="3" t="n">
        <v>700</v>
      </c>
      <c r="D20" s="3" t="n">
        <v>900</v>
      </c>
      <c r="E20" s="3" t="n">
        <v>1800</v>
      </c>
      <c r="F20" s="0" t="s">
        <v>250</v>
      </c>
      <c r="G20" s="0" t="s">
        <v>1969</v>
      </c>
      <c r="I20" s="0" t="s">
        <v>2265</v>
      </c>
    </row>
    <row r="21" customFormat="false" ht="15" hidden="false" customHeight="false" outlineLevel="0" collapsed="false">
      <c r="A21" s="4" t="n">
        <v>46316</v>
      </c>
      <c r="B21" s="0" t="s">
        <v>1979</v>
      </c>
      <c r="C21" s="3" t="n">
        <v>450</v>
      </c>
      <c r="D21" s="3" t="n">
        <v>500</v>
      </c>
      <c r="E21" s="3" t="n">
        <v>1800</v>
      </c>
      <c r="F21" s="0" t="s">
        <v>250</v>
      </c>
      <c r="G21" s="0" t="s">
        <v>1969</v>
      </c>
      <c r="I21" s="0" t="s">
        <v>2265</v>
      </c>
    </row>
    <row r="22" customFormat="false" ht="15" hidden="false" customHeight="false" outlineLevel="0" collapsed="false">
      <c r="A22" s="4" t="n">
        <v>46316</v>
      </c>
      <c r="B22" s="0" t="s">
        <v>1981</v>
      </c>
      <c r="C22" s="3" t="n">
        <v>455</v>
      </c>
      <c r="D22" s="3" t="n">
        <v>1200</v>
      </c>
      <c r="E22" s="3" t="n">
        <v>3748</v>
      </c>
      <c r="F22" s="0" t="s">
        <v>250</v>
      </c>
      <c r="G22" s="0" t="s">
        <v>1984</v>
      </c>
      <c r="I22" s="0" t="s">
        <v>2265</v>
      </c>
    </row>
    <row r="23" customFormat="false" ht="15" hidden="false" customHeight="false" outlineLevel="0" collapsed="false">
      <c r="A23" s="4" t="n">
        <v>46316</v>
      </c>
      <c r="B23" s="0" t="s">
        <v>1987</v>
      </c>
      <c r="C23" s="3" t="n">
        <v>1000</v>
      </c>
      <c r="D23" s="3" t="n">
        <v>3582</v>
      </c>
      <c r="E23" s="3" t="n">
        <v>7000</v>
      </c>
      <c r="F23" s="0" t="s">
        <v>250</v>
      </c>
      <c r="G23" s="0" t="s">
        <v>1989</v>
      </c>
      <c r="H23" s="0" t="s">
        <v>1990</v>
      </c>
      <c r="I23" s="0" t="s">
        <v>2266</v>
      </c>
    </row>
    <row r="24" customFormat="false" ht="15" hidden="false" customHeight="false" outlineLevel="0" collapsed="false">
      <c r="A24" s="4" t="n">
        <v>46316</v>
      </c>
      <c r="B24" s="0" t="s">
        <v>1992</v>
      </c>
      <c r="C24" s="3" t="n">
        <v>857</v>
      </c>
      <c r="D24" s="3" t="n">
        <v>1200</v>
      </c>
      <c r="E24" s="3" t="n">
        <v>2678</v>
      </c>
      <c r="F24" s="0" t="s">
        <v>250</v>
      </c>
      <c r="G24" s="0" t="s">
        <v>1984</v>
      </c>
      <c r="I24" s="0" t="s">
        <v>2265</v>
      </c>
    </row>
    <row r="25" customFormat="false" ht="15" hidden="false" customHeight="false" outlineLevel="0" collapsed="false">
      <c r="A25" s="4" t="n">
        <v>46316</v>
      </c>
      <c r="B25" s="0" t="s">
        <v>1995</v>
      </c>
      <c r="C25" s="3" t="n">
        <v>180</v>
      </c>
      <c r="D25" s="3" t="n">
        <v>330</v>
      </c>
      <c r="E25" s="3" t="n">
        <v>500</v>
      </c>
      <c r="F25" s="0" t="s">
        <v>250</v>
      </c>
      <c r="G25" s="0" t="s">
        <v>1997</v>
      </c>
      <c r="I25" s="0" t="s">
        <v>2265</v>
      </c>
    </row>
    <row r="26" customFormat="false" ht="15" hidden="false" customHeight="false" outlineLevel="0" collapsed="false">
      <c r="A26" s="4" t="n">
        <v>46316</v>
      </c>
      <c r="B26" s="0" t="s">
        <v>1998</v>
      </c>
      <c r="C26" s="3" t="n">
        <v>256</v>
      </c>
      <c r="D26" s="3"/>
      <c r="E26" s="3" t="n">
        <v>428</v>
      </c>
      <c r="F26" s="0" t="s">
        <v>250</v>
      </c>
      <c r="G26" s="0" t="s">
        <v>2000</v>
      </c>
      <c r="I26" s="0" t="s">
        <v>2265</v>
      </c>
    </row>
    <row r="27" customFormat="false" ht="15" hidden="false" customHeight="false" outlineLevel="0" collapsed="false">
      <c r="A27" s="4" t="n">
        <v>46316</v>
      </c>
      <c r="B27" s="0" t="s">
        <v>2003</v>
      </c>
      <c r="C27" s="3" t="n">
        <v>220</v>
      </c>
      <c r="D27" s="3" t="n">
        <v>335</v>
      </c>
      <c r="E27" s="3" t="n">
        <v>600</v>
      </c>
      <c r="F27" s="0" t="s">
        <v>250</v>
      </c>
      <c r="G27" s="0" t="s">
        <v>2005</v>
      </c>
      <c r="H27" s="0" t="s">
        <v>2006</v>
      </c>
      <c r="I27" s="0" t="s">
        <v>2266</v>
      </c>
    </row>
    <row r="28" customFormat="false" ht="15" hidden="false" customHeight="false" outlineLevel="0" collapsed="false">
      <c r="A28" s="4" t="n">
        <v>46316</v>
      </c>
      <c r="B28" s="0" t="s">
        <v>2009</v>
      </c>
      <c r="C28" s="3" t="n">
        <v>120</v>
      </c>
      <c r="D28" s="3" t="n">
        <v>178</v>
      </c>
      <c r="E28" s="3" t="n">
        <v>350</v>
      </c>
      <c r="F28" s="0" t="s">
        <v>1919</v>
      </c>
      <c r="G28" s="0" t="s">
        <v>2011</v>
      </c>
      <c r="I28" s="0" t="s">
        <v>2265</v>
      </c>
    </row>
    <row r="29" customFormat="false" ht="15" hidden="false" customHeight="false" outlineLevel="0" collapsed="false">
      <c r="A29" s="4" t="n">
        <v>46316</v>
      </c>
      <c r="B29" s="0" t="s">
        <v>2012</v>
      </c>
      <c r="C29" s="3" t="n">
        <v>1500</v>
      </c>
      <c r="D29" s="3" t="n">
        <v>2000</v>
      </c>
      <c r="E29" s="3" t="n">
        <v>2500</v>
      </c>
      <c r="F29" s="0" t="s">
        <v>250</v>
      </c>
      <c r="G29" s="0" t="s">
        <v>2014</v>
      </c>
      <c r="H29" s="0" t="s">
        <v>2015</v>
      </c>
      <c r="I29" s="0" t="s">
        <v>2266</v>
      </c>
    </row>
    <row r="30" customFormat="false" ht="15" hidden="false" customHeight="false" outlineLevel="0" collapsed="false">
      <c r="A30" s="4" t="n">
        <v>46316</v>
      </c>
      <c r="B30" s="0" t="s">
        <v>2017</v>
      </c>
      <c r="C30" s="3" t="n">
        <v>100</v>
      </c>
      <c r="D30" s="3" t="n">
        <v>180</v>
      </c>
      <c r="E30" s="3" t="n">
        <v>220</v>
      </c>
      <c r="F30" s="0" t="s">
        <v>1919</v>
      </c>
      <c r="G30" s="0" t="s">
        <v>2011</v>
      </c>
      <c r="I30" s="0" t="s">
        <v>2265</v>
      </c>
    </row>
    <row r="31" customFormat="false" ht="15" hidden="false" customHeight="false" outlineLevel="0" collapsed="false">
      <c r="A31" s="4" t="n">
        <v>46316</v>
      </c>
      <c r="B31" s="0" t="s">
        <v>2020</v>
      </c>
      <c r="C31" s="3" t="n">
        <v>1500</v>
      </c>
      <c r="D31" s="3" t="n">
        <v>2250</v>
      </c>
      <c r="E31" s="3" t="n">
        <v>3000</v>
      </c>
      <c r="F31" s="0" t="s">
        <v>250</v>
      </c>
      <c r="G31" s="0" t="s">
        <v>2022</v>
      </c>
      <c r="I31" s="0" t="s">
        <v>2265</v>
      </c>
    </row>
    <row r="32" customFormat="false" ht="15" hidden="false" customHeight="false" outlineLevel="0" collapsed="false">
      <c r="A32" s="4" t="n">
        <v>46316</v>
      </c>
      <c r="B32" s="0" t="s">
        <v>2025</v>
      </c>
      <c r="C32" s="3" t="n">
        <v>180</v>
      </c>
      <c r="D32" s="3" t="n">
        <v>210</v>
      </c>
      <c r="E32" s="3" t="n">
        <v>250</v>
      </c>
      <c r="F32" s="0" t="s">
        <v>1919</v>
      </c>
      <c r="G32" s="0" t="s">
        <v>2027</v>
      </c>
      <c r="H32" s="0" t="s">
        <v>2028</v>
      </c>
      <c r="I32" s="0" t="s">
        <v>2266</v>
      </c>
    </row>
    <row r="33" customFormat="false" ht="15" hidden="false" customHeight="false" outlineLevel="0" collapsed="false">
      <c r="A33" s="4" t="n">
        <v>46316</v>
      </c>
      <c r="B33" s="0" t="s">
        <v>2030</v>
      </c>
      <c r="C33" s="3" t="n">
        <v>32.18</v>
      </c>
      <c r="D33" s="3" t="n">
        <v>80</v>
      </c>
      <c r="E33" s="3" t="n">
        <v>128.72</v>
      </c>
      <c r="F33" s="0" t="s">
        <v>1919</v>
      </c>
      <c r="G33" s="0" t="s">
        <v>2032</v>
      </c>
      <c r="H33" s="0" t="s">
        <v>2033</v>
      </c>
      <c r="I33" s="0" t="s">
        <v>2266</v>
      </c>
    </row>
    <row r="34" customFormat="false" ht="15" hidden="false" customHeight="false" outlineLevel="0" collapsed="false">
      <c r="A34" s="4" t="n">
        <v>46316</v>
      </c>
      <c r="B34" s="0" t="s">
        <v>2035</v>
      </c>
      <c r="C34" s="3" t="n">
        <v>150</v>
      </c>
      <c r="D34" s="3" t="n">
        <v>240</v>
      </c>
      <c r="E34" s="3" t="n">
        <v>320</v>
      </c>
      <c r="F34" s="0" t="s">
        <v>250</v>
      </c>
      <c r="G34" s="0" t="s">
        <v>2037</v>
      </c>
      <c r="H34" s="0" t="s">
        <v>2038</v>
      </c>
      <c r="I34" s="0" t="s">
        <v>2266</v>
      </c>
    </row>
    <row r="35" customFormat="false" ht="15" hidden="false" customHeight="false" outlineLevel="0" collapsed="false">
      <c r="A35" s="4" t="n">
        <v>46316</v>
      </c>
      <c r="B35" s="0" t="s">
        <v>2040</v>
      </c>
      <c r="C35" s="3" t="n">
        <v>650</v>
      </c>
      <c r="D35" s="3" t="n">
        <v>994</v>
      </c>
      <c r="E35" s="3" t="n">
        <v>2200</v>
      </c>
      <c r="F35" s="0" t="s">
        <v>250</v>
      </c>
      <c r="G35" s="0" t="s">
        <v>2042</v>
      </c>
      <c r="H35" s="0" t="s">
        <v>2043</v>
      </c>
      <c r="I35" s="0" t="s">
        <v>2266</v>
      </c>
    </row>
    <row r="36" customFormat="false" ht="15" hidden="false" customHeight="false" outlineLevel="0" collapsed="false">
      <c r="A36" s="4" t="n">
        <v>46316</v>
      </c>
      <c r="B36" s="0" t="s">
        <v>2045</v>
      </c>
      <c r="C36" s="3" t="n">
        <v>900</v>
      </c>
      <c r="D36" s="3"/>
      <c r="E36" s="3" t="n">
        <v>2800</v>
      </c>
      <c r="F36" s="0" t="s">
        <v>250</v>
      </c>
      <c r="G36" s="0" t="s">
        <v>2047</v>
      </c>
      <c r="H36" s="0" t="s">
        <v>2048</v>
      </c>
      <c r="I36" s="0" t="s">
        <v>2266</v>
      </c>
    </row>
    <row r="37" customFormat="false" ht="15" hidden="false" customHeight="false" outlineLevel="0" collapsed="false">
      <c r="A37" s="4" t="n">
        <v>46316</v>
      </c>
      <c r="B37" s="0" t="s">
        <v>2050</v>
      </c>
      <c r="C37" s="3" t="n">
        <v>65</v>
      </c>
      <c r="D37" s="3"/>
      <c r="E37" s="3" t="n">
        <v>90</v>
      </c>
      <c r="F37" s="0" t="s">
        <v>1919</v>
      </c>
      <c r="G37" s="0" t="s">
        <v>2052</v>
      </c>
      <c r="H37" s="0" t="s">
        <v>2053</v>
      </c>
      <c r="I37" s="0" t="s">
        <v>2266</v>
      </c>
    </row>
    <row r="38" customFormat="false" ht="15" hidden="false" customHeight="false" outlineLevel="0" collapsed="false">
      <c r="A38" s="4" t="n">
        <v>46316</v>
      </c>
      <c r="B38" s="0" t="s">
        <v>2055</v>
      </c>
      <c r="C38" s="3" t="n">
        <v>65</v>
      </c>
      <c r="D38" s="3"/>
      <c r="E38" s="3" t="n">
        <v>90</v>
      </c>
      <c r="F38" s="0" t="s">
        <v>1919</v>
      </c>
      <c r="G38" s="0" t="s">
        <v>2052</v>
      </c>
      <c r="H38" s="0" t="s">
        <v>2053</v>
      </c>
      <c r="I38" s="0" t="s">
        <v>2266</v>
      </c>
    </row>
    <row r="39" customFormat="false" ht="15" hidden="false" customHeight="false" outlineLevel="0" collapsed="false">
      <c r="A39" s="4" t="n">
        <v>46316</v>
      </c>
      <c r="B39" s="0" t="s">
        <v>2056</v>
      </c>
      <c r="C39" s="3" t="n">
        <v>90</v>
      </c>
      <c r="D39" s="3"/>
      <c r="E39" s="3" t="n">
        <v>120</v>
      </c>
      <c r="F39" s="0" t="s">
        <v>1919</v>
      </c>
      <c r="G39" s="0" t="s">
        <v>2058</v>
      </c>
      <c r="H39" s="0" t="s">
        <v>2059</v>
      </c>
      <c r="I39" s="0" t="s">
        <v>2266</v>
      </c>
    </row>
    <row r="40" customFormat="false" ht="15" hidden="false" customHeight="false" outlineLevel="0" collapsed="false">
      <c r="A40" s="4" t="n">
        <v>46316</v>
      </c>
      <c r="B40" s="0" t="s">
        <v>2061</v>
      </c>
      <c r="C40" s="3" t="n">
        <v>499</v>
      </c>
      <c r="D40" s="3"/>
      <c r="E40" s="3" t="n">
        <v>699</v>
      </c>
      <c r="F40" s="0" t="s">
        <v>250</v>
      </c>
      <c r="G40" s="0" t="s">
        <v>2063</v>
      </c>
      <c r="H40" s="0" t="s">
        <v>2064</v>
      </c>
      <c r="I40" s="0" t="s">
        <v>2266</v>
      </c>
    </row>
    <row r="41" customFormat="false" ht="15" hidden="false" customHeight="false" outlineLevel="0" collapsed="false">
      <c r="A41" s="4" t="n">
        <v>46316</v>
      </c>
      <c r="B41" s="0" t="s">
        <v>2066</v>
      </c>
      <c r="C41" s="3" t="n">
        <v>499</v>
      </c>
      <c r="D41" s="3"/>
      <c r="E41" s="3" t="n">
        <v>699</v>
      </c>
      <c r="F41" s="0" t="s">
        <v>250</v>
      </c>
      <c r="G41" s="0" t="s">
        <v>2063</v>
      </c>
      <c r="H41" s="0" t="s">
        <v>2064</v>
      </c>
      <c r="I41" s="0" t="s">
        <v>2266</v>
      </c>
    </row>
    <row r="42" customFormat="false" ht="15" hidden="false" customHeight="false" outlineLevel="0" collapsed="false">
      <c r="A42" s="4" t="n">
        <v>46316</v>
      </c>
      <c r="B42" s="0" t="s">
        <v>2068</v>
      </c>
      <c r="C42" s="3" t="n">
        <v>899</v>
      </c>
      <c r="D42" s="3"/>
      <c r="E42" s="3" t="n">
        <v>1299</v>
      </c>
      <c r="F42" s="0" t="s">
        <v>250</v>
      </c>
      <c r="G42" s="0" t="s">
        <v>2070</v>
      </c>
      <c r="H42" s="0" t="s">
        <v>2064</v>
      </c>
      <c r="I42" s="0" t="s">
        <v>2266</v>
      </c>
    </row>
    <row r="43" customFormat="false" ht="15" hidden="false" customHeight="false" outlineLevel="0" collapsed="false">
      <c r="A43" s="4" t="n">
        <v>46316</v>
      </c>
      <c r="B43" s="0" t="s">
        <v>2071</v>
      </c>
      <c r="C43" s="3" t="n">
        <v>350</v>
      </c>
      <c r="D43" s="3"/>
      <c r="E43" s="3" t="n">
        <v>750</v>
      </c>
      <c r="F43" s="0" t="s">
        <v>250</v>
      </c>
      <c r="G43" s="0" t="s">
        <v>2073</v>
      </c>
      <c r="H43" s="0" t="s">
        <v>2074</v>
      </c>
      <c r="I43" s="0" t="s">
        <v>2266</v>
      </c>
    </row>
    <row r="44" customFormat="false" ht="15" hidden="false" customHeight="false" outlineLevel="0" collapsed="false">
      <c r="A44" s="4" t="n">
        <v>46316</v>
      </c>
      <c r="B44" s="0" t="s">
        <v>2075</v>
      </c>
      <c r="C44" s="3" t="n">
        <v>150</v>
      </c>
      <c r="D44" s="3" t="n">
        <v>550</v>
      </c>
      <c r="E44" s="3" t="n">
        <v>1150</v>
      </c>
      <c r="F44" s="0" t="s">
        <v>250</v>
      </c>
      <c r="G44" s="0" t="s">
        <v>2077</v>
      </c>
      <c r="H44" s="0" t="s">
        <v>2078</v>
      </c>
      <c r="I44" s="0" t="s">
        <v>2266</v>
      </c>
    </row>
    <row r="45" customFormat="false" ht="15" hidden="false" customHeight="false" outlineLevel="0" collapsed="false">
      <c r="A45" s="4" t="n">
        <v>46316</v>
      </c>
      <c r="B45" s="0" t="s">
        <v>2080</v>
      </c>
      <c r="C45" s="3" t="n">
        <v>300</v>
      </c>
      <c r="D45" s="3" t="n">
        <v>450</v>
      </c>
      <c r="E45" s="3" t="n">
        <v>1800</v>
      </c>
      <c r="F45" s="0" t="s">
        <v>250</v>
      </c>
      <c r="G45" s="0" t="s">
        <v>2082</v>
      </c>
      <c r="H45" s="0" t="s">
        <v>2083</v>
      </c>
      <c r="I45" s="0" t="s">
        <v>2266</v>
      </c>
    </row>
    <row r="46" customFormat="false" ht="15" hidden="false" customHeight="false" outlineLevel="0" collapsed="false">
      <c r="A46" s="4" t="n">
        <v>46316</v>
      </c>
      <c r="B46" s="0" t="s">
        <v>2085</v>
      </c>
      <c r="C46" s="3" t="n">
        <v>644</v>
      </c>
      <c r="D46" s="3" t="n">
        <v>943.35</v>
      </c>
      <c r="E46" s="3" t="n">
        <v>2600</v>
      </c>
      <c r="F46" s="0" t="s">
        <v>250</v>
      </c>
      <c r="G46" s="0" t="s">
        <v>2088</v>
      </c>
      <c r="H46" s="0" t="s">
        <v>2089</v>
      </c>
      <c r="I46" s="0" t="s">
        <v>2266</v>
      </c>
    </row>
    <row r="47" customFormat="false" ht="15" hidden="false" customHeight="false" outlineLevel="0" collapsed="false">
      <c r="A47" s="4" t="n">
        <v>46316</v>
      </c>
      <c r="B47" s="0" t="s">
        <v>2091</v>
      </c>
      <c r="C47" s="3" t="n">
        <v>1500</v>
      </c>
      <c r="D47" s="3" t="n">
        <v>1565.02</v>
      </c>
      <c r="E47" s="3" t="n">
        <v>4829</v>
      </c>
      <c r="F47" s="0" t="s">
        <v>250</v>
      </c>
      <c r="G47" s="0" t="s">
        <v>2092</v>
      </c>
      <c r="H47" s="0" t="s">
        <v>2093</v>
      </c>
      <c r="I47" s="0" t="s">
        <v>2266</v>
      </c>
    </row>
    <row r="48" customFormat="false" ht="15" hidden="false" customHeight="false" outlineLevel="0" collapsed="false">
      <c r="A48" s="4" t="n">
        <v>46316</v>
      </c>
      <c r="B48" s="0" t="s">
        <v>2095</v>
      </c>
      <c r="C48" s="3" t="n">
        <v>800</v>
      </c>
      <c r="D48" s="3" t="n">
        <v>1265.02</v>
      </c>
      <c r="E48" s="3" t="n">
        <v>4000</v>
      </c>
      <c r="F48" s="0" t="s">
        <v>250</v>
      </c>
      <c r="G48" s="0" t="s">
        <v>2097</v>
      </c>
      <c r="H48" s="0" t="s">
        <v>2098</v>
      </c>
      <c r="I48" s="0" t="s">
        <v>2266</v>
      </c>
    </row>
    <row r="49" customFormat="false" ht="15" hidden="false" customHeight="false" outlineLevel="0" collapsed="false">
      <c r="A49" s="4" t="n">
        <v>46316</v>
      </c>
      <c r="B49" s="0" t="s">
        <v>2100</v>
      </c>
      <c r="C49" s="3" t="n">
        <v>1500</v>
      </c>
      <c r="D49" s="3" t="n">
        <v>2086.7</v>
      </c>
      <c r="E49" s="3" t="n">
        <v>4800</v>
      </c>
      <c r="F49" s="0" t="s">
        <v>250</v>
      </c>
      <c r="G49" s="0" t="s">
        <v>2102</v>
      </c>
      <c r="H49" s="0" t="s">
        <v>2103</v>
      </c>
      <c r="I49" s="0" t="s">
        <v>2266</v>
      </c>
    </row>
    <row r="50" customFormat="false" ht="15" hidden="false" customHeight="false" outlineLevel="0" collapsed="false">
      <c r="A50" s="4" t="n">
        <v>46316</v>
      </c>
      <c r="B50" s="0" t="s">
        <v>2105</v>
      </c>
      <c r="C50" s="3" t="n">
        <v>644</v>
      </c>
      <c r="D50" s="3" t="n">
        <v>1165.02</v>
      </c>
      <c r="E50" s="3" t="n">
        <v>2600</v>
      </c>
      <c r="F50" s="0" t="s">
        <v>250</v>
      </c>
      <c r="G50" s="0" t="s">
        <v>2088</v>
      </c>
      <c r="H50" s="0" t="s">
        <v>2089</v>
      </c>
      <c r="I50" s="0" t="s">
        <v>2266</v>
      </c>
    </row>
    <row r="51" customFormat="false" ht="15" hidden="false" customHeight="false" outlineLevel="0" collapsed="false">
      <c r="A51" s="4" t="n">
        <v>46316</v>
      </c>
      <c r="B51" s="0" t="s">
        <v>2108</v>
      </c>
      <c r="C51" s="3" t="n">
        <v>1500</v>
      </c>
      <c r="D51" s="3" t="n">
        <v>2147.54</v>
      </c>
      <c r="E51" s="3" t="n">
        <v>4829</v>
      </c>
      <c r="F51" s="0" t="s">
        <v>250</v>
      </c>
      <c r="G51" s="0" t="s">
        <v>2092</v>
      </c>
      <c r="H51" s="0" t="s">
        <v>2093</v>
      </c>
      <c r="I51" s="0" t="s">
        <v>2266</v>
      </c>
    </row>
    <row r="52" customFormat="false" ht="15" hidden="false" customHeight="false" outlineLevel="0" collapsed="false">
      <c r="A52" s="4" t="n">
        <v>46316</v>
      </c>
      <c r="B52" s="0" t="s">
        <v>2110</v>
      </c>
      <c r="C52" s="3" t="n">
        <v>800</v>
      </c>
      <c r="D52" s="3" t="n">
        <v>1847.54</v>
      </c>
      <c r="E52" s="3" t="n">
        <v>4000</v>
      </c>
      <c r="F52" s="0" t="s">
        <v>250</v>
      </c>
      <c r="G52" s="0" t="s">
        <v>2097</v>
      </c>
      <c r="H52" s="0" t="s">
        <v>2098</v>
      </c>
      <c r="I52" s="0" t="s">
        <v>2266</v>
      </c>
    </row>
    <row r="53" customFormat="false" ht="15" hidden="false" customHeight="false" outlineLevel="0" collapsed="false">
      <c r="A53" s="4" t="n">
        <v>46316</v>
      </c>
      <c r="B53" s="0" t="s">
        <v>2113</v>
      </c>
      <c r="C53" s="3" t="n">
        <v>1500</v>
      </c>
      <c r="D53" s="3" t="n">
        <v>3530.05</v>
      </c>
      <c r="E53" s="3" t="n">
        <v>8000</v>
      </c>
      <c r="F53" s="0" t="s">
        <v>250</v>
      </c>
      <c r="G53" s="0" t="s">
        <v>2102</v>
      </c>
      <c r="H53" s="0" t="s">
        <v>2103</v>
      </c>
      <c r="I53" s="0" t="s">
        <v>2266</v>
      </c>
    </row>
    <row r="54" customFormat="false" ht="15" hidden="false" customHeight="false" outlineLevel="0" collapsed="false">
      <c r="A54" s="4" t="n">
        <v>46316</v>
      </c>
      <c r="B54" s="0" t="s">
        <v>2116</v>
      </c>
      <c r="C54" s="3" t="n">
        <v>644</v>
      </c>
      <c r="D54" s="3" t="n">
        <v>1486.7</v>
      </c>
      <c r="E54" s="3" t="n">
        <v>2600</v>
      </c>
      <c r="F54" s="0" t="s">
        <v>250</v>
      </c>
      <c r="G54" s="0" t="s">
        <v>2088</v>
      </c>
      <c r="H54" s="0" t="s">
        <v>2089</v>
      </c>
      <c r="I54" s="0" t="s">
        <v>2266</v>
      </c>
    </row>
    <row r="55" customFormat="false" ht="15" hidden="false" customHeight="false" outlineLevel="0" collapsed="false">
      <c r="A55" s="4" t="n">
        <v>46316</v>
      </c>
      <c r="B55" s="0" t="s">
        <v>2119</v>
      </c>
      <c r="C55" s="3" t="n">
        <v>1500</v>
      </c>
      <c r="D55" s="3" t="n">
        <v>2830.05</v>
      </c>
      <c r="E55" s="3" t="n">
        <v>4829</v>
      </c>
      <c r="F55" s="0" t="s">
        <v>250</v>
      </c>
      <c r="G55" s="0" t="s">
        <v>2092</v>
      </c>
      <c r="H55" s="0" t="s">
        <v>2093</v>
      </c>
      <c r="I55" s="0" t="s">
        <v>2266</v>
      </c>
    </row>
    <row r="56" customFormat="false" ht="15" hidden="false" customHeight="false" outlineLevel="0" collapsed="false">
      <c r="A56" s="4" t="n">
        <v>46316</v>
      </c>
      <c r="B56" s="0" t="s">
        <v>2121</v>
      </c>
      <c r="C56" s="3" t="n">
        <v>800</v>
      </c>
      <c r="D56" s="3" t="n">
        <v>2530.05</v>
      </c>
      <c r="E56" s="3" t="n">
        <v>4000</v>
      </c>
      <c r="F56" s="0" t="s">
        <v>250</v>
      </c>
      <c r="G56" s="0" t="s">
        <v>2097</v>
      </c>
      <c r="H56" s="0" t="s">
        <v>2098</v>
      </c>
      <c r="I56" s="0" t="s">
        <v>2266</v>
      </c>
    </row>
    <row r="57" customFormat="false" ht="15" hidden="false" customHeight="false" outlineLevel="0" collapsed="false">
      <c r="A57" s="4" t="n">
        <v>46316</v>
      </c>
      <c r="B57" s="0" t="s">
        <v>2124</v>
      </c>
      <c r="C57" s="3" t="n">
        <v>1500</v>
      </c>
      <c r="D57" s="3" t="n">
        <v>5373.4</v>
      </c>
      <c r="E57" s="3" t="n">
        <v>12000</v>
      </c>
      <c r="F57" s="0" t="s">
        <v>250</v>
      </c>
      <c r="G57" s="0" t="s">
        <v>2102</v>
      </c>
      <c r="H57" s="0" t="s">
        <v>2103</v>
      </c>
      <c r="I57" s="0" t="s">
        <v>2266</v>
      </c>
    </row>
    <row r="58" customFormat="false" ht="15" hidden="false" customHeight="false" outlineLevel="0" collapsed="false">
      <c r="A58" s="4" t="n">
        <v>46316</v>
      </c>
      <c r="B58" s="0" t="s">
        <v>2127</v>
      </c>
      <c r="C58" s="3" t="n">
        <v>117</v>
      </c>
      <c r="D58" s="3" t="n">
        <v>250</v>
      </c>
      <c r="E58" s="3" t="n">
        <v>400</v>
      </c>
      <c r="F58" s="0" t="s">
        <v>2128</v>
      </c>
      <c r="G58" s="0" t="s">
        <v>2130</v>
      </c>
      <c r="H58" s="0" t="s">
        <v>2131</v>
      </c>
      <c r="I58" s="0" t="s">
        <v>2266</v>
      </c>
    </row>
    <row r="59" customFormat="false" ht="15" hidden="false" customHeight="false" outlineLevel="0" collapsed="false">
      <c r="A59" s="4" t="n">
        <v>46316</v>
      </c>
      <c r="B59" s="0" t="s">
        <v>2133</v>
      </c>
      <c r="C59" s="3" t="n">
        <v>250</v>
      </c>
      <c r="D59" s="3" t="n">
        <v>300</v>
      </c>
      <c r="E59" s="3" t="n">
        <v>500</v>
      </c>
      <c r="F59" s="0" t="s">
        <v>250</v>
      </c>
      <c r="G59" s="0" t="s">
        <v>2136</v>
      </c>
      <c r="H59" s="0" t="s">
        <v>2137</v>
      </c>
      <c r="I59" s="0" t="s">
        <v>2266</v>
      </c>
    </row>
    <row r="60" customFormat="false" ht="15" hidden="false" customHeight="false" outlineLevel="0" collapsed="false">
      <c r="A60" s="4" t="n">
        <v>46316</v>
      </c>
      <c r="B60" s="0" t="s">
        <v>2139</v>
      </c>
      <c r="C60" s="3" t="n">
        <v>250</v>
      </c>
      <c r="D60" s="3" t="n">
        <v>350</v>
      </c>
      <c r="E60" s="3" t="n">
        <v>700</v>
      </c>
      <c r="F60" s="0" t="s">
        <v>250</v>
      </c>
      <c r="G60" s="0" t="s">
        <v>2136</v>
      </c>
      <c r="H60" s="0" t="s">
        <v>2137</v>
      </c>
      <c r="I60" s="0" t="s">
        <v>2266</v>
      </c>
    </row>
    <row r="61" customFormat="false" ht="15" hidden="false" customHeight="false" outlineLevel="0" collapsed="false">
      <c r="A61" s="4" t="n">
        <v>46316</v>
      </c>
      <c r="B61" s="0" t="s">
        <v>2143</v>
      </c>
      <c r="C61" s="3" t="n">
        <v>350</v>
      </c>
      <c r="D61" s="3" t="n">
        <v>450</v>
      </c>
      <c r="E61" s="3" t="n">
        <v>900</v>
      </c>
      <c r="F61" s="0" t="s">
        <v>250</v>
      </c>
      <c r="G61" s="0" t="s">
        <v>2136</v>
      </c>
      <c r="H61" s="0" t="s">
        <v>2137</v>
      </c>
      <c r="I61" s="0" t="s">
        <v>2266</v>
      </c>
    </row>
    <row r="62" customFormat="false" ht="15" hidden="false" customHeight="false" outlineLevel="0" collapsed="false">
      <c r="A62" s="4" t="n">
        <v>46316</v>
      </c>
      <c r="B62" s="0" t="s">
        <v>2147</v>
      </c>
      <c r="C62" s="3" t="n">
        <v>400</v>
      </c>
      <c r="D62" s="3" t="n">
        <v>550</v>
      </c>
      <c r="E62" s="3" t="n">
        <v>1200</v>
      </c>
      <c r="F62" s="0" t="s">
        <v>250</v>
      </c>
      <c r="G62" s="0" t="s">
        <v>2136</v>
      </c>
      <c r="H62" s="0" t="s">
        <v>2137</v>
      </c>
      <c r="I62" s="0" t="s">
        <v>2266</v>
      </c>
    </row>
    <row r="63" customFormat="false" ht="15" hidden="false" customHeight="false" outlineLevel="0" collapsed="false">
      <c r="A63" s="4" t="n">
        <v>46316</v>
      </c>
      <c r="B63" s="0" t="s">
        <v>2151</v>
      </c>
      <c r="C63" s="3" t="n">
        <v>250</v>
      </c>
      <c r="D63" s="3" t="n">
        <v>250</v>
      </c>
      <c r="E63" s="3" t="n">
        <v>250</v>
      </c>
      <c r="F63" s="0" t="s">
        <v>250</v>
      </c>
      <c r="G63" s="0" t="s">
        <v>2154</v>
      </c>
      <c r="H63" s="0" t="s">
        <v>2155</v>
      </c>
      <c r="I63" s="0" t="s">
        <v>2266</v>
      </c>
    </row>
    <row r="64" customFormat="false" ht="15" hidden="false" customHeight="false" outlineLevel="0" collapsed="false">
      <c r="A64" s="4" t="n">
        <v>46316</v>
      </c>
      <c r="B64" s="0" t="s">
        <v>2157</v>
      </c>
      <c r="C64" s="3" t="n">
        <v>200</v>
      </c>
      <c r="D64" s="3" t="n">
        <v>200</v>
      </c>
      <c r="E64" s="3" t="n">
        <v>200</v>
      </c>
      <c r="F64" s="0" t="s">
        <v>250</v>
      </c>
      <c r="G64" s="0" t="s">
        <v>2154</v>
      </c>
      <c r="H64" s="0" t="s">
        <v>2155</v>
      </c>
      <c r="I64" s="0" t="s">
        <v>2266</v>
      </c>
    </row>
    <row r="65" customFormat="false" ht="15" hidden="false" customHeight="false" outlineLevel="0" collapsed="false">
      <c r="A65" s="4" t="n">
        <v>46316</v>
      </c>
      <c r="B65" s="0" t="s">
        <v>2159</v>
      </c>
      <c r="C65" s="3" t="n">
        <v>250</v>
      </c>
      <c r="D65" s="3" t="n">
        <v>250</v>
      </c>
      <c r="E65" s="3" t="n">
        <v>250</v>
      </c>
      <c r="F65" s="0" t="s">
        <v>250</v>
      </c>
      <c r="G65" s="0" t="s">
        <v>2154</v>
      </c>
      <c r="H65" s="0" t="s">
        <v>2155</v>
      </c>
      <c r="I65" s="0" t="s">
        <v>2266</v>
      </c>
    </row>
    <row r="66" customFormat="false" ht="15" hidden="false" customHeight="false" outlineLevel="0" collapsed="false">
      <c r="A66" s="4" t="n">
        <v>46316</v>
      </c>
      <c r="B66" s="0" t="s">
        <v>2161</v>
      </c>
      <c r="C66" s="3" t="n">
        <v>250</v>
      </c>
      <c r="D66" s="3" t="n">
        <v>250</v>
      </c>
      <c r="E66" s="3" t="n">
        <v>250</v>
      </c>
      <c r="F66" s="0" t="s">
        <v>250</v>
      </c>
      <c r="G66" s="0" t="s">
        <v>2154</v>
      </c>
      <c r="H66" s="0" t="s">
        <v>2155</v>
      </c>
      <c r="I66" s="0" t="s">
        <v>2266</v>
      </c>
    </row>
    <row r="67" customFormat="false" ht="15" hidden="false" customHeight="false" outlineLevel="0" collapsed="false">
      <c r="A67" s="4" t="n">
        <v>46316</v>
      </c>
      <c r="B67" s="0" t="s">
        <v>2163</v>
      </c>
      <c r="C67" s="3" t="n">
        <v>250</v>
      </c>
      <c r="D67" s="3" t="n">
        <v>250</v>
      </c>
      <c r="E67" s="3" t="n">
        <v>250</v>
      </c>
      <c r="F67" s="0" t="s">
        <v>250</v>
      </c>
      <c r="G67" s="0" t="s">
        <v>2154</v>
      </c>
      <c r="H67" s="0" t="s">
        <v>2155</v>
      </c>
      <c r="I67" s="0" t="s">
        <v>2266</v>
      </c>
    </row>
    <row r="68" customFormat="false" ht="15" hidden="false" customHeight="false" outlineLevel="0" collapsed="false">
      <c r="A68" s="4" t="n">
        <v>46316</v>
      </c>
      <c r="B68" s="0" t="s">
        <v>2164</v>
      </c>
      <c r="C68" s="3" t="n">
        <v>200</v>
      </c>
      <c r="D68" s="3" t="n">
        <v>200</v>
      </c>
      <c r="E68" s="3" t="n">
        <v>200</v>
      </c>
      <c r="F68" s="0" t="s">
        <v>250</v>
      </c>
      <c r="G68" s="0" t="s">
        <v>2154</v>
      </c>
      <c r="H68" s="0" t="s">
        <v>2155</v>
      </c>
      <c r="I68" s="0" t="s">
        <v>2266</v>
      </c>
    </row>
    <row r="69" customFormat="false" ht="15" hidden="false" customHeight="false" outlineLevel="0" collapsed="false">
      <c r="A69" s="4" t="n">
        <v>46316</v>
      </c>
      <c r="B69" s="0" t="s">
        <v>2165</v>
      </c>
      <c r="C69" s="3" t="n">
        <v>250</v>
      </c>
      <c r="D69" s="3" t="n">
        <v>250</v>
      </c>
      <c r="E69" s="3" t="n">
        <v>250</v>
      </c>
      <c r="F69" s="0" t="s">
        <v>250</v>
      </c>
      <c r="G69" s="0" t="s">
        <v>2154</v>
      </c>
      <c r="H69" s="0" t="s">
        <v>2155</v>
      </c>
      <c r="I69" s="0" t="s">
        <v>2266</v>
      </c>
    </row>
    <row r="70" customFormat="false" ht="15" hidden="false" customHeight="false" outlineLevel="0" collapsed="false">
      <c r="A70" s="4" t="n">
        <v>46316</v>
      </c>
      <c r="B70" s="0" t="s">
        <v>2166</v>
      </c>
      <c r="C70" s="3" t="n">
        <v>250</v>
      </c>
      <c r="D70" s="3" t="n">
        <v>250</v>
      </c>
      <c r="E70" s="3" t="n">
        <v>250</v>
      </c>
      <c r="F70" s="0" t="s">
        <v>250</v>
      </c>
      <c r="G70" s="0" t="s">
        <v>2154</v>
      </c>
      <c r="H70" s="0" t="s">
        <v>2155</v>
      </c>
      <c r="I70" s="0" t="s">
        <v>2266</v>
      </c>
    </row>
    <row r="71" customFormat="false" ht="15" hidden="false" customHeight="false" outlineLevel="0" collapsed="false">
      <c r="A71" s="4" t="n">
        <v>46316</v>
      </c>
      <c r="B71" s="0" t="s">
        <v>2167</v>
      </c>
      <c r="C71" s="3" t="n">
        <v>250</v>
      </c>
      <c r="D71" s="3" t="n">
        <v>250</v>
      </c>
      <c r="E71" s="3" t="n">
        <v>250</v>
      </c>
      <c r="F71" s="0" t="s">
        <v>250</v>
      </c>
      <c r="G71" s="0" t="s">
        <v>2154</v>
      </c>
      <c r="H71" s="0" t="s">
        <v>2155</v>
      </c>
      <c r="I71" s="0" t="s">
        <v>2266</v>
      </c>
    </row>
    <row r="72" customFormat="false" ht="15" hidden="false" customHeight="false" outlineLevel="0" collapsed="false">
      <c r="A72" s="4" t="n">
        <v>46316</v>
      </c>
      <c r="B72" s="0" t="s">
        <v>2168</v>
      </c>
      <c r="C72" s="3" t="n">
        <v>200</v>
      </c>
      <c r="D72" s="3" t="n">
        <v>200</v>
      </c>
      <c r="E72" s="3" t="n">
        <v>200</v>
      </c>
      <c r="F72" s="0" t="s">
        <v>250</v>
      </c>
      <c r="G72" s="0" t="s">
        <v>2154</v>
      </c>
      <c r="H72" s="0" t="s">
        <v>2155</v>
      </c>
      <c r="I72" s="0" t="s">
        <v>2266</v>
      </c>
    </row>
    <row r="73" customFormat="false" ht="15" hidden="false" customHeight="false" outlineLevel="0" collapsed="false">
      <c r="A73" s="4" t="n">
        <v>46316</v>
      </c>
      <c r="B73" s="0" t="s">
        <v>2169</v>
      </c>
      <c r="C73" s="3" t="n">
        <v>250</v>
      </c>
      <c r="D73" s="3" t="n">
        <v>250</v>
      </c>
      <c r="E73" s="3" t="n">
        <v>250</v>
      </c>
      <c r="F73" s="0" t="s">
        <v>250</v>
      </c>
      <c r="G73" s="0" t="s">
        <v>2154</v>
      </c>
      <c r="H73" s="0" t="s">
        <v>2155</v>
      </c>
      <c r="I73" s="0" t="s">
        <v>2266</v>
      </c>
    </row>
    <row r="74" customFormat="false" ht="15" hidden="false" customHeight="false" outlineLevel="0" collapsed="false">
      <c r="A74" s="4" t="n">
        <v>46316</v>
      </c>
      <c r="B74" s="0" t="s">
        <v>2170</v>
      </c>
      <c r="C74" s="3" t="n">
        <v>250</v>
      </c>
      <c r="D74" s="3" t="n">
        <v>250</v>
      </c>
      <c r="E74" s="3" t="n">
        <v>250</v>
      </c>
      <c r="F74" s="0" t="s">
        <v>250</v>
      </c>
      <c r="G74" s="0" t="s">
        <v>2154</v>
      </c>
      <c r="H74" s="0" t="s">
        <v>2155</v>
      </c>
      <c r="I74" s="0" t="s">
        <v>2266</v>
      </c>
    </row>
    <row r="75" customFormat="false" ht="15" hidden="false" customHeight="false" outlineLevel="0" collapsed="false">
      <c r="A75" s="4" t="n">
        <v>46316</v>
      </c>
      <c r="B75" s="0" t="s">
        <v>2171</v>
      </c>
      <c r="C75" s="3" t="n">
        <v>250</v>
      </c>
      <c r="D75" s="3" t="n">
        <v>250</v>
      </c>
      <c r="E75" s="3" t="n">
        <v>250</v>
      </c>
      <c r="F75" s="0" t="s">
        <v>250</v>
      </c>
      <c r="G75" s="0" t="s">
        <v>2154</v>
      </c>
      <c r="H75" s="0" t="s">
        <v>2155</v>
      </c>
      <c r="I75" s="0" t="s">
        <v>2266</v>
      </c>
    </row>
    <row r="76" customFormat="false" ht="15" hidden="false" customHeight="false" outlineLevel="0" collapsed="false">
      <c r="A76" s="4" t="n">
        <v>46316</v>
      </c>
      <c r="B76" s="0" t="s">
        <v>2172</v>
      </c>
      <c r="C76" s="3" t="n">
        <v>250</v>
      </c>
      <c r="D76" s="3" t="n">
        <v>250</v>
      </c>
      <c r="E76" s="3" t="n">
        <v>250</v>
      </c>
      <c r="F76" s="0" t="s">
        <v>250</v>
      </c>
      <c r="G76" s="0" t="s">
        <v>2154</v>
      </c>
      <c r="H76" s="0" t="s">
        <v>2155</v>
      </c>
      <c r="I76" s="0" t="s">
        <v>2266</v>
      </c>
    </row>
    <row r="77" customFormat="false" ht="15" hidden="false" customHeight="false" outlineLevel="0" collapsed="false">
      <c r="A77" s="4" t="n">
        <v>46316</v>
      </c>
      <c r="B77" s="0" t="s">
        <v>2173</v>
      </c>
      <c r="C77" s="3" t="n">
        <v>20</v>
      </c>
      <c r="D77" s="3" t="n">
        <v>40</v>
      </c>
      <c r="E77" s="3" t="n">
        <v>60</v>
      </c>
      <c r="F77" s="0" t="s">
        <v>1919</v>
      </c>
      <c r="G77" s="0" t="s">
        <v>2175</v>
      </c>
      <c r="H77" s="0" t="s">
        <v>2137</v>
      </c>
      <c r="I77" s="0" t="s">
        <v>2266</v>
      </c>
    </row>
    <row r="78" customFormat="false" ht="15" hidden="false" customHeight="false" outlineLevel="0" collapsed="false">
      <c r="A78" s="4" t="n">
        <v>46316</v>
      </c>
      <c r="B78" s="0" t="s">
        <v>2177</v>
      </c>
      <c r="C78" s="3" t="n">
        <v>40</v>
      </c>
      <c r="D78" s="3" t="n">
        <v>55</v>
      </c>
      <c r="E78" s="3" t="n">
        <v>70</v>
      </c>
      <c r="F78" s="0" t="s">
        <v>1919</v>
      </c>
      <c r="G78" s="0" t="s">
        <v>2179</v>
      </c>
      <c r="H78" s="0" t="s">
        <v>2180</v>
      </c>
      <c r="I78" s="0" t="s">
        <v>2266</v>
      </c>
    </row>
    <row r="79" customFormat="false" ht="15" hidden="false" customHeight="false" outlineLevel="0" collapsed="false">
      <c r="A79" s="4" t="n">
        <v>46321</v>
      </c>
      <c r="B79" s="0" t="s">
        <v>2035</v>
      </c>
      <c r="C79" s="3" t="n">
        <v>180</v>
      </c>
      <c r="D79" s="3" t="n">
        <v>240</v>
      </c>
      <c r="E79" s="3" t="n">
        <v>320</v>
      </c>
      <c r="F79" s="0" t="s">
        <v>250</v>
      </c>
      <c r="G79" s="0" t="s">
        <v>2267</v>
      </c>
      <c r="H79" s="0" t="s">
        <v>2038</v>
      </c>
      <c r="I79" s="0" t="s">
        <v>2268</v>
      </c>
    </row>
    <row r="80" customFormat="false" ht="15" hidden="false" customHeight="false" outlineLevel="0" collapsed="false">
      <c r="A80" s="4"/>
    </row>
    <row r="81" customFormat="false" ht="15" hidden="false" customHeight="false" outlineLevel="0" collapsed="false">
      <c r="A81" s="4"/>
    </row>
    <row r="82" customFormat="false" ht="15" hidden="false" customHeight="false" outlineLevel="0" collapsed="false">
      <c r="A82" s="4"/>
    </row>
    <row r="83" customFormat="false" ht="15" hidden="false" customHeight="false" outlineLevel="0" collapsed="false">
      <c r="A83" s="4"/>
    </row>
    <row r="84" customFormat="false" ht="15" hidden="false" customHeight="false" outlineLevel="0" collapsed="false">
      <c r="A84" s="4"/>
    </row>
    <row r="85" customFormat="false" ht="15" hidden="false" customHeight="false" outlineLevel="0" collapsed="false">
      <c r="A85" s="4"/>
    </row>
    <row r="86" customFormat="false" ht="15" hidden="false" customHeight="false" outlineLevel="0" collapsed="false">
      <c r="A86" s="4"/>
    </row>
    <row r="87" customFormat="false" ht="15" hidden="false" customHeight="false" outlineLevel="0" collapsed="false">
      <c r="A87" s="4"/>
    </row>
    <row r="88" customFormat="false" ht="15" hidden="false" customHeight="false" outlineLevel="0" collapsed="false">
      <c r="A88" s="4"/>
    </row>
    <row r="89" customFormat="false" ht="15" hidden="false" customHeight="false" outlineLevel="0" collapsed="false">
      <c r="A89" s="4"/>
    </row>
    <row r="90" customFormat="false" ht="15" hidden="false" customHeight="false" outlineLevel="0" collapsed="false">
      <c r="A90" s="4"/>
    </row>
    <row r="91" customFormat="false" ht="15" hidden="false" customHeight="false" outlineLevel="0" collapsed="false">
      <c r="A91" s="4"/>
    </row>
    <row r="92" customFormat="false" ht="15" hidden="false" customHeight="false" outlineLevel="0" collapsed="false">
      <c r="A92" s="4"/>
    </row>
    <row r="93" customFormat="false" ht="15" hidden="false" customHeight="false" outlineLevel="0" collapsed="false">
      <c r="A93" s="4"/>
    </row>
    <row r="94" customFormat="false" ht="15" hidden="false" customHeight="false" outlineLevel="0" collapsed="false">
      <c r="A94" s="4"/>
    </row>
    <row r="95" customFormat="false" ht="15" hidden="false" customHeight="false" outlineLevel="0" collapsed="false">
      <c r="A95" s="4"/>
    </row>
    <row r="96" customFormat="false" ht="15" hidden="false" customHeight="false" outlineLevel="0" collapsed="false">
      <c r="A96" s="4"/>
    </row>
    <row r="97" customFormat="false" ht="15" hidden="false" customHeight="false" outlineLevel="0" collapsed="false">
      <c r="A97" s="4"/>
    </row>
    <row r="98" customFormat="false" ht="15" hidden="false" customHeight="false" outlineLevel="0" collapsed="false">
      <c r="A98" s="4"/>
    </row>
    <row r="99" customFormat="false" ht="15" hidden="false" customHeight="false" outlineLevel="0" collapsed="false">
      <c r="A99" s="4"/>
    </row>
    <row r="100" customFormat="false" ht="15" hidden="false" customHeight="false" outlineLevel="0" collapsed="false">
      <c r="A100" s="4"/>
    </row>
    <row r="101" customFormat="false" ht="15" hidden="false" customHeight="false" outlineLevel="0" collapsed="false">
      <c r="A101" s="4"/>
    </row>
    <row r="102" customFormat="false" ht="15" hidden="false" customHeight="false" outlineLevel="0" collapsed="false">
      <c r="A102" s="4"/>
    </row>
    <row r="103" customFormat="false" ht="15" hidden="false" customHeight="false" outlineLevel="0" collapsed="false">
      <c r="A103" s="4"/>
    </row>
    <row r="104" customFormat="false" ht="15" hidden="false" customHeight="false" outlineLevel="0" collapsed="false">
      <c r="A104" s="4"/>
    </row>
    <row r="105" customFormat="false" ht="15" hidden="false" customHeight="false" outlineLevel="0" collapsed="false">
      <c r="A105" s="4"/>
    </row>
    <row r="106" customFormat="false" ht="15" hidden="false" customHeight="false" outlineLevel="0" collapsed="false">
      <c r="A106" s="4"/>
    </row>
    <row r="107" customFormat="false" ht="15" hidden="false" customHeight="false" outlineLevel="0" collapsed="false">
      <c r="A107" s="4"/>
    </row>
    <row r="108" customFormat="false" ht="15" hidden="false" customHeight="false" outlineLevel="0" collapsed="false">
      <c r="A108" s="4"/>
    </row>
    <row r="109" customFormat="false" ht="15" hidden="false" customHeight="false" outlineLevel="0" collapsed="false">
      <c r="A109" s="4"/>
    </row>
    <row r="110" customFormat="false" ht="15" hidden="false" customHeight="false" outlineLevel="0" collapsed="false">
      <c r="A110" s="4"/>
    </row>
    <row r="111" customFormat="false" ht="15" hidden="false" customHeight="false" outlineLevel="0" collapsed="false">
      <c r="A111" s="4"/>
    </row>
    <row r="112" customFormat="false" ht="15" hidden="false" customHeight="false" outlineLevel="0" collapsed="false">
      <c r="A112" s="4"/>
    </row>
    <row r="113" customFormat="false" ht="15" hidden="false" customHeight="false" outlineLevel="0" collapsed="false">
      <c r="A113" s="4"/>
    </row>
    <row r="114" customFormat="false" ht="15" hidden="false" customHeight="false" outlineLevel="0" collapsed="false">
      <c r="A114" s="4"/>
    </row>
    <row r="115" customFormat="false" ht="15" hidden="false" customHeight="false" outlineLevel="0" collapsed="false">
      <c r="A115" s="4"/>
    </row>
    <row r="116" customFormat="false" ht="15" hidden="false" customHeight="false" outlineLevel="0" collapsed="false">
      <c r="A116" s="4"/>
    </row>
    <row r="117" customFormat="false" ht="15" hidden="false" customHeight="false" outlineLevel="0" collapsed="false">
      <c r="A117" s="4"/>
    </row>
    <row r="118" customFormat="false" ht="15" hidden="false" customHeight="false" outlineLevel="0" collapsed="false">
      <c r="A118" s="4"/>
    </row>
    <row r="119" customFormat="false" ht="15" hidden="false" customHeight="false" outlineLevel="0" collapsed="false">
      <c r="A119" s="4"/>
    </row>
    <row r="120" customFormat="false" ht="15" hidden="false" customHeight="false" outlineLevel="0" collapsed="false">
      <c r="A120" s="4"/>
    </row>
    <row r="121" customFormat="false" ht="15" hidden="false" customHeight="false" outlineLevel="0" collapsed="false">
      <c r="A121" s="4"/>
    </row>
    <row r="122" customFormat="false" ht="15" hidden="false" customHeight="false" outlineLevel="0" collapsed="false">
      <c r="A122" s="4"/>
    </row>
    <row r="123" customFormat="false" ht="15" hidden="false" customHeight="false" outlineLevel="0" collapsed="false">
      <c r="A123" s="4"/>
    </row>
    <row r="124" customFormat="false" ht="15" hidden="false" customHeight="false" outlineLevel="0" collapsed="false">
      <c r="A124" s="4"/>
    </row>
    <row r="125" customFormat="false" ht="15" hidden="false" customHeight="false" outlineLevel="0" collapsed="false">
      <c r="A125" s="4"/>
    </row>
    <row r="126" customFormat="false" ht="15" hidden="false" customHeight="false" outlineLevel="0" collapsed="false">
      <c r="A126" s="4"/>
    </row>
    <row r="127" customFormat="false" ht="15" hidden="false" customHeight="false" outlineLevel="0" collapsed="false">
      <c r="A127" s="4"/>
    </row>
    <row r="128" customFormat="false" ht="15" hidden="false" customHeight="false" outlineLevel="0" collapsed="false">
      <c r="A128" s="4"/>
    </row>
    <row r="129" customFormat="false" ht="15" hidden="false" customHeight="false" outlineLevel="0" collapsed="false">
      <c r="A129" s="4"/>
    </row>
    <row r="130" customFormat="false" ht="15" hidden="false" customHeight="false" outlineLevel="0" collapsed="false">
      <c r="A130" s="4"/>
    </row>
    <row r="131" customFormat="false" ht="15" hidden="false" customHeight="false" outlineLevel="0" collapsed="false">
      <c r="A131" s="4"/>
    </row>
    <row r="132" customFormat="false" ht="15" hidden="false" customHeight="false" outlineLevel="0" collapsed="false">
      <c r="A132" s="4"/>
    </row>
    <row r="133" customFormat="false" ht="15" hidden="false" customHeight="false" outlineLevel="0" collapsed="false">
      <c r="A133" s="4"/>
    </row>
    <row r="134" customFormat="false" ht="15" hidden="false" customHeight="false" outlineLevel="0" collapsed="false">
      <c r="A134" s="4"/>
    </row>
    <row r="135" customFormat="false" ht="15" hidden="false" customHeight="false" outlineLevel="0" collapsed="false">
      <c r="A135" s="4"/>
    </row>
    <row r="136" customFormat="false" ht="15" hidden="false" customHeight="false" outlineLevel="0" collapsed="false">
      <c r="A136" s="4"/>
    </row>
    <row r="137" customFormat="false" ht="15" hidden="false" customHeight="false" outlineLevel="0" collapsed="false">
      <c r="A137" s="4"/>
    </row>
    <row r="138" customFormat="false" ht="15" hidden="false" customHeight="false" outlineLevel="0" collapsed="false">
      <c r="A138" s="4"/>
    </row>
    <row r="139" customFormat="false" ht="15" hidden="false" customHeight="false" outlineLevel="0" collapsed="false">
      <c r="A139" s="4"/>
    </row>
    <row r="140" customFormat="false" ht="15" hidden="false" customHeight="false" outlineLevel="0" collapsed="false">
      <c r="A140" s="4"/>
    </row>
    <row r="141" customFormat="false" ht="15" hidden="false" customHeight="false" outlineLevel="0" collapsed="false">
      <c r="A141" s="4"/>
    </row>
    <row r="142" customFormat="false" ht="15" hidden="false" customHeight="false" outlineLevel="0" collapsed="false">
      <c r="A142" s="4"/>
    </row>
    <row r="143" customFormat="false" ht="15" hidden="false" customHeight="false" outlineLevel="0" collapsed="false">
      <c r="A143" s="4"/>
    </row>
    <row r="144" customFormat="false" ht="15" hidden="false" customHeight="false" outlineLevel="0" collapsed="false">
      <c r="A144" s="4"/>
    </row>
    <row r="145" customFormat="false" ht="15" hidden="false" customHeight="false" outlineLevel="0" collapsed="false">
      <c r="A145" s="4"/>
    </row>
    <row r="146" customFormat="false" ht="15" hidden="false" customHeight="false" outlineLevel="0" collapsed="false">
      <c r="A146" s="4"/>
    </row>
    <row r="147" customFormat="false" ht="15" hidden="false" customHeight="false" outlineLevel="0" collapsed="false">
      <c r="A147" s="4"/>
    </row>
    <row r="148" customFormat="false" ht="15" hidden="false" customHeight="false" outlineLevel="0" collapsed="false">
      <c r="A148" s="4"/>
    </row>
    <row r="149" customFormat="false" ht="15" hidden="false" customHeight="false" outlineLevel="0" collapsed="false">
      <c r="A149" s="4"/>
    </row>
    <row r="150" customFormat="false" ht="15" hidden="false" customHeight="false" outlineLevel="0" collapsed="false">
      <c r="A150" s="4"/>
    </row>
    <row r="151" customFormat="false" ht="15" hidden="false" customHeight="false" outlineLevel="0" collapsed="false">
      <c r="A151" s="4"/>
    </row>
    <row r="152" customFormat="false" ht="15" hidden="false" customHeight="false" outlineLevel="0" collapsed="false">
      <c r="A152" s="4"/>
    </row>
    <row r="153" customFormat="false" ht="15" hidden="false" customHeight="false" outlineLevel="0" collapsed="false">
      <c r="A153" s="4"/>
    </row>
    <row r="154" customFormat="false" ht="15" hidden="false" customHeight="false" outlineLevel="0" collapsed="false">
      <c r="A154" s="4"/>
    </row>
    <row r="155" customFormat="false" ht="15" hidden="false" customHeight="false" outlineLevel="0" collapsed="false">
      <c r="A155" s="4"/>
    </row>
    <row r="156" customFormat="false" ht="15" hidden="false" customHeight="false" outlineLevel="0" collapsed="false">
      <c r="A156" s="4"/>
    </row>
    <row r="157" customFormat="false" ht="15" hidden="false" customHeight="false" outlineLevel="0" collapsed="false">
      <c r="A157" s="4"/>
    </row>
    <row r="158" customFormat="false" ht="15" hidden="false" customHeight="false" outlineLevel="0" collapsed="false">
      <c r="A158" s="4"/>
    </row>
    <row r="159" customFormat="false" ht="15" hidden="false" customHeight="false" outlineLevel="0" collapsed="false">
      <c r="A159" s="4"/>
    </row>
    <row r="160" customFormat="false" ht="15" hidden="false" customHeight="false" outlineLevel="0" collapsed="false">
      <c r="A160" s="4"/>
    </row>
    <row r="161" customFormat="false" ht="15" hidden="false" customHeight="false" outlineLevel="0" collapsed="false">
      <c r="A161" s="4"/>
    </row>
    <row r="162" customFormat="false" ht="15" hidden="false" customHeight="false" outlineLevel="0" collapsed="false">
      <c r="A162" s="4"/>
    </row>
    <row r="163" customFormat="false" ht="15" hidden="false" customHeight="false" outlineLevel="0" collapsed="false">
      <c r="A163" s="4"/>
    </row>
    <row r="164" customFormat="false" ht="15" hidden="false" customHeight="false" outlineLevel="0" collapsed="false">
      <c r="A164" s="4"/>
    </row>
    <row r="165" customFormat="false" ht="15" hidden="false" customHeight="false" outlineLevel="0" collapsed="false">
      <c r="A165" s="4"/>
    </row>
    <row r="166" customFormat="false" ht="15" hidden="false" customHeight="false" outlineLevel="0" collapsed="false">
      <c r="A166" s="4"/>
    </row>
    <row r="167" customFormat="false" ht="15" hidden="false" customHeight="false" outlineLevel="0" collapsed="false">
      <c r="A167" s="4"/>
    </row>
    <row r="168" customFormat="false" ht="15" hidden="false" customHeight="false" outlineLevel="0" collapsed="false">
      <c r="A168" s="4"/>
    </row>
    <row r="169" customFormat="false" ht="15" hidden="false" customHeight="false" outlineLevel="0" collapsed="false">
      <c r="A169" s="4"/>
    </row>
    <row r="170" customFormat="false" ht="15" hidden="false" customHeight="false" outlineLevel="0" collapsed="false">
      <c r="A170" s="4"/>
    </row>
    <row r="171" customFormat="false" ht="15" hidden="false" customHeight="false" outlineLevel="0" collapsed="false">
      <c r="A171" s="4"/>
    </row>
    <row r="172" customFormat="false" ht="15" hidden="false" customHeight="false" outlineLevel="0" collapsed="false">
      <c r="A172" s="4"/>
    </row>
    <row r="173" customFormat="false" ht="15" hidden="false" customHeight="false" outlineLevel="0" collapsed="false">
      <c r="A173" s="4"/>
    </row>
    <row r="174" customFormat="false" ht="15" hidden="false" customHeight="false" outlineLevel="0" collapsed="false">
      <c r="A174" s="4"/>
    </row>
    <row r="175" customFormat="false" ht="15" hidden="false" customHeight="false" outlineLevel="0" collapsed="false">
      <c r="A175" s="4"/>
    </row>
    <row r="176" customFormat="false" ht="15" hidden="false" customHeight="false" outlineLevel="0" collapsed="false">
      <c r="A176" s="4"/>
    </row>
    <row r="177" customFormat="false" ht="15" hidden="false" customHeight="false" outlineLevel="0" collapsed="false">
      <c r="A177" s="4"/>
    </row>
    <row r="178" customFormat="false" ht="15" hidden="false" customHeight="false" outlineLevel="0" collapsed="false">
      <c r="A178" s="4"/>
    </row>
    <row r="179" customFormat="false" ht="15" hidden="false" customHeight="false" outlineLevel="0" collapsed="false">
      <c r="A179" s="4"/>
    </row>
    <row r="180" customFormat="false" ht="15" hidden="false" customHeight="false" outlineLevel="0" collapsed="false">
      <c r="A180" s="4"/>
    </row>
    <row r="181" customFormat="false" ht="15" hidden="false" customHeight="false" outlineLevel="0" collapsed="false">
      <c r="A181" s="4"/>
    </row>
    <row r="182" customFormat="false" ht="15" hidden="false" customHeight="false" outlineLevel="0" collapsed="false">
      <c r="A182" s="4"/>
    </row>
    <row r="183" customFormat="false" ht="15" hidden="false" customHeight="false" outlineLevel="0" collapsed="false">
      <c r="A183" s="4"/>
    </row>
    <row r="184" customFormat="false" ht="15" hidden="false" customHeight="false" outlineLevel="0" collapsed="false">
      <c r="A184" s="4"/>
    </row>
    <row r="185" customFormat="false" ht="15" hidden="false" customHeight="false" outlineLevel="0" collapsed="false">
      <c r="A185" s="4"/>
    </row>
    <row r="186" customFormat="false" ht="15" hidden="false" customHeight="false" outlineLevel="0" collapsed="false">
      <c r="A186" s="4"/>
    </row>
    <row r="187" customFormat="false" ht="15" hidden="false" customHeight="false" outlineLevel="0" collapsed="false">
      <c r="A187" s="4"/>
    </row>
    <row r="188" customFormat="false" ht="15" hidden="false" customHeight="false" outlineLevel="0" collapsed="false">
      <c r="A188" s="4"/>
    </row>
    <row r="189" customFormat="false" ht="15" hidden="false" customHeight="false" outlineLevel="0" collapsed="false">
      <c r="A189" s="4"/>
    </row>
    <row r="190" customFormat="false" ht="15" hidden="false" customHeight="false" outlineLevel="0" collapsed="false">
      <c r="A190" s="4"/>
    </row>
    <row r="191" customFormat="false" ht="15" hidden="false" customHeight="false" outlineLevel="0" collapsed="false">
      <c r="A191" s="4"/>
    </row>
    <row r="192" customFormat="false" ht="15" hidden="false" customHeight="false" outlineLevel="0" collapsed="false">
      <c r="A192" s="4"/>
    </row>
    <row r="193" customFormat="false" ht="15" hidden="false" customHeight="false" outlineLevel="0" collapsed="false">
      <c r="A193" s="4"/>
    </row>
    <row r="194" customFormat="false" ht="15" hidden="false" customHeight="false" outlineLevel="0" collapsed="false">
      <c r="A194" s="4"/>
    </row>
    <row r="195" customFormat="false" ht="15" hidden="false" customHeight="false" outlineLevel="0" collapsed="false">
      <c r="A195" s="4"/>
    </row>
    <row r="196" customFormat="false" ht="15" hidden="false" customHeight="false" outlineLevel="0" collapsed="false">
      <c r="A196" s="4"/>
    </row>
    <row r="197" customFormat="false" ht="15" hidden="false" customHeight="false" outlineLevel="0" collapsed="false">
      <c r="A197" s="4"/>
    </row>
    <row r="198" customFormat="false" ht="15" hidden="false" customHeight="false" outlineLevel="0" collapsed="false">
      <c r="A198" s="4"/>
    </row>
    <row r="199" customFormat="false" ht="15" hidden="false" customHeight="false" outlineLevel="0" collapsed="false">
      <c r="A199" s="4"/>
    </row>
    <row r="200" customFormat="false" ht="15" hidden="false" customHeight="false" outlineLevel="0" collapsed="false">
      <c r="A200" s="4"/>
    </row>
    <row r="201" customFormat="false" ht="15" hidden="false" customHeight="false" outlineLevel="0" collapsed="false">
      <c r="A201" s="4"/>
    </row>
    <row r="202" customFormat="false" ht="15" hidden="false" customHeight="false" outlineLevel="0" collapsed="false">
      <c r="A202" s="4"/>
    </row>
    <row r="203" customFormat="false" ht="15" hidden="false" customHeight="false" outlineLevel="0" collapsed="false">
      <c r="A203" s="4"/>
    </row>
    <row r="204" customFormat="false" ht="15" hidden="false" customHeight="false" outlineLevel="0" collapsed="false">
      <c r="A204" s="4"/>
    </row>
    <row r="205" customFormat="false" ht="15" hidden="false" customHeight="false" outlineLevel="0" collapsed="false">
      <c r="A205" s="4"/>
    </row>
    <row r="206" customFormat="false" ht="15" hidden="false" customHeight="false" outlineLevel="0" collapsed="false">
      <c r="A206" s="4"/>
    </row>
    <row r="207" customFormat="false" ht="15" hidden="false" customHeight="false" outlineLevel="0" collapsed="false">
      <c r="A207" s="4"/>
    </row>
    <row r="208" customFormat="false" ht="15" hidden="false" customHeight="false" outlineLevel="0" collapsed="false">
      <c r="A208" s="4"/>
    </row>
    <row r="209" customFormat="false" ht="15" hidden="false" customHeight="false" outlineLevel="0" collapsed="false">
      <c r="A209" s="4"/>
    </row>
    <row r="210" customFormat="false" ht="15" hidden="false" customHeight="false" outlineLevel="0" collapsed="false">
      <c r="A210" s="4"/>
    </row>
    <row r="211" customFormat="false" ht="15" hidden="false" customHeight="false" outlineLevel="0" collapsed="false">
      <c r="A211" s="4"/>
    </row>
    <row r="212" customFormat="false" ht="15" hidden="false" customHeight="false" outlineLevel="0" collapsed="false">
      <c r="A212" s="4"/>
    </row>
    <row r="213" customFormat="false" ht="15" hidden="false" customHeight="false" outlineLevel="0" collapsed="false">
      <c r="A213" s="4"/>
    </row>
    <row r="214" customFormat="false" ht="15" hidden="false" customHeight="false" outlineLevel="0" collapsed="false">
      <c r="A214" s="4"/>
    </row>
    <row r="215" customFormat="false" ht="15" hidden="false" customHeight="false" outlineLevel="0" collapsed="false">
      <c r="A215" s="4"/>
    </row>
    <row r="216" customFormat="false" ht="15" hidden="false" customHeight="false" outlineLevel="0" collapsed="false">
      <c r="A216" s="4"/>
    </row>
    <row r="217" customFormat="false" ht="15" hidden="false" customHeight="false" outlineLevel="0" collapsed="false">
      <c r="A217" s="4"/>
    </row>
    <row r="218" customFormat="false" ht="15" hidden="false" customHeight="false" outlineLevel="0" collapsed="false">
      <c r="A218" s="4"/>
    </row>
    <row r="219" customFormat="false" ht="15" hidden="false" customHeight="false" outlineLevel="0" collapsed="false">
      <c r="A219" s="4"/>
    </row>
    <row r="220" customFormat="false" ht="15" hidden="false" customHeight="false" outlineLevel="0" collapsed="false">
      <c r="A220" s="4"/>
    </row>
    <row r="221" customFormat="false" ht="15" hidden="false" customHeight="false" outlineLevel="0" collapsed="false">
      <c r="A221" s="4"/>
    </row>
    <row r="222" customFormat="false" ht="15" hidden="false" customHeight="false" outlineLevel="0" collapsed="false">
      <c r="A222" s="4"/>
    </row>
    <row r="223" customFormat="false" ht="15" hidden="false" customHeight="false" outlineLevel="0" collapsed="false">
      <c r="A223" s="4"/>
    </row>
    <row r="224" customFormat="false" ht="15" hidden="false" customHeight="false" outlineLevel="0" collapsed="false">
      <c r="A224" s="4"/>
    </row>
    <row r="225" customFormat="false" ht="15" hidden="false" customHeight="false" outlineLevel="0" collapsed="false">
      <c r="A225" s="4"/>
    </row>
    <row r="226" customFormat="false" ht="15" hidden="false" customHeight="false" outlineLevel="0" collapsed="false">
      <c r="A226" s="4"/>
    </row>
    <row r="227" customFormat="false" ht="15" hidden="false" customHeight="false" outlineLevel="0" collapsed="false">
      <c r="A227" s="4"/>
    </row>
    <row r="228" customFormat="false" ht="15" hidden="false" customHeight="false" outlineLevel="0" collapsed="false">
      <c r="A228" s="4"/>
    </row>
    <row r="229" customFormat="false" ht="15" hidden="false" customHeight="false" outlineLevel="0" collapsed="false">
      <c r="A229" s="4"/>
    </row>
    <row r="230" customFormat="false" ht="15" hidden="false" customHeight="false" outlineLevel="0" collapsed="false">
      <c r="A230" s="4"/>
    </row>
    <row r="231" customFormat="false" ht="15" hidden="false" customHeight="false" outlineLevel="0" collapsed="false">
      <c r="A231" s="4"/>
    </row>
    <row r="232" customFormat="false" ht="15" hidden="false" customHeight="false" outlineLevel="0" collapsed="false">
      <c r="A232" s="4"/>
    </row>
    <row r="233" customFormat="false" ht="15" hidden="false" customHeight="false" outlineLevel="0" collapsed="false">
      <c r="A233" s="4"/>
    </row>
    <row r="234" customFormat="false" ht="15" hidden="false" customHeight="false" outlineLevel="0" collapsed="false">
      <c r="A234" s="4"/>
    </row>
    <row r="235" customFormat="false" ht="15" hidden="false" customHeight="false" outlineLevel="0" collapsed="false">
      <c r="A235" s="4"/>
    </row>
    <row r="236" customFormat="false" ht="15" hidden="false" customHeight="false" outlineLevel="0" collapsed="false">
      <c r="A236" s="4"/>
    </row>
    <row r="237" customFormat="false" ht="15" hidden="false" customHeight="false" outlineLevel="0" collapsed="false">
      <c r="A237" s="4"/>
    </row>
    <row r="238" customFormat="false" ht="15" hidden="false" customHeight="false" outlineLevel="0" collapsed="false">
      <c r="A238" s="4"/>
    </row>
    <row r="239" customFormat="false" ht="15" hidden="false" customHeight="false" outlineLevel="0" collapsed="false">
      <c r="A239" s="4"/>
    </row>
    <row r="240" customFormat="false" ht="15" hidden="false" customHeight="false" outlineLevel="0" collapsed="false">
      <c r="A240" s="4"/>
    </row>
    <row r="241" customFormat="false" ht="15" hidden="false" customHeight="false" outlineLevel="0" collapsed="false">
      <c r="A241" s="4"/>
    </row>
    <row r="242" customFormat="false" ht="15" hidden="false" customHeight="false" outlineLevel="0" collapsed="false">
      <c r="A242" s="4"/>
    </row>
    <row r="243" customFormat="false" ht="15" hidden="false" customHeight="false" outlineLevel="0" collapsed="false">
      <c r="A243" s="4"/>
    </row>
    <row r="244" customFormat="false" ht="15" hidden="false" customHeight="false" outlineLevel="0" collapsed="false">
      <c r="A244" s="4"/>
    </row>
    <row r="245" customFormat="false" ht="15" hidden="false" customHeight="false" outlineLevel="0" collapsed="false">
      <c r="A245" s="4"/>
    </row>
    <row r="246" customFormat="false" ht="15" hidden="false" customHeight="false" outlineLevel="0" collapsed="false">
      <c r="A246" s="4"/>
    </row>
    <row r="247" customFormat="false" ht="15" hidden="false" customHeight="false" outlineLevel="0" collapsed="false">
      <c r="A247" s="4"/>
    </row>
    <row r="248" customFormat="false" ht="15" hidden="false" customHeight="false" outlineLevel="0" collapsed="false">
      <c r="A248" s="4"/>
    </row>
    <row r="249" customFormat="false" ht="15" hidden="false" customHeight="false" outlineLevel="0" collapsed="false">
      <c r="A249" s="4"/>
    </row>
    <row r="250" customFormat="false" ht="15" hidden="false" customHeight="false" outlineLevel="0" collapsed="false">
      <c r="A250" s="4"/>
    </row>
    <row r="251" customFormat="false" ht="15" hidden="false" customHeight="false" outlineLevel="0" collapsed="false">
      <c r="A251" s="4"/>
    </row>
    <row r="252" customFormat="false" ht="15" hidden="false" customHeight="false" outlineLevel="0" collapsed="false">
      <c r="A252" s="4"/>
    </row>
    <row r="253" customFormat="false" ht="15" hidden="false" customHeight="false" outlineLevel="0" collapsed="false">
      <c r="A253" s="4"/>
    </row>
    <row r="254" customFormat="false" ht="15" hidden="false" customHeight="false" outlineLevel="0" collapsed="false">
      <c r="A254" s="4"/>
    </row>
    <row r="255" customFormat="false" ht="15" hidden="false" customHeight="false" outlineLevel="0" collapsed="false">
      <c r="A255" s="4"/>
    </row>
    <row r="256" customFormat="false" ht="15" hidden="false" customHeight="false" outlineLevel="0" collapsed="false">
      <c r="A256" s="4"/>
    </row>
    <row r="257" customFormat="false" ht="15" hidden="false" customHeight="false" outlineLevel="0" collapsed="false">
      <c r="A257" s="4"/>
    </row>
    <row r="258" customFormat="false" ht="15" hidden="false" customHeight="false" outlineLevel="0" collapsed="false">
      <c r="A258" s="4"/>
    </row>
    <row r="259" customFormat="false" ht="15" hidden="false" customHeight="false" outlineLevel="0" collapsed="false">
      <c r="A259" s="4"/>
    </row>
    <row r="260" customFormat="false" ht="15" hidden="false" customHeight="false" outlineLevel="0" collapsed="false">
      <c r="A260" s="4"/>
    </row>
    <row r="261" customFormat="false" ht="15" hidden="false" customHeight="false" outlineLevel="0" collapsed="false">
      <c r="A261" s="4"/>
    </row>
    <row r="262" customFormat="false" ht="15" hidden="false" customHeight="false" outlineLevel="0" collapsed="false">
      <c r="A262" s="4"/>
    </row>
    <row r="263" customFormat="false" ht="15" hidden="false" customHeight="false" outlineLevel="0" collapsed="false">
      <c r="A263" s="4"/>
    </row>
    <row r="264" customFormat="false" ht="15" hidden="false" customHeight="false" outlineLevel="0" collapsed="false">
      <c r="A264" s="4"/>
    </row>
    <row r="265" customFormat="false" ht="15" hidden="false" customHeight="false" outlineLevel="0" collapsed="false">
      <c r="A265" s="4"/>
    </row>
    <row r="266" customFormat="false" ht="15" hidden="false" customHeight="false" outlineLevel="0" collapsed="false">
      <c r="A266" s="4"/>
    </row>
    <row r="267" customFormat="false" ht="15" hidden="false" customHeight="false" outlineLevel="0" collapsed="false">
      <c r="A267" s="4"/>
    </row>
    <row r="268" customFormat="false" ht="15" hidden="false" customHeight="false" outlineLevel="0" collapsed="false">
      <c r="A268" s="4"/>
    </row>
    <row r="269" customFormat="false" ht="15" hidden="false" customHeight="false" outlineLevel="0" collapsed="false">
      <c r="A269" s="4"/>
    </row>
    <row r="270" customFormat="false" ht="15" hidden="false" customHeight="false" outlineLevel="0" collapsed="false">
      <c r="A270" s="4"/>
    </row>
    <row r="271" customFormat="false" ht="15" hidden="false" customHeight="false" outlineLevel="0" collapsed="false">
      <c r="A271" s="4"/>
    </row>
    <row r="272" customFormat="false" ht="15" hidden="false" customHeight="false" outlineLevel="0" collapsed="false">
      <c r="A272" s="4"/>
    </row>
    <row r="273" customFormat="false" ht="15" hidden="false" customHeight="false" outlineLevel="0" collapsed="false">
      <c r="A273" s="4"/>
    </row>
    <row r="274" customFormat="false" ht="15" hidden="false" customHeight="false" outlineLevel="0" collapsed="false">
      <c r="A274" s="4"/>
    </row>
    <row r="275" customFormat="false" ht="15" hidden="false" customHeight="false" outlineLevel="0" collapsed="false">
      <c r="A275" s="4"/>
    </row>
    <row r="276" customFormat="false" ht="15" hidden="false" customHeight="false" outlineLevel="0" collapsed="false">
      <c r="A276" s="4"/>
    </row>
    <row r="277" customFormat="false" ht="15" hidden="false" customHeight="false" outlineLevel="0" collapsed="false">
      <c r="A277" s="4"/>
    </row>
    <row r="278" customFormat="false" ht="15" hidden="false" customHeight="false" outlineLevel="0" collapsed="false">
      <c r="A278" s="4"/>
    </row>
    <row r="279" customFormat="false" ht="15" hidden="false" customHeight="false" outlineLevel="0" collapsed="false">
      <c r="A279" s="4"/>
    </row>
    <row r="280" customFormat="false" ht="15" hidden="false" customHeight="false" outlineLevel="0" collapsed="false">
      <c r="A280" s="4"/>
    </row>
    <row r="281" customFormat="false" ht="15" hidden="false" customHeight="false" outlineLevel="0" collapsed="false">
      <c r="A281" s="4"/>
    </row>
    <row r="282" customFormat="false" ht="15" hidden="false" customHeight="false" outlineLevel="0" collapsed="false">
      <c r="A282" s="4"/>
    </row>
    <row r="283" customFormat="false" ht="15" hidden="false" customHeight="false" outlineLevel="0" collapsed="false">
      <c r="A283" s="4"/>
    </row>
    <row r="284" customFormat="false" ht="15" hidden="false" customHeight="false" outlineLevel="0" collapsed="false">
      <c r="A284" s="4"/>
    </row>
    <row r="285" customFormat="false" ht="15" hidden="false" customHeight="false" outlineLevel="0" collapsed="false">
      <c r="A285" s="4"/>
    </row>
    <row r="286" customFormat="false" ht="15" hidden="false" customHeight="false" outlineLevel="0" collapsed="false">
      <c r="A286" s="4"/>
    </row>
    <row r="287" customFormat="false" ht="15" hidden="false" customHeight="false" outlineLevel="0" collapsed="false">
      <c r="A287" s="4"/>
    </row>
    <row r="288" customFormat="false" ht="15" hidden="false" customHeight="false" outlineLevel="0" collapsed="false">
      <c r="A288" s="4"/>
    </row>
    <row r="289" customFormat="false" ht="15" hidden="false" customHeight="false" outlineLevel="0" collapsed="false">
      <c r="A289" s="4"/>
    </row>
    <row r="290" customFormat="false" ht="15" hidden="false" customHeight="false" outlineLevel="0" collapsed="false">
      <c r="A290" s="4"/>
    </row>
    <row r="291" customFormat="false" ht="15" hidden="false" customHeight="false" outlineLevel="0" collapsed="false">
      <c r="A291" s="4"/>
    </row>
    <row r="292" customFormat="false" ht="15" hidden="false" customHeight="false" outlineLevel="0" collapsed="false">
      <c r="A292" s="4"/>
    </row>
    <row r="293" customFormat="false" ht="15" hidden="false" customHeight="false" outlineLevel="0" collapsed="false">
      <c r="A293" s="4"/>
    </row>
    <row r="294" customFormat="false" ht="15" hidden="false" customHeight="false" outlineLevel="0" collapsed="false">
      <c r="A294" s="4"/>
    </row>
    <row r="295" customFormat="false" ht="15" hidden="false" customHeight="false" outlineLevel="0" collapsed="false">
      <c r="A295" s="4"/>
    </row>
    <row r="296" customFormat="false" ht="15" hidden="false" customHeight="false" outlineLevel="0" collapsed="false">
      <c r="A296" s="4"/>
    </row>
    <row r="297" customFormat="false" ht="15" hidden="false" customHeight="false" outlineLevel="0" collapsed="false">
      <c r="A297" s="4"/>
    </row>
    <row r="298" customFormat="false" ht="15" hidden="false" customHeight="false" outlineLevel="0" collapsed="false">
      <c r="A298" s="4"/>
    </row>
    <row r="299" customFormat="false" ht="15" hidden="false" customHeight="false" outlineLevel="0" collapsed="false">
      <c r="A299" s="4"/>
    </row>
    <row r="300" customFormat="false" ht="15" hidden="false" customHeight="false" outlineLevel="0" collapsed="false">
      <c r="A300" s="4"/>
    </row>
    <row r="301" customFormat="false" ht="15" hidden="false" customHeight="false" outlineLevel="0" collapsed="false">
      <c r="A301" s="4"/>
    </row>
    <row r="302" customFormat="false" ht="15" hidden="false" customHeight="false" outlineLevel="0" collapsed="false">
      <c r="A302" s="4"/>
    </row>
    <row r="303" customFormat="false" ht="15" hidden="false" customHeight="false" outlineLevel="0" collapsed="false">
      <c r="A303" s="4"/>
    </row>
    <row r="304" customFormat="false" ht="15" hidden="false" customHeight="false" outlineLevel="0" collapsed="false">
      <c r="A304" s="4"/>
    </row>
    <row r="305" customFormat="false" ht="15" hidden="false" customHeight="false" outlineLevel="0" collapsed="false">
      <c r="A305" s="4"/>
    </row>
    <row r="306" customFormat="false" ht="15" hidden="false" customHeight="false" outlineLevel="0" collapsed="false">
      <c r="A306" s="4"/>
    </row>
    <row r="307" customFormat="false" ht="15" hidden="false" customHeight="false" outlineLevel="0" collapsed="false">
      <c r="A307" s="4"/>
    </row>
    <row r="308" customFormat="false" ht="15" hidden="false" customHeight="false" outlineLevel="0" collapsed="false">
      <c r="A308" s="4"/>
    </row>
    <row r="309" customFormat="false" ht="15" hidden="false" customHeight="false" outlineLevel="0" collapsed="false">
      <c r="A309" s="4"/>
    </row>
    <row r="310" customFormat="false" ht="15" hidden="false" customHeight="false" outlineLevel="0" collapsed="false">
      <c r="A310" s="4"/>
    </row>
    <row r="311" customFormat="false" ht="15" hidden="false" customHeight="false" outlineLevel="0" collapsed="false">
      <c r="A311" s="4"/>
    </row>
    <row r="312" customFormat="false" ht="15" hidden="false" customHeight="false" outlineLevel="0" collapsed="false">
      <c r="A312" s="4"/>
    </row>
    <row r="313" customFormat="false" ht="15" hidden="false" customHeight="false" outlineLevel="0" collapsed="false">
      <c r="A313" s="4"/>
    </row>
    <row r="314" customFormat="false" ht="15" hidden="false" customHeight="false" outlineLevel="0" collapsed="false">
      <c r="A314" s="4"/>
    </row>
    <row r="315" customFormat="false" ht="15" hidden="false" customHeight="false" outlineLevel="0" collapsed="false">
      <c r="A315" s="4"/>
    </row>
    <row r="316" customFormat="false" ht="15" hidden="false" customHeight="false" outlineLevel="0" collapsed="false">
      <c r="A316" s="4"/>
    </row>
    <row r="317" customFormat="false" ht="15" hidden="false" customHeight="false" outlineLevel="0" collapsed="false">
      <c r="A317" s="4"/>
    </row>
    <row r="318" customFormat="false" ht="15" hidden="false" customHeight="false" outlineLevel="0" collapsed="false">
      <c r="A318" s="4"/>
    </row>
    <row r="319" customFormat="false" ht="15" hidden="false" customHeight="false" outlineLevel="0" collapsed="false">
      <c r="A319" s="4"/>
    </row>
    <row r="320" customFormat="false" ht="15" hidden="false" customHeight="false" outlineLevel="0" collapsed="false">
      <c r="A320" s="4"/>
    </row>
    <row r="321" customFormat="false" ht="15" hidden="false" customHeight="false" outlineLevel="0" collapsed="false">
      <c r="A321" s="4"/>
    </row>
    <row r="322" customFormat="false" ht="15" hidden="false" customHeight="false" outlineLevel="0" collapsed="false">
      <c r="A322" s="4"/>
    </row>
    <row r="323" customFormat="false" ht="15" hidden="false" customHeight="false" outlineLevel="0" collapsed="false">
      <c r="A323" s="4"/>
    </row>
    <row r="324" customFormat="false" ht="15" hidden="false" customHeight="false" outlineLevel="0" collapsed="false">
      <c r="A324" s="4"/>
    </row>
    <row r="325" customFormat="false" ht="15" hidden="false" customHeight="false" outlineLevel="0" collapsed="false">
      <c r="A325" s="4"/>
    </row>
    <row r="326" customFormat="false" ht="15" hidden="false" customHeight="false" outlineLevel="0" collapsed="false">
      <c r="A326" s="4"/>
    </row>
    <row r="327" customFormat="false" ht="15" hidden="false" customHeight="false" outlineLevel="0" collapsed="false">
      <c r="A327" s="4"/>
    </row>
    <row r="328" customFormat="false" ht="15" hidden="false" customHeight="false" outlineLevel="0" collapsed="false">
      <c r="A328" s="4"/>
    </row>
    <row r="329" customFormat="false" ht="15" hidden="false" customHeight="false" outlineLevel="0" collapsed="false">
      <c r="A329" s="4"/>
    </row>
    <row r="330" customFormat="false" ht="15" hidden="false" customHeight="false" outlineLevel="0" collapsed="false">
      <c r="A330" s="4"/>
    </row>
    <row r="331" customFormat="false" ht="15" hidden="false" customHeight="false" outlineLevel="0" collapsed="false">
      <c r="A331" s="4"/>
    </row>
    <row r="332" customFormat="false" ht="15" hidden="false" customHeight="false" outlineLevel="0" collapsed="false">
      <c r="A332" s="4"/>
    </row>
    <row r="333" customFormat="false" ht="15" hidden="false" customHeight="false" outlineLevel="0" collapsed="false">
      <c r="A333" s="4"/>
    </row>
    <row r="334" customFormat="false" ht="15" hidden="false" customHeight="false" outlineLevel="0" collapsed="false">
      <c r="A334" s="4"/>
    </row>
    <row r="335" customFormat="false" ht="15" hidden="false" customHeight="false" outlineLevel="0" collapsed="false">
      <c r="A335" s="4"/>
    </row>
    <row r="336" customFormat="false" ht="15" hidden="false" customHeight="false" outlineLevel="0" collapsed="false">
      <c r="A336" s="4"/>
    </row>
    <row r="337" customFormat="false" ht="15" hidden="false" customHeight="false" outlineLevel="0" collapsed="false">
      <c r="A337" s="4"/>
    </row>
    <row r="338" customFormat="false" ht="15" hidden="false" customHeight="false" outlineLevel="0" collapsed="false">
      <c r="A338" s="4"/>
    </row>
    <row r="339" customFormat="false" ht="15" hidden="false" customHeight="false" outlineLevel="0" collapsed="false">
      <c r="A339" s="4"/>
    </row>
    <row r="340" customFormat="false" ht="15" hidden="false" customHeight="false" outlineLevel="0" collapsed="false">
      <c r="A340" s="4"/>
    </row>
    <row r="341" customFormat="false" ht="15" hidden="false" customHeight="false" outlineLevel="0" collapsed="false">
      <c r="A341" s="4"/>
    </row>
    <row r="342" customFormat="false" ht="15" hidden="false" customHeight="false" outlineLevel="0" collapsed="false">
      <c r="A342" s="4"/>
    </row>
    <row r="343" customFormat="false" ht="15" hidden="false" customHeight="false" outlineLevel="0" collapsed="false">
      <c r="A343" s="4"/>
    </row>
    <row r="344" customFormat="false" ht="15" hidden="false" customHeight="false" outlineLevel="0" collapsed="false">
      <c r="A344" s="4"/>
    </row>
    <row r="345" customFormat="false" ht="15" hidden="false" customHeight="false" outlineLevel="0" collapsed="false">
      <c r="A345" s="4"/>
    </row>
    <row r="346" customFormat="false" ht="15" hidden="false" customHeight="false" outlineLevel="0" collapsed="false">
      <c r="A346" s="4"/>
    </row>
    <row r="347" customFormat="false" ht="15" hidden="false" customHeight="false" outlineLevel="0" collapsed="false">
      <c r="A347" s="4"/>
    </row>
    <row r="348" customFormat="false" ht="15" hidden="false" customHeight="false" outlineLevel="0" collapsed="false">
      <c r="A348" s="4"/>
    </row>
    <row r="349" customFormat="false" ht="15" hidden="false" customHeight="false" outlineLevel="0" collapsed="false">
      <c r="A349" s="4"/>
    </row>
    <row r="350" customFormat="false" ht="15" hidden="false" customHeight="false" outlineLevel="0" collapsed="false">
      <c r="A350" s="4"/>
    </row>
    <row r="351" customFormat="false" ht="15" hidden="false" customHeight="false" outlineLevel="0" collapsed="false">
      <c r="A351" s="4"/>
    </row>
    <row r="352" customFormat="false" ht="15" hidden="false" customHeight="false" outlineLevel="0" collapsed="false">
      <c r="A352" s="4"/>
    </row>
    <row r="353" customFormat="false" ht="15" hidden="false" customHeight="false" outlineLevel="0" collapsed="false">
      <c r="A353" s="4"/>
    </row>
    <row r="354" customFormat="false" ht="15" hidden="false" customHeight="false" outlineLevel="0" collapsed="false">
      <c r="A354" s="4"/>
    </row>
    <row r="355" customFormat="false" ht="15" hidden="false" customHeight="false" outlineLevel="0" collapsed="false">
      <c r="A355" s="4"/>
    </row>
    <row r="356" customFormat="false" ht="15" hidden="false" customHeight="false" outlineLevel="0" collapsed="false">
      <c r="A356" s="4"/>
    </row>
    <row r="357" customFormat="false" ht="15" hidden="false" customHeight="false" outlineLevel="0" collapsed="false">
      <c r="A357" s="4"/>
    </row>
    <row r="358" customFormat="false" ht="15" hidden="false" customHeight="false" outlineLevel="0" collapsed="false">
      <c r="A358" s="4"/>
    </row>
    <row r="359" customFormat="false" ht="15" hidden="false" customHeight="false" outlineLevel="0" collapsed="false">
      <c r="A359" s="4"/>
    </row>
    <row r="360" customFormat="false" ht="15" hidden="false" customHeight="false" outlineLevel="0" collapsed="false">
      <c r="A360" s="4"/>
    </row>
    <row r="361" customFormat="false" ht="15" hidden="false" customHeight="false" outlineLevel="0" collapsed="false">
      <c r="A361" s="4"/>
    </row>
    <row r="362" customFormat="false" ht="15" hidden="false" customHeight="false" outlineLevel="0" collapsed="false">
      <c r="A362" s="4"/>
    </row>
    <row r="363" customFormat="false" ht="15" hidden="false" customHeight="false" outlineLevel="0" collapsed="false">
      <c r="A363" s="4"/>
    </row>
    <row r="364" customFormat="false" ht="15" hidden="false" customHeight="false" outlineLevel="0" collapsed="false">
      <c r="A364" s="4"/>
    </row>
    <row r="365" customFormat="false" ht="15" hidden="false" customHeight="false" outlineLevel="0" collapsed="false">
      <c r="A365" s="4"/>
    </row>
    <row r="366" customFormat="false" ht="15" hidden="false" customHeight="false" outlineLevel="0" collapsed="false">
      <c r="A366" s="4"/>
    </row>
    <row r="367" customFormat="false" ht="15" hidden="false" customHeight="false" outlineLevel="0" collapsed="false">
      <c r="A367" s="4"/>
    </row>
    <row r="368" customFormat="false" ht="15" hidden="false" customHeight="false" outlineLevel="0" collapsed="false">
      <c r="A368" s="4"/>
    </row>
    <row r="369" customFormat="false" ht="15" hidden="false" customHeight="false" outlineLevel="0" collapsed="false">
      <c r="A369" s="4"/>
    </row>
    <row r="370" customFormat="false" ht="15" hidden="false" customHeight="false" outlineLevel="0" collapsed="false">
      <c r="A370" s="4"/>
    </row>
    <row r="371" customFormat="false" ht="15" hidden="false" customHeight="false" outlineLevel="0" collapsed="false">
      <c r="A371" s="4"/>
    </row>
    <row r="372" customFormat="false" ht="15" hidden="false" customHeight="false" outlineLevel="0" collapsed="false">
      <c r="A372" s="4"/>
    </row>
    <row r="373" customFormat="false" ht="15" hidden="false" customHeight="false" outlineLevel="0" collapsed="false">
      <c r="A373" s="4"/>
    </row>
    <row r="374" customFormat="false" ht="15" hidden="false" customHeight="false" outlineLevel="0" collapsed="false">
      <c r="A374" s="4"/>
    </row>
    <row r="375" customFormat="false" ht="15" hidden="false" customHeight="false" outlineLevel="0" collapsed="false">
      <c r="A375" s="4"/>
    </row>
    <row r="376" customFormat="false" ht="15" hidden="false" customHeight="false" outlineLevel="0" collapsed="false">
      <c r="A376" s="4"/>
    </row>
    <row r="377" customFormat="false" ht="15" hidden="false" customHeight="false" outlineLevel="0" collapsed="false">
      <c r="A377" s="4"/>
    </row>
    <row r="378" customFormat="false" ht="15" hidden="false" customHeight="false" outlineLevel="0" collapsed="false">
      <c r="A378" s="4"/>
    </row>
    <row r="379" customFormat="false" ht="15" hidden="false" customHeight="false" outlineLevel="0" collapsed="false">
      <c r="A379" s="4"/>
    </row>
    <row r="380" customFormat="false" ht="15" hidden="false" customHeight="false" outlineLevel="0" collapsed="false">
      <c r="A380" s="4"/>
    </row>
    <row r="381" customFormat="false" ht="15" hidden="false" customHeight="false" outlineLevel="0" collapsed="false">
      <c r="A381" s="4"/>
    </row>
    <row r="382" customFormat="false" ht="15" hidden="false" customHeight="false" outlineLevel="0" collapsed="false">
      <c r="A382" s="4"/>
    </row>
    <row r="383" customFormat="false" ht="15" hidden="false" customHeight="false" outlineLevel="0" collapsed="false">
      <c r="A383" s="4"/>
    </row>
    <row r="384" customFormat="false" ht="15" hidden="false" customHeight="false" outlineLevel="0" collapsed="false">
      <c r="A384" s="4"/>
    </row>
    <row r="385" customFormat="false" ht="15" hidden="false" customHeight="false" outlineLevel="0" collapsed="false">
      <c r="A385" s="4"/>
    </row>
    <row r="386" customFormat="false" ht="15" hidden="false" customHeight="false" outlineLevel="0" collapsed="false">
      <c r="A386" s="4"/>
    </row>
    <row r="387" customFormat="false" ht="15" hidden="false" customHeight="false" outlineLevel="0" collapsed="false">
      <c r="A387" s="4"/>
    </row>
    <row r="388" customFormat="false" ht="15" hidden="false" customHeight="false" outlineLevel="0" collapsed="false">
      <c r="A388" s="4"/>
    </row>
    <row r="389" customFormat="false" ht="15" hidden="false" customHeight="false" outlineLevel="0" collapsed="false">
      <c r="A389" s="4"/>
    </row>
    <row r="390" customFormat="false" ht="15" hidden="false" customHeight="false" outlineLevel="0" collapsed="false">
      <c r="A390" s="4"/>
    </row>
    <row r="391" customFormat="false" ht="15" hidden="false" customHeight="false" outlineLevel="0" collapsed="false">
      <c r="A391" s="4"/>
    </row>
    <row r="392" customFormat="false" ht="15" hidden="false" customHeight="false" outlineLevel="0" collapsed="false">
      <c r="A392" s="4"/>
    </row>
    <row r="393" customFormat="false" ht="15" hidden="false" customHeight="false" outlineLevel="0" collapsed="false">
      <c r="A393" s="4"/>
    </row>
    <row r="394" customFormat="false" ht="15" hidden="false" customHeight="false" outlineLevel="0" collapsed="false">
      <c r="A394" s="4"/>
    </row>
    <row r="395" customFormat="false" ht="15" hidden="false" customHeight="false" outlineLevel="0" collapsed="false">
      <c r="A395" s="4"/>
    </row>
    <row r="396" customFormat="false" ht="15" hidden="false" customHeight="false" outlineLevel="0" collapsed="false">
      <c r="A396" s="4"/>
    </row>
    <row r="397" customFormat="false" ht="15" hidden="false" customHeight="false" outlineLevel="0" collapsed="false">
      <c r="A397" s="4"/>
    </row>
    <row r="398" customFormat="false" ht="15" hidden="false" customHeight="false" outlineLevel="0" collapsed="false">
      <c r="A398" s="4"/>
    </row>
    <row r="399" customFormat="false" ht="15" hidden="false" customHeight="false" outlineLevel="0" collapsed="false">
      <c r="A399" s="4"/>
    </row>
    <row r="400" customFormat="false" ht="15" hidden="false" customHeight="false" outlineLevel="0" collapsed="false">
      <c r="A400" s="4"/>
    </row>
    <row r="401" customFormat="false" ht="15" hidden="false" customHeight="false" outlineLevel="0" collapsed="false">
      <c r="A401" s="4"/>
    </row>
    <row r="402" customFormat="false" ht="15" hidden="false" customHeight="false" outlineLevel="0" collapsed="false">
      <c r="A402" s="4"/>
    </row>
    <row r="403" customFormat="false" ht="15" hidden="false" customHeight="false" outlineLevel="0" collapsed="false">
      <c r="A403" s="4"/>
    </row>
    <row r="404" customFormat="false" ht="15" hidden="false" customHeight="false" outlineLevel="0" collapsed="false">
      <c r="A404" s="4"/>
    </row>
    <row r="405" customFormat="false" ht="15" hidden="false" customHeight="false" outlineLevel="0" collapsed="false">
      <c r="A405" s="4"/>
    </row>
    <row r="406" customFormat="false" ht="15" hidden="false" customHeight="false" outlineLevel="0" collapsed="false">
      <c r="A406" s="4"/>
    </row>
    <row r="407" customFormat="false" ht="15" hidden="false" customHeight="false" outlineLevel="0" collapsed="false">
      <c r="A407" s="4"/>
    </row>
    <row r="408" customFormat="false" ht="15" hidden="false" customHeight="false" outlineLevel="0" collapsed="false">
      <c r="A408" s="4"/>
    </row>
    <row r="409" customFormat="false" ht="15" hidden="false" customHeight="false" outlineLevel="0" collapsed="false">
      <c r="A409" s="4"/>
    </row>
    <row r="410" customFormat="false" ht="15" hidden="false" customHeight="false" outlineLevel="0" collapsed="false">
      <c r="A410" s="4"/>
    </row>
    <row r="411" customFormat="false" ht="15" hidden="false" customHeight="false" outlineLevel="0" collapsed="false">
      <c r="A411" s="4"/>
    </row>
    <row r="412" customFormat="false" ht="15" hidden="false" customHeight="false" outlineLevel="0" collapsed="false">
      <c r="A412" s="4"/>
    </row>
    <row r="413" customFormat="false" ht="15" hidden="false" customHeight="false" outlineLevel="0" collapsed="false">
      <c r="A413" s="4"/>
    </row>
    <row r="414" customFormat="false" ht="15" hidden="false" customHeight="false" outlineLevel="0" collapsed="false">
      <c r="A414" s="4"/>
    </row>
    <row r="415" customFormat="false" ht="15" hidden="false" customHeight="false" outlineLevel="0" collapsed="false">
      <c r="A415" s="4"/>
    </row>
    <row r="416" customFormat="false" ht="15" hidden="false" customHeight="false" outlineLevel="0" collapsed="false">
      <c r="A416" s="4"/>
    </row>
    <row r="417" customFormat="false" ht="15" hidden="false" customHeight="false" outlineLevel="0" collapsed="false">
      <c r="A417" s="4"/>
    </row>
    <row r="418" customFormat="false" ht="15" hidden="false" customHeight="false" outlineLevel="0" collapsed="false">
      <c r="A418" s="4"/>
    </row>
    <row r="419" customFormat="false" ht="15" hidden="false" customHeight="false" outlineLevel="0" collapsed="false">
      <c r="A419" s="4"/>
    </row>
    <row r="420" customFormat="false" ht="15" hidden="false" customHeight="false" outlineLevel="0" collapsed="false">
      <c r="A420" s="4"/>
    </row>
    <row r="421" customFormat="false" ht="15" hidden="false" customHeight="false" outlineLevel="0" collapsed="false">
      <c r="A421" s="4"/>
    </row>
    <row r="422" customFormat="false" ht="15" hidden="false" customHeight="false" outlineLevel="0" collapsed="false">
      <c r="A422" s="4"/>
    </row>
    <row r="423" customFormat="false" ht="15" hidden="false" customHeight="false" outlineLevel="0" collapsed="false">
      <c r="A423" s="4"/>
    </row>
    <row r="424" customFormat="false" ht="15" hidden="false" customHeight="false" outlineLevel="0" collapsed="false">
      <c r="A424" s="4"/>
    </row>
    <row r="425" customFormat="false" ht="15" hidden="false" customHeight="false" outlineLevel="0" collapsed="false">
      <c r="A425" s="4"/>
    </row>
    <row r="426" customFormat="false" ht="15" hidden="false" customHeight="false" outlineLevel="0" collapsed="false">
      <c r="A426" s="4"/>
    </row>
    <row r="427" customFormat="false" ht="15" hidden="false" customHeight="false" outlineLevel="0" collapsed="false">
      <c r="A427" s="4"/>
    </row>
    <row r="428" customFormat="false" ht="15" hidden="false" customHeight="false" outlineLevel="0" collapsed="false">
      <c r="A428" s="4"/>
    </row>
    <row r="429" customFormat="false" ht="15" hidden="false" customHeight="false" outlineLevel="0" collapsed="false">
      <c r="A429" s="4"/>
    </row>
    <row r="430" customFormat="false" ht="15" hidden="false" customHeight="false" outlineLevel="0" collapsed="false">
      <c r="A430" s="4"/>
    </row>
    <row r="431" customFormat="false" ht="15" hidden="false" customHeight="false" outlineLevel="0" collapsed="false">
      <c r="A431" s="4"/>
    </row>
    <row r="432" customFormat="false" ht="15" hidden="false" customHeight="false" outlineLevel="0" collapsed="false">
      <c r="A432" s="4"/>
    </row>
    <row r="433" customFormat="false" ht="15" hidden="false" customHeight="false" outlineLevel="0" collapsed="false">
      <c r="A433" s="4"/>
    </row>
    <row r="434" customFormat="false" ht="15" hidden="false" customHeight="false" outlineLevel="0" collapsed="false">
      <c r="A434" s="4"/>
    </row>
    <row r="435" customFormat="false" ht="15" hidden="false" customHeight="false" outlineLevel="0" collapsed="false">
      <c r="A435" s="4"/>
    </row>
    <row r="436" customFormat="false" ht="15" hidden="false" customHeight="false" outlineLevel="0" collapsed="false">
      <c r="A436" s="4"/>
    </row>
    <row r="437" customFormat="false" ht="15" hidden="false" customHeight="false" outlineLevel="0" collapsed="false">
      <c r="A437" s="4"/>
    </row>
    <row r="438" customFormat="false" ht="15" hidden="false" customHeight="false" outlineLevel="0" collapsed="false">
      <c r="A438" s="4"/>
    </row>
    <row r="439" customFormat="false" ht="15" hidden="false" customHeight="false" outlineLevel="0" collapsed="false">
      <c r="A439" s="4"/>
    </row>
    <row r="440" customFormat="false" ht="15" hidden="false" customHeight="false" outlineLevel="0" collapsed="false">
      <c r="A440" s="4"/>
    </row>
    <row r="441" customFormat="false" ht="15" hidden="false" customHeight="false" outlineLevel="0" collapsed="false">
      <c r="A441" s="4"/>
    </row>
    <row r="442" customFormat="false" ht="15" hidden="false" customHeight="false" outlineLevel="0" collapsed="false">
      <c r="A442" s="4"/>
    </row>
    <row r="443" customFormat="false" ht="15" hidden="false" customHeight="false" outlineLevel="0" collapsed="false">
      <c r="A443" s="4"/>
    </row>
    <row r="444" customFormat="false" ht="15" hidden="false" customHeight="false" outlineLevel="0" collapsed="false">
      <c r="A444" s="4"/>
    </row>
    <row r="445" customFormat="false" ht="15" hidden="false" customHeight="false" outlineLevel="0" collapsed="false">
      <c r="A445" s="4"/>
    </row>
    <row r="446" customFormat="false" ht="15" hidden="false" customHeight="false" outlineLevel="0" collapsed="false">
      <c r="A446" s="4"/>
    </row>
    <row r="447" customFormat="false" ht="15" hidden="false" customHeight="false" outlineLevel="0" collapsed="false">
      <c r="A447" s="4"/>
    </row>
    <row r="448" customFormat="false" ht="15" hidden="false" customHeight="false" outlineLevel="0" collapsed="false">
      <c r="A448" s="4"/>
    </row>
    <row r="449" customFormat="false" ht="15" hidden="false" customHeight="false" outlineLevel="0" collapsed="false">
      <c r="A449" s="4"/>
    </row>
    <row r="450" customFormat="false" ht="15" hidden="false" customHeight="false" outlineLevel="0" collapsed="false">
      <c r="A450" s="4"/>
    </row>
    <row r="451" customFormat="false" ht="15" hidden="false" customHeight="false" outlineLevel="0" collapsed="false">
      <c r="A451" s="4"/>
    </row>
    <row r="452" customFormat="false" ht="15" hidden="false" customHeight="false" outlineLevel="0" collapsed="false">
      <c r="A452" s="4"/>
    </row>
    <row r="453" customFormat="false" ht="15" hidden="false" customHeight="false" outlineLevel="0" collapsed="false">
      <c r="A453" s="4"/>
    </row>
    <row r="454" customFormat="false" ht="15" hidden="false" customHeight="false" outlineLevel="0" collapsed="false">
      <c r="A454" s="4"/>
    </row>
    <row r="455" customFormat="false" ht="15" hidden="false" customHeight="false" outlineLevel="0" collapsed="false">
      <c r="A455" s="4"/>
    </row>
    <row r="456" customFormat="false" ht="15" hidden="false" customHeight="false" outlineLevel="0" collapsed="false">
      <c r="A456" s="4"/>
    </row>
    <row r="457" customFormat="false" ht="15" hidden="false" customHeight="false" outlineLevel="0" collapsed="false">
      <c r="A457" s="4"/>
    </row>
    <row r="458" customFormat="false" ht="15" hidden="false" customHeight="false" outlineLevel="0" collapsed="false">
      <c r="A458" s="4"/>
    </row>
    <row r="459" customFormat="false" ht="15" hidden="false" customHeight="false" outlineLevel="0" collapsed="false">
      <c r="A459" s="4"/>
    </row>
    <row r="460" customFormat="false" ht="15" hidden="false" customHeight="false" outlineLevel="0" collapsed="false">
      <c r="A460" s="4"/>
    </row>
    <row r="461" customFormat="false" ht="15" hidden="false" customHeight="false" outlineLevel="0" collapsed="false">
      <c r="A461" s="4"/>
    </row>
    <row r="462" customFormat="false" ht="15" hidden="false" customHeight="false" outlineLevel="0" collapsed="false">
      <c r="A462" s="4"/>
    </row>
    <row r="463" customFormat="false" ht="15" hidden="false" customHeight="false" outlineLevel="0" collapsed="false">
      <c r="A463" s="4"/>
    </row>
    <row r="464" customFormat="false" ht="15" hidden="false" customHeight="false" outlineLevel="0" collapsed="false">
      <c r="A464" s="4"/>
    </row>
    <row r="465" customFormat="false" ht="15" hidden="false" customHeight="false" outlineLevel="0" collapsed="false">
      <c r="A465" s="4"/>
    </row>
    <row r="466" customFormat="false" ht="15" hidden="false" customHeight="false" outlineLevel="0" collapsed="false">
      <c r="A466" s="4"/>
    </row>
    <row r="467" customFormat="false" ht="15" hidden="false" customHeight="false" outlineLevel="0" collapsed="false">
      <c r="A467" s="4"/>
    </row>
    <row r="468" customFormat="false" ht="15" hidden="false" customHeight="false" outlineLevel="0" collapsed="false">
      <c r="A468" s="4"/>
    </row>
    <row r="469" customFormat="false" ht="15" hidden="false" customHeight="false" outlineLevel="0" collapsed="false">
      <c r="A469" s="4"/>
    </row>
    <row r="470" customFormat="false" ht="15" hidden="false" customHeight="false" outlineLevel="0" collapsed="false">
      <c r="A470" s="4"/>
    </row>
    <row r="471" customFormat="false" ht="15" hidden="false" customHeight="false" outlineLevel="0" collapsed="false">
      <c r="A471" s="4"/>
    </row>
    <row r="472" customFormat="false" ht="15" hidden="false" customHeight="false" outlineLevel="0" collapsed="false">
      <c r="A472" s="4"/>
    </row>
    <row r="473" customFormat="false" ht="15" hidden="false" customHeight="false" outlineLevel="0" collapsed="false">
      <c r="A473" s="4"/>
    </row>
    <row r="474" customFormat="false" ht="15" hidden="false" customHeight="false" outlineLevel="0" collapsed="false">
      <c r="A474" s="4"/>
    </row>
    <row r="475" customFormat="false" ht="15" hidden="false" customHeight="false" outlineLevel="0" collapsed="false">
      <c r="A475" s="4"/>
    </row>
    <row r="476" customFormat="false" ht="15" hidden="false" customHeight="false" outlineLevel="0" collapsed="false">
      <c r="A476" s="4"/>
    </row>
    <row r="477" customFormat="false" ht="15" hidden="false" customHeight="false" outlineLevel="0" collapsed="false">
      <c r="A477" s="4"/>
    </row>
    <row r="478" customFormat="false" ht="15" hidden="false" customHeight="false" outlineLevel="0" collapsed="false">
      <c r="A478" s="4"/>
    </row>
    <row r="479" customFormat="false" ht="15" hidden="false" customHeight="false" outlineLevel="0" collapsed="false">
      <c r="A479" s="4"/>
    </row>
    <row r="480" customFormat="false" ht="15" hidden="false" customHeight="false" outlineLevel="0" collapsed="false">
      <c r="A480" s="4"/>
    </row>
    <row r="481" customFormat="false" ht="15" hidden="false" customHeight="false" outlineLevel="0" collapsed="false">
      <c r="A481" s="4"/>
    </row>
    <row r="482" customFormat="false" ht="15" hidden="false" customHeight="false" outlineLevel="0" collapsed="false">
      <c r="A482" s="4"/>
    </row>
    <row r="483" customFormat="false" ht="15" hidden="false" customHeight="false" outlineLevel="0" collapsed="false">
      <c r="A483" s="4"/>
    </row>
    <row r="484" customFormat="false" ht="15" hidden="false" customHeight="false" outlineLevel="0" collapsed="false">
      <c r="A484" s="4"/>
    </row>
    <row r="485" customFormat="false" ht="15" hidden="false" customHeight="false" outlineLevel="0" collapsed="false">
      <c r="A485" s="4"/>
    </row>
    <row r="486" customFormat="false" ht="15" hidden="false" customHeight="false" outlineLevel="0" collapsed="false">
      <c r="A486" s="4"/>
    </row>
    <row r="487" customFormat="false" ht="15" hidden="false" customHeight="false" outlineLevel="0" collapsed="false">
      <c r="A487" s="4"/>
    </row>
    <row r="488" customFormat="false" ht="15" hidden="false" customHeight="false" outlineLevel="0" collapsed="false">
      <c r="A488" s="4"/>
    </row>
    <row r="489" customFormat="false" ht="15" hidden="false" customHeight="false" outlineLevel="0" collapsed="false">
      <c r="A489" s="4"/>
    </row>
    <row r="490" customFormat="false" ht="15" hidden="false" customHeight="false" outlineLevel="0" collapsed="false">
      <c r="A490" s="4"/>
    </row>
    <row r="491" customFormat="false" ht="15" hidden="false" customHeight="false" outlineLevel="0" collapsed="false">
      <c r="A491" s="4"/>
    </row>
    <row r="492" customFormat="false" ht="15" hidden="false" customHeight="false" outlineLevel="0" collapsed="false">
      <c r="A492" s="4"/>
    </row>
    <row r="493" customFormat="false" ht="15" hidden="false" customHeight="false" outlineLevel="0" collapsed="false">
      <c r="A493" s="4"/>
    </row>
    <row r="494" customFormat="false" ht="15" hidden="false" customHeight="false" outlineLevel="0" collapsed="false">
      <c r="A494" s="4"/>
    </row>
    <row r="495" customFormat="false" ht="15" hidden="false" customHeight="false" outlineLevel="0" collapsed="false">
      <c r="A495" s="4"/>
    </row>
    <row r="496" customFormat="false" ht="15" hidden="false" customHeight="false" outlineLevel="0" collapsed="false">
      <c r="A496" s="4"/>
    </row>
    <row r="497" customFormat="false" ht="15" hidden="false" customHeight="false" outlineLevel="0" collapsed="false">
      <c r="A497" s="4"/>
    </row>
    <row r="498" customFormat="false" ht="15" hidden="false" customHeight="false" outlineLevel="0" collapsed="false">
      <c r="A498" s="4"/>
    </row>
    <row r="499" customFormat="false" ht="15" hidden="false" customHeight="false" outlineLevel="0" collapsed="false">
      <c r="A499" s="4"/>
    </row>
    <row r="500" customFormat="false" ht="15" hidden="false" customHeight="false" outlineLevel="0" collapsed="false">
      <c r="A500" s="4"/>
    </row>
    <row r="501" customFormat="false" ht="15" hidden="false" customHeight="false" outlineLevel="0" collapsed="false">
      <c r="A501" s="4"/>
    </row>
    <row r="502" customFormat="false" ht="15" hidden="false" customHeight="false" outlineLevel="0" collapsed="false">
      <c r="A502" s="4"/>
    </row>
    <row r="503" customFormat="false" ht="15" hidden="false" customHeight="false" outlineLevel="0" collapsed="false">
      <c r="A503" s="4"/>
    </row>
    <row r="504" customFormat="false" ht="15" hidden="false" customHeight="false" outlineLevel="0" collapsed="false">
      <c r="A504" s="4"/>
    </row>
    <row r="505" customFormat="false" ht="15" hidden="false" customHeight="false" outlineLevel="0" collapsed="false">
      <c r="A505" s="4"/>
    </row>
    <row r="506" customFormat="false" ht="15" hidden="false" customHeight="false" outlineLevel="0" collapsed="false">
      <c r="A506" s="4"/>
    </row>
    <row r="507" customFormat="false" ht="15" hidden="false" customHeight="false" outlineLevel="0" collapsed="false">
      <c r="A507" s="4"/>
    </row>
    <row r="508" customFormat="false" ht="15" hidden="false" customHeight="false" outlineLevel="0" collapsed="false">
      <c r="A508" s="4"/>
    </row>
    <row r="509" customFormat="false" ht="15" hidden="false" customHeight="false" outlineLevel="0" collapsed="false">
      <c r="A509" s="4"/>
    </row>
    <row r="510" customFormat="false" ht="15" hidden="false" customHeight="false" outlineLevel="0" collapsed="false">
      <c r="A510" s="4"/>
    </row>
    <row r="511" customFormat="false" ht="15" hidden="false" customHeight="false" outlineLevel="0" collapsed="false">
      <c r="A511" s="4"/>
    </row>
    <row r="512" customFormat="false" ht="15" hidden="false" customHeight="false" outlineLevel="0" collapsed="false">
      <c r="A512" s="4"/>
    </row>
    <row r="513" customFormat="false" ht="15" hidden="false" customHeight="false" outlineLevel="0" collapsed="false">
      <c r="A513" s="4"/>
    </row>
    <row r="514" customFormat="false" ht="15" hidden="false" customHeight="false" outlineLevel="0" collapsed="false">
      <c r="A514" s="4"/>
    </row>
    <row r="515" customFormat="false" ht="15" hidden="false" customHeight="false" outlineLevel="0" collapsed="false">
      <c r="A515" s="4"/>
    </row>
    <row r="516" customFormat="false" ht="15" hidden="false" customHeight="false" outlineLevel="0" collapsed="false">
      <c r="A516" s="4"/>
    </row>
    <row r="517" customFormat="false" ht="15" hidden="false" customHeight="false" outlineLevel="0" collapsed="false">
      <c r="A517" s="4"/>
    </row>
    <row r="518" customFormat="false" ht="15" hidden="false" customHeight="false" outlineLevel="0" collapsed="false">
      <c r="A518" s="4"/>
    </row>
    <row r="519" customFormat="false" ht="15" hidden="false" customHeight="false" outlineLevel="0" collapsed="false">
      <c r="A519" s="4"/>
    </row>
    <row r="520" customFormat="false" ht="15" hidden="false" customHeight="false" outlineLevel="0" collapsed="false">
      <c r="A520" s="4"/>
    </row>
    <row r="521" customFormat="false" ht="15" hidden="false" customHeight="false" outlineLevel="0" collapsed="false">
      <c r="A521" s="4"/>
    </row>
    <row r="522" customFormat="false" ht="15" hidden="false" customHeight="false" outlineLevel="0" collapsed="false">
      <c r="A522" s="4"/>
    </row>
    <row r="523" customFormat="false" ht="15" hidden="false" customHeight="false" outlineLevel="0" collapsed="false">
      <c r="A523" s="4"/>
    </row>
    <row r="524" customFormat="false" ht="15" hidden="false" customHeight="false" outlineLevel="0" collapsed="false">
      <c r="A524" s="4"/>
    </row>
    <row r="525" customFormat="false" ht="15" hidden="false" customHeight="false" outlineLevel="0" collapsed="false">
      <c r="A525" s="4"/>
    </row>
    <row r="526" customFormat="false" ht="15" hidden="false" customHeight="false" outlineLevel="0" collapsed="false">
      <c r="A526" s="4"/>
    </row>
    <row r="527" customFormat="false" ht="15" hidden="false" customHeight="false" outlineLevel="0" collapsed="false">
      <c r="A527" s="4"/>
    </row>
    <row r="528" customFormat="false" ht="15" hidden="false" customHeight="false" outlineLevel="0" collapsed="false">
      <c r="A528" s="4"/>
    </row>
    <row r="529" customFormat="false" ht="15" hidden="false" customHeight="false" outlineLevel="0" collapsed="false">
      <c r="A529" s="4"/>
    </row>
    <row r="530" customFormat="false" ht="15" hidden="false" customHeight="false" outlineLevel="0" collapsed="false">
      <c r="A530" s="4"/>
    </row>
    <row r="531" customFormat="false" ht="15" hidden="false" customHeight="false" outlineLevel="0" collapsed="false">
      <c r="A531" s="4"/>
    </row>
    <row r="532" customFormat="false" ht="15" hidden="false" customHeight="false" outlineLevel="0" collapsed="false">
      <c r="A532" s="4"/>
    </row>
    <row r="533" customFormat="false" ht="15" hidden="false" customHeight="false" outlineLevel="0" collapsed="false">
      <c r="A533" s="4"/>
    </row>
    <row r="534" customFormat="false" ht="15" hidden="false" customHeight="false" outlineLevel="0" collapsed="false">
      <c r="A534" s="4"/>
    </row>
    <row r="535" customFormat="false" ht="15" hidden="false" customHeight="false" outlineLevel="0" collapsed="false">
      <c r="A535" s="4"/>
    </row>
    <row r="536" customFormat="false" ht="15" hidden="false" customHeight="false" outlineLevel="0" collapsed="false">
      <c r="A536" s="4"/>
    </row>
    <row r="537" customFormat="false" ht="15" hidden="false" customHeight="false" outlineLevel="0" collapsed="false">
      <c r="A537" s="4"/>
    </row>
    <row r="538" customFormat="false" ht="15" hidden="false" customHeight="false" outlineLevel="0" collapsed="false">
      <c r="A538" s="4"/>
    </row>
    <row r="539" customFormat="false" ht="15" hidden="false" customHeight="false" outlineLevel="0" collapsed="false">
      <c r="A539" s="4"/>
    </row>
    <row r="540" customFormat="false" ht="15" hidden="false" customHeight="false" outlineLevel="0" collapsed="false">
      <c r="A540" s="4"/>
    </row>
    <row r="541" customFormat="false" ht="15" hidden="false" customHeight="false" outlineLevel="0" collapsed="false">
      <c r="A541" s="4"/>
    </row>
    <row r="542" customFormat="false" ht="15" hidden="false" customHeight="false" outlineLevel="0" collapsed="false">
      <c r="A542" s="4"/>
    </row>
    <row r="543" customFormat="false" ht="15" hidden="false" customHeight="false" outlineLevel="0" collapsed="false">
      <c r="A543" s="4"/>
    </row>
    <row r="544" customFormat="false" ht="15" hidden="false" customHeight="false" outlineLevel="0" collapsed="false">
      <c r="A544" s="4"/>
    </row>
    <row r="545" customFormat="false" ht="15" hidden="false" customHeight="false" outlineLevel="0" collapsed="false">
      <c r="A545" s="4"/>
    </row>
    <row r="546" customFormat="false" ht="15" hidden="false" customHeight="false" outlineLevel="0" collapsed="false">
      <c r="A546" s="4"/>
    </row>
    <row r="547" customFormat="false" ht="15" hidden="false" customHeight="false" outlineLevel="0" collapsed="false">
      <c r="A547" s="4"/>
    </row>
    <row r="548" customFormat="false" ht="15" hidden="false" customHeight="false" outlineLevel="0" collapsed="false">
      <c r="A548" s="4"/>
    </row>
    <row r="549" customFormat="false" ht="15" hidden="false" customHeight="false" outlineLevel="0" collapsed="false">
      <c r="A549" s="4"/>
    </row>
    <row r="550" customFormat="false" ht="15" hidden="false" customHeight="false" outlineLevel="0" collapsed="false">
      <c r="A550" s="4"/>
    </row>
    <row r="551" customFormat="false" ht="15" hidden="false" customHeight="false" outlineLevel="0" collapsed="false">
      <c r="A551" s="4"/>
    </row>
    <row r="552" customFormat="false" ht="15" hidden="false" customHeight="false" outlineLevel="0" collapsed="false">
      <c r="A552" s="4"/>
    </row>
    <row r="553" customFormat="false" ht="15" hidden="false" customHeight="false" outlineLevel="0" collapsed="false">
      <c r="A553" s="4"/>
    </row>
    <row r="554" customFormat="false" ht="15" hidden="false" customHeight="false" outlineLevel="0" collapsed="false">
      <c r="A554" s="4"/>
    </row>
    <row r="555" customFormat="false" ht="15" hidden="false" customHeight="false" outlineLevel="0" collapsed="false">
      <c r="A555" s="4"/>
    </row>
    <row r="556" customFormat="false" ht="15" hidden="false" customHeight="false" outlineLevel="0" collapsed="false">
      <c r="A556" s="4"/>
    </row>
    <row r="557" customFormat="false" ht="15" hidden="false" customHeight="false" outlineLevel="0" collapsed="false">
      <c r="A557" s="4"/>
    </row>
    <row r="558" customFormat="false" ht="15" hidden="false" customHeight="false" outlineLevel="0" collapsed="false">
      <c r="A558" s="4"/>
    </row>
    <row r="559" customFormat="false" ht="15" hidden="false" customHeight="false" outlineLevel="0" collapsed="false">
      <c r="A559" s="4"/>
    </row>
    <row r="560" customFormat="false" ht="15" hidden="false" customHeight="false" outlineLevel="0" collapsed="false">
      <c r="A560" s="4"/>
    </row>
    <row r="561" customFormat="false" ht="15" hidden="false" customHeight="false" outlineLevel="0" collapsed="false">
      <c r="A561" s="4"/>
    </row>
    <row r="562" customFormat="false" ht="15" hidden="false" customHeight="false" outlineLevel="0" collapsed="false">
      <c r="A562" s="4"/>
    </row>
    <row r="563" customFormat="false" ht="15" hidden="false" customHeight="false" outlineLevel="0" collapsed="false">
      <c r="A563" s="4"/>
    </row>
    <row r="564" customFormat="false" ht="15" hidden="false" customHeight="false" outlineLevel="0" collapsed="false">
      <c r="A564" s="4"/>
    </row>
    <row r="565" customFormat="false" ht="15" hidden="false" customHeight="false" outlineLevel="0" collapsed="false">
      <c r="A565" s="4"/>
    </row>
    <row r="566" customFormat="false" ht="15" hidden="false" customHeight="false" outlineLevel="0" collapsed="false">
      <c r="A566" s="4"/>
    </row>
    <row r="567" customFormat="false" ht="15" hidden="false" customHeight="false" outlineLevel="0" collapsed="false">
      <c r="A567" s="4"/>
    </row>
    <row r="568" customFormat="false" ht="15" hidden="false" customHeight="false" outlineLevel="0" collapsed="false">
      <c r="A568" s="4"/>
    </row>
    <row r="569" customFormat="false" ht="15" hidden="false" customHeight="false" outlineLevel="0" collapsed="false">
      <c r="A569" s="4"/>
    </row>
    <row r="570" customFormat="false" ht="15" hidden="false" customHeight="false" outlineLevel="0" collapsed="false">
      <c r="A570" s="4"/>
    </row>
    <row r="571" customFormat="false" ht="15" hidden="false" customHeight="false" outlineLevel="0" collapsed="false">
      <c r="A571" s="4"/>
    </row>
    <row r="572" customFormat="false" ht="15" hidden="false" customHeight="false" outlineLevel="0" collapsed="false">
      <c r="A572" s="4"/>
    </row>
    <row r="573" customFormat="false" ht="15" hidden="false" customHeight="false" outlineLevel="0" collapsed="false">
      <c r="A573" s="4"/>
    </row>
    <row r="574" customFormat="false" ht="15" hidden="false" customHeight="false" outlineLevel="0" collapsed="false">
      <c r="A574" s="4"/>
    </row>
    <row r="575" customFormat="false" ht="15" hidden="false" customHeight="false" outlineLevel="0" collapsed="false">
      <c r="A575" s="4"/>
    </row>
    <row r="576" customFormat="false" ht="15" hidden="false" customHeight="false" outlineLevel="0" collapsed="false">
      <c r="A576" s="4"/>
    </row>
    <row r="577" customFormat="false" ht="15" hidden="false" customHeight="false" outlineLevel="0" collapsed="false">
      <c r="A577" s="4"/>
    </row>
    <row r="578" customFormat="false" ht="15" hidden="false" customHeight="false" outlineLevel="0" collapsed="false">
      <c r="A578" s="4"/>
    </row>
    <row r="579" customFormat="false" ht="15" hidden="false" customHeight="false" outlineLevel="0" collapsed="false">
      <c r="A579" s="4"/>
    </row>
    <row r="580" customFormat="false" ht="15" hidden="false" customHeight="false" outlineLevel="0" collapsed="false">
      <c r="A580" s="4"/>
    </row>
    <row r="581" customFormat="false" ht="15" hidden="false" customHeight="false" outlineLevel="0" collapsed="false">
      <c r="A581" s="4"/>
    </row>
    <row r="582" customFormat="false" ht="15" hidden="false" customHeight="false" outlineLevel="0" collapsed="false">
      <c r="A582" s="4"/>
    </row>
    <row r="583" customFormat="false" ht="15" hidden="false" customHeight="false" outlineLevel="0" collapsed="false">
      <c r="A583" s="4"/>
    </row>
    <row r="584" customFormat="false" ht="15" hidden="false" customHeight="false" outlineLevel="0" collapsed="false">
      <c r="A584" s="4"/>
    </row>
    <row r="585" customFormat="false" ht="15" hidden="false" customHeight="false" outlineLevel="0" collapsed="false">
      <c r="A585" s="4"/>
    </row>
    <row r="586" customFormat="false" ht="15" hidden="false" customHeight="false" outlineLevel="0" collapsed="false">
      <c r="A586" s="4"/>
    </row>
    <row r="587" customFormat="false" ht="15" hidden="false" customHeight="false" outlineLevel="0" collapsed="false">
      <c r="A587" s="4"/>
    </row>
    <row r="588" customFormat="false" ht="15" hidden="false" customHeight="false" outlineLevel="0" collapsed="false">
      <c r="A588" s="4"/>
    </row>
    <row r="589" customFormat="false" ht="15" hidden="false" customHeight="false" outlineLevel="0" collapsed="false">
      <c r="A589" s="4"/>
    </row>
    <row r="590" customFormat="false" ht="15" hidden="false" customHeight="false" outlineLevel="0" collapsed="false">
      <c r="A590" s="4"/>
    </row>
    <row r="591" customFormat="false" ht="15" hidden="false" customHeight="false" outlineLevel="0" collapsed="false">
      <c r="A591" s="4"/>
    </row>
    <row r="592" customFormat="false" ht="15" hidden="false" customHeight="false" outlineLevel="0" collapsed="false">
      <c r="A592" s="4"/>
    </row>
    <row r="593" customFormat="false" ht="15" hidden="false" customHeight="false" outlineLevel="0" collapsed="false">
      <c r="A593" s="4"/>
    </row>
    <row r="594" customFormat="false" ht="15" hidden="false" customHeight="false" outlineLevel="0" collapsed="false">
      <c r="A594" s="4"/>
    </row>
    <row r="595" customFormat="false" ht="15" hidden="false" customHeight="false" outlineLevel="0" collapsed="false">
      <c r="A595" s="4"/>
    </row>
    <row r="596" customFormat="false" ht="15" hidden="false" customHeight="false" outlineLevel="0" collapsed="false">
      <c r="A596" s="4"/>
    </row>
    <row r="597" customFormat="false" ht="15" hidden="false" customHeight="false" outlineLevel="0" collapsed="false">
      <c r="A597" s="4"/>
    </row>
    <row r="598" customFormat="false" ht="15" hidden="false" customHeight="false" outlineLevel="0" collapsed="false">
      <c r="A598" s="4"/>
    </row>
    <row r="599" customFormat="false" ht="15" hidden="false" customHeight="false" outlineLevel="0" collapsed="false">
      <c r="A599" s="4"/>
    </row>
    <row r="600" customFormat="false" ht="15" hidden="false" customHeight="false" outlineLevel="0" collapsed="false">
      <c r="A600" s="4"/>
    </row>
    <row r="601" customFormat="false" ht="15" hidden="false" customHeight="false" outlineLevel="0" collapsed="false">
      <c r="A601" s="4"/>
    </row>
    <row r="602" customFormat="false" ht="15" hidden="false" customHeight="false" outlineLevel="0" collapsed="false">
      <c r="A602" s="4"/>
    </row>
    <row r="603" customFormat="false" ht="15" hidden="false" customHeight="false" outlineLevel="0" collapsed="false">
      <c r="A603" s="4"/>
    </row>
    <row r="604" customFormat="false" ht="15" hidden="false" customHeight="false" outlineLevel="0" collapsed="false">
      <c r="A604" s="4"/>
    </row>
    <row r="605" customFormat="false" ht="15" hidden="false" customHeight="false" outlineLevel="0" collapsed="false">
      <c r="A605" s="4"/>
    </row>
    <row r="606" customFormat="false" ht="15" hidden="false" customHeight="false" outlineLevel="0" collapsed="false">
      <c r="A606" s="4"/>
    </row>
    <row r="607" customFormat="false" ht="15" hidden="false" customHeight="false" outlineLevel="0" collapsed="false">
      <c r="A607" s="4"/>
    </row>
    <row r="608" customFormat="false" ht="15" hidden="false" customHeight="false" outlineLevel="0" collapsed="false">
      <c r="A608" s="4"/>
    </row>
    <row r="609" customFormat="false" ht="15" hidden="false" customHeight="false" outlineLevel="0" collapsed="false">
      <c r="A609" s="4"/>
    </row>
    <row r="610" customFormat="false" ht="15" hidden="false" customHeight="false" outlineLevel="0" collapsed="false">
      <c r="A610" s="4"/>
    </row>
    <row r="611" customFormat="false" ht="15" hidden="false" customHeight="false" outlineLevel="0" collapsed="false">
      <c r="A611" s="4"/>
    </row>
    <row r="612" customFormat="false" ht="15" hidden="false" customHeight="false" outlineLevel="0" collapsed="false">
      <c r="A612" s="4"/>
    </row>
    <row r="613" customFormat="false" ht="15" hidden="false" customHeight="false" outlineLevel="0" collapsed="false">
      <c r="A613" s="4"/>
    </row>
    <row r="614" customFormat="false" ht="15" hidden="false" customHeight="false" outlineLevel="0" collapsed="false">
      <c r="A614" s="4"/>
    </row>
    <row r="615" customFormat="false" ht="15" hidden="false" customHeight="false" outlineLevel="0" collapsed="false">
      <c r="A615" s="4"/>
    </row>
    <row r="616" customFormat="false" ht="15" hidden="false" customHeight="false" outlineLevel="0" collapsed="false">
      <c r="A616" s="4"/>
    </row>
    <row r="617" customFormat="false" ht="15" hidden="false" customHeight="false" outlineLevel="0" collapsed="false">
      <c r="A617" s="4"/>
    </row>
    <row r="618" customFormat="false" ht="15" hidden="false" customHeight="false" outlineLevel="0" collapsed="false">
      <c r="A618" s="4"/>
    </row>
    <row r="619" customFormat="false" ht="15" hidden="false" customHeight="false" outlineLevel="0" collapsed="false">
      <c r="A619" s="4"/>
    </row>
    <row r="620" customFormat="false" ht="15" hidden="false" customHeight="false" outlineLevel="0" collapsed="false">
      <c r="A620" s="4"/>
    </row>
    <row r="621" customFormat="false" ht="15" hidden="false" customHeight="false" outlineLevel="0" collapsed="false">
      <c r="A621" s="4"/>
    </row>
    <row r="622" customFormat="false" ht="15" hidden="false" customHeight="false" outlineLevel="0" collapsed="false">
      <c r="A622" s="4"/>
    </row>
    <row r="623" customFormat="false" ht="15" hidden="false" customHeight="false" outlineLevel="0" collapsed="false">
      <c r="A623" s="4"/>
    </row>
    <row r="624" customFormat="false" ht="15" hidden="false" customHeight="false" outlineLevel="0" collapsed="false">
      <c r="A624" s="4"/>
    </row>
    <row r="625" customFormat="false" ht="15" hidden="false" customHeight="false" outlineLevel="0" collapsed="false">
      <c r="A625" s="4"/>
    </row>
    <row r="626" customFormat="false" ht="15" hidden="false" customHeight="false" outlineLevel="0" collapsed="false">
      <c r="A626" s="4"/>
    </row>
    <row r="627" customFormat="false" ht="15" hidden="false" customHeight="false" outlineLevel="0" collapsed="false">
      <c r="A627" s="4"/>
    </row>
    <row r="628" customFormat="false" ht="15" hidden="false" customHeight="false" outlineLevel="0" collapsed="false">
      <c r="A628" s="4"/>
    </row>
    <row r="629" customFormat="false" ht="15" hidden="false" customHeight="false" outlineLevel="0" collapsed="false">
      <c r="A629" s="4"/>
    </row>
    <row r="630" customFormat="false" ht="15" hidden="false" customHeight="false" outlineLevel="0" collapsed="false">
      <c r="A630" s="4"/>
    </row>
    <row r="631" customFormat="false" ht="15" hidden="false" customHeight="false" outlineLevel="0" collapsed="false">
      <c r="A631" s="4"/>
    </row>
    <row r="632" customFormat="false" ht="15" hidden="false" customHeight="false" outlineLevel="0" collapsed="false">
      <c r="A632" s="4"/>
    </row>
    <row r="633" customFormat="false" ht="15" hidden="false" customHeight="false" outlineLevel="0" collapsed="false">
      <c r="A633" s="4"/>
    </row>
    <row r="634" customFormat="false" ht="15" hidden="false" customHeight="false" outlineLevel="0" collapsed="false">
      <c r="A634" s="4"/>
    </row>
    <row r="635" customFormat="false" ht="15" hidden="false" customHeight="false" outlineLevel="0" collapsed="false">
      <c r="A635" s="4"/>
    </row>
    <row r="636" customFormat="false" ht="15" hidden="false" customHeight="false" outlineLevel="0" collapsed="false">
      <c r="A636" s="4"/>
    </row>
    <row r="637" customFormat="false" ht="15" hidden="false" customHeight="false" outlineLevel="0" collapsed="false">
      <c r="A637" s="4"/>
    </row>
    <row r="638" customFormat="false" ht="15" hidden="false" customHeight="false" outlineLevel="0" collapsed="false">
      <c r="A638" s="4"/>
    </row>
    <row r="639" customFormat="false" ht="15" hidden="false" customHeight="false" outlineLevel="0" collapsed="false">
      <c r="A639" s="4"/>
    </row>
    <row r="640" customFormat="false" ht="15" hidden="false" customHeight="false" outlineLevel="0" collapsed="false">
      <c r="A640" s="4"/>
    </row>
    <row r="641" customFormat="false" ht="15" hidden="false" customHeight="false" outlineLevel="0" collapsed="false">
      <c r="A641" s="4"/>
    </row>
    <row r="642" customFormat="false" ht="15" hidden="false" customHeight="false" outlineLevel="0" collapsed="false">
      <c r="A642" s="4"/>
    </row>
    <row r="643" customFormat="false" ht="15" hidden="false" customHeight="false" outlineLevel="0" collapsed="false">
      <c r="A643" s="4"/>
    </row>
    <row r="644" customFormat="false" ht="15" hidden="false" customHeight="false" outlineLevel="0" collapsed="false">
      <c r="A644" s="4"/>
    </row>
    <row r="645" customFormat="false" ht="15" hidden="false" customHeight="false" outlineLevel="0" collapsed="false">
      <c r="A645" s="4"/>
    </row>
    <row r="646" customFormat="false" ht="15" hidden="false" customHeight="false" outlineLevel="0" collapsed="false">
      <c r="A646" s="4"/>
    </row>
    <row r="647" customFormat="false" ht="15" hidden="false" customHeight="false" outlineLevel="0" collapsed="false">
      <c r="A647" s="4"/>
    </row>
    <row r="648" customFormat="false" ht="15" hidden="false" customHeight="false" outlineLevel="0" collapsed="false">
      <c r="A648" s="4"/>
    </row>
    <row r="649" customFormat="false" ht="15" hidden="false" customHeight="false" outlineLevel="0" collapsed="false">
      <c r="A649" s="4"/>
    </row>
    <row r="650" customFormat="false" ht="15" hidden="false" customHeight="false" outlineLevel="0" collapsed="false">
      <c r="A650" s="4"/>
    </row>
    <row r="651" customFormat="false" ht="15" hidden="false" customHeight="false" outlineLevel="0" collapsed="false">
      <c r="A651" s="4"/>
    </row>
    <row r="652" customFormat="false" ht="15" hidden="false" customHeight="false" outlineLevel="0" collapsed="false">
      <c r="A652" s="4"/>
    </row>
    <row r="653" customFormat="false" ht="15" hidden="false" customHeight="false" outlineLevel="0" collapsed="false">
      <c r="A653" s="4"/>
    </row>
    <row r="654" customFormat="false" ht="15" hidden="false" customHeight="false" outlineLevel="0" collapsed="false">
      <c r="A654" s="4"/>
    </row>
    <row r="655" customFormat="false" ht="15" hidden="false" customHeight="false" outlineLevel="0" collapsed="false">
      <c r="A655" s="4"/>
    </row>
    <row r="656" customFormat="false" ht="15" hidden="false" customHeight="false" outlineLevel="0" collapsed="false">
      <c r="A656" s="4"/>
    </row>
    <row r="657" customFormat="false" ht="15" hidden="false" customHeight="false" outlineLevel="0" collapsed="false">
      <c r="A657" s="4"/>
    </row>
    <row r="658" customFormat="false" ht="15" hidden="false" customHeight="false" outlineLevel="0" collapsed="false">
      <c r="A658" s="4"/>
    </row>
    <row r="659" customFormat="false" ht="15" hidden="false" customHeight="false" outlineLevel="0" collapsed="false">
      <c r="A659" s="4"/>
    </row>
    <row r="660" customFormat="false" ht="15" hidden="false" customHeight="false" outlineLevel="0" collapsed="false">
      <c r="A660" s="4"/>
    </row>
    <row r="661" customFormat="false" ht="15" hidden="false" customHeight="false" outlineLevel="0" collapsed="false">
      <c r="A661" s="4"/>
    </row>
    <row r="662" customFormat="false" ht="15" hidden="false" customHeight="false" outlineLevel="0" collapsed="false">
      <c r="A662" s="4"/>
    </row>
    <row r="663" customFormat="false" ht="15" hidden="false" customHeight="false" outlineLevel="0" collapsed="false">
      <c r="A663" s="4"/>
    </row>
    <row r="664" customFormat="false" ht="15" hidden="false" customHeight="false" outlineLevel="0" collapsed="false">
      <c r="A664" s="4"/>
    </row>
    <row r="665" customFormat="false" ht="15" hidden="false" customHeight="false" outlineLevel="0" collapsed="false">
      <c r="A665" s="4"/>
    </row>
    <row r="666" customFormat="false" ht="15" hidden="false" customHeight="false" outlineLevel="0" collapsed="false">
      <c r="A666" s="4"/>
    </row>
    <row r="667" customFormat="false" ht="15" hidden="false" customHeight="false" outlineLevel="0" collapsed="false">
      <c r="A667" s="4"/>
    </row>
    <row r="668" customFormat="false" ht="15" hidden="false" customHeight="false" outlineLevel="0" collapsed="false">
      <c r="A668" s="4"/>
    </row>
    <row r="669" customFormat="false" ht="15" hidden="false" customHeight="false" outlineLevel="0" collapsed="false">
      <c r="A669" s="4"/>
    </row>
    <row r="670" customFormat="false" ht="15" hidden="false" customHeight="false" outlineLevel="0" collapsed="false">
      <c r="A670" s="4"/>
    </row>
    <row r="671" customFormat="false" ht="15" hidden="false" customHeight="false" outlineLevel="0" collapsed="false">
      <c r="A671" s="4"/>
    </row>
    <row r="672" customFormat="false" ht="15" hidden="false" customHeight="false" outlineLevel="0" collapsed="false">
      <c r="A672" s="4"/>
    </row>
    <row r="673" customFormat="false" ht="15" hidden="false" customHeight="false" outlineLevel="0" collapsed="false">
      <c r="A673" s="4"/>
    </row>
    <row r="674" customFormat="false" ht="15" hidden="false" customHeight="false" outlineLevel="0" collapsed="false">
      <c r="A674" s="4"/>
    </row>
    <row r="675" customFormat="false" ht="15" hidden="false" customHeight="false" outlineLevel="0" collapsed="false">
      <c r="A675" s="4"/>
    </row>
    <row r="676" customFormat="false" ht="15" hidden="false" customHeight="false" outlineLevel="0" collapsed="false">
      <c r="A676" s="4"/>
    </row>
    <row r="677" customFormat="false" ht="15" hidden="false" customHeight="false" outlineLevel="0" collapsed="false">
      <c r="A677" s="4"/>
    </row>
    <row r="678" customFormat="false" ht="15" hidden="false" customHeight="false" outlineLevel="0" collapsed="false">
      <c r="A678" s="4"/>
    </row>
    <row r="679" customFormat="false" ht="15" hidden="false" customHeight="false" outlineLevel="0" collapsed="false">
      <c r="A679" s="4"/>
    </row>
    <row r="680" customFormat="false" ht="15" hidden="false" customHeight="false" outlineLevel="0" collapsed="false">
      <c r="A680" s="4"/>
    </row>
    <row r="681" customFormat="false" ht="15" hidden="false" customHeight="false" outlineLevel="0" collapsed="false">
      <c r="A681" s="4"/>
    </row>
    <row r="682" customFormat="false" ht="15" hidden="false" customHeight="false" outlineLevel="0" collapsed="false">
      <c r="A682" s="4"/>
    </row>
    <row r="683" customFormat="false" ht="15" hidden="false" customHeight="false" outlineLevel="0" collapsed="false">
      <c r="A683" s="4"/>
    </row>
    <row r="684" customFormat="false" ht="15" hidden="false" customHeight="false" outlineLevel="0" collapsed="false">
      <c r="A684" s="4"/>
    </row>
    <row r="685" customFormat="false" ht="15" hidden="false" customHeight="false" outlineLevel="0" collapsed="false">
      <c r="A685" s="4"/>
    </row>
    <row r="686" customFormat="false" ht="15" hidden="false" customHeight="false" outlineLevel="0" collapsed="false">
      <c r="A686" s="4"/>
    </row>
    <row r="687" customFormat="false" ht="15" hidden="false" customHeight="false" outlineLevel="0" collapsed="false">
      <c r="A687" s="4"/>
    </row>
    <row r="688" customFormat="false" ht="15" hidden="false" customHeight="false" outlineLevel="0" collapsed="false">
      <c r="A688" s="4"/>
    </row>
    <row r="689" customFormat="false" ht="15" hidden="false" customHeight="false" outlineLevel="0" collapsed="false">
      <c r="A689" s="4"/>
    </row>
    <row r="690" customFormat="false" ht="15" hidden="false" customHeight="false" outlineLevel="0" collapsed="false">
      <c r="A690" s="4"/>
    </row>
    <row r="691" customFormat="false" ht="15" hidden="false" customHeight="false" outlineLevel="0" collapsed="false">
      <c r="A691" s="4"/>
    </row>
    <row r="692" customFormat="false" ht="15" hidden="false" customHeight="false" outlineLevel="0" collapsed="false">
      <c r="A692" s="4"/>
    </row>
    <row r="693" customFormat="false" ht="15" hidden="false" customHeight="false" outlineLevel="0" collapsed="false">
      <c r="A693" s="4"/>
    </row>
    <row r="694" customFormat="false" ht="15" hidden="false" customHeight="false" outlineLevel="0" collapsed="false">
      <c r="A694" s="4"/>
    </row>
    <row r="695" customFormat="false" ht="15" hidden="false" customHeight="false" outlineLevel="0" collapsed="false">
      <c r="A695" s="4"/>
    </row>
    <row r="696" customFormat="false" ht="15" hidden="false" customHeight="false" outlineLevel="0" collapsed="false">
      <c r="A696" s="4"/>
    </row>
    <row r="697" customFormat="false" ht="15" hidden="false" customHeight="false" outlineLevel="0" collapsed="false">
      <c r="A697" s="4"/>
    </row>
    <row r="698" customFormat="false" ht="15" hidden="false" customHeight="false" outlineLevel="0" collapsed="false">
      <c r="A698" s="4"/>
    </row>
    <row r="699" customFormat="false" ht="15" hidden="false" customHeight="false" outlineLevel="0" collapsed="false">
      <c r="A699" s="4"/>
    </row>
    <row r="700" customFormat="false" ht="15" hidden="false" customHeight="false" outlineLevel="0" collapsed="false">
      <c r="A700" s="4"/>
    </row>
    <row r="701" customFormat="false" ht="15" hidden="false" customHeight="false" outlineLevel="0" collapsed="false">
      <c r="A701" s="4"/>
    </row>
    <row r="702" customFormat="false" ht="15" hidden="false" customHeight="false" outlineLevel="0" collapsed="false">
      <c r="A702" s="4"/>
    </row>
    <row r="703" customFormat="false" ht="15" hidden="false" customHeight="false" outlineLevel="0" collapsed="false">
      <c r="A703" s="4"/>
    </row>
    <row r="704" customFormat="false" ht="15" hidden="false" customHeight="false" outlineLevel="0" collapsed="false">
      <c r="A704" s="4"/>
    </row>
    <row r="705" customFormat="false" ht="15" hidden="false" customHeight="false" outlineLevel="0" collapsed="false">
      <c r="A705" s="4"/>
    </row>
    <row r="706" customFormat="false" ht="15" hidden="false" customHeight="false" outlineLevel="0" collapsed="false">
      <c r="A706" s="4"/>
    </row>
    <row r="707" customFormat="false" ht="15" hidden="false" customHeight="false" outlineLevel="0" collapsed="false">
      <c r="A707" s="4"/>
    </row>
    <row r="708" customFormat="false" ht="15" hidden="false" customHeight="false" outlineLevel="0" collapsed="false">
      <c r="A708" s="4"/>
    </row>
    <row r="709" customFormat="false" ht="15" hidden="false" customHeight="false" outlineLevel="0" collapsed="false">
      <c r="A709" s="4"/>
    </row>
    <row r="710" customFormat="false" ht="15" hidden="false" customHeight="false" outlineLevel="0" collapsed="false">
      <c r="A710" s="4"/>
    </row>
    <row r="711" customFormat="false" ht="15" hidden="false" customHeight="false" outlineLevel="0" collapsed="false">
      <c r="A711" s="4"/>
    </row>
    <row r="712" customFormat="false" ht="15" hidden="false" customHeight="false" outlineLevel="0" collapsed="false">
      <c r="A712" s="4"/>
    </row>
    <row r="713" customFormat="false" ht="15" hidden="false" customHeight="false" outlineLevel="0" collapsed="false">
      <c r="A713" s="4"/>
    </row>
    <row r="714" customFormat="false" ht="15" hidden="false" customHeight="false" outlineLevel="0" collapsed="false">
      <c r="A714" s="4"/>
    </row>
    <row r="715" customFormat="false" ht="15" hidden="false" customHeight="false" outlineLevel="0" collapsed="false">
      <c r="A715" s="4"/>
    </row>
    <row r="716" customFormat="false" ht="15" hidden="false" customHeight="false" outlineLevel="0" collapsed="false">
      <c r="A716" s="4"/>
    </row>
    <row r="717" customFormat="false" ht="15" hidden="false" customHeight="false" outlineLevel="0" collapsed="false">
      <c r="A717" s="4"/>
    </row>
    <row r="718" customFormat="false" ht="15" hidden="false" customHeight="false" outlineLevel="0" collapsed="false">
      <c r="A718" s="4"/>
    </row>
    <row r="719" customFormat="false" ht="15" hidden="false" customHeight="false" outlineLevel="0" collapsed="false">
      <c r="A719" s="4"/>
    </row>
    <row r="720" customFormat="false" ht="15" hidden="false" customHeight="false" outlineLevel="0" collapsed="false">
      <c r="A720" s="4"/>
    </row>
    <row r="721" customFormat="false" ht="15" hidden="false" customHeight="false" outlineLevel="0" collapsed="false">
      <c r="A721" s="4"/>
    </row>
    <row r="722" customFormat="false" ht="15" hidden="false" customHeight="false" outlineLevel="0" collapsed="false">
      <c r="A722" s="4"/>
    </row>
    <row r="723" customFormat="false" ht="15" hidden="false" customHeight="false" outlineLevel="0" collapsed="false">
      <c r="A723" s="4"/>
    </row>
    <row r="724" customFormat="false" ht="15" hidden="false" customHeight="false" outlineLevel="0" collapsed="false">
      <c r="A724" s="4"/>
    </row>
    <row r="725" customFormat="false" ht="15" hidden="false" customHeight="false" outlineLevel="0" collapsed="false">
      <c r="A725" s="4"/>
    </row>
    <row r="726" customFormat="false" ht="15" hidden="false" customHeight="false" outlineLevel="0" collapsed="false">
      <c r="A726" s="4"/>
    </row>
    <row r="727" customFormat="false" ht="15" hidden="false" customHeight="false" outlineLevel="0" collapsed="false">
      <c r="A727" s="4"/>
    </row>
    <row r="728" customFormat="false" ht="15" hidden="false" customHeight="false" outlineLevel="0" collapsed="false">
      <c r="A728" s="4"/>
    </row>
    <row r="729" customFormat="false" ht="15" hidden="false" customHeight="false" outlineLevel="0" collapsed="false">
      <c r="A729" s="4"/>
    </row>
    <row r="730" customFormat="false" ht="15" hidden="false" customHeight="false" outlineLevel="0" collapsed="false">
      <c r="A730" s="4"/>
    </row>
    <row r="731" customFormat="false" ht="15" hidden="false" customHeight="false" outlineLevel="0" collapsed="false">
      <c r="A731" s="4"/>
    </row>
    <row r="732" customFormat="false" ht="15" hidden="false" customHeight="false" outlineLevel="0" collapsed="false">
      <c r="A732" s="4"/>
    </row>
    <row r="733" customFormat="false" ht="15" hidden="false" customHeight="false" outlineLevel="0" collapsed="false">
      <c r="A733" s="4"/>
    </row>
    <row r="734" customFormat="false" ht="15" hidden="false" customHeight="false" outlineLevel="0" collapsed="false">
      <c r="A734" s="4"/>
    </row>
    <row r="735" customFormat="false" ht="15" hidden="false" customHeight="false" outlineLevel="0" collapsed="false">
      <c r="A735" s="4"/>
    </row>
    <row r="736" customFormat="false" ht="15" hidden="false" customHeight="false" outlineLevel="0" collapsed="false">
      <c r="A736" s="4"/>
    </row>
    <row r="737" customFormat="false" ht="15" hidden="false" customHeight="false" outlineLevel="0" collapsed="false">
      <c r="A737" s="4"/>
    </row>
    <row r="738" customFormat="false" ht="15" hidden="false" customHeight="false" outlineLevel="0" collapsed="false">
      <c r="A738" s="4"/>
    </row>
    <row r="739" customFormat="false" ht="15" hidden="false" customHeight="false" outlineLevel="0" collapsed="false">
      <c r="A739" s="4"/>
    </row>
    <row r="740" customFormat="false" ht="15" hidden="false" customHeight="false" outlineLevel="0" collapsed="false">
      <c r="A740" s="4"/>
    </row>
    <row r="741" customFormat="false" ht="15" hidden="false" customHeight="false" outlineLevel="0" collapsed="false">
      <c r="A741" s="4"/>
    </row>
    <row r="742" customFormat="false" ht="15" hidden="false" customHeight="false" outlineLevel="0" collapsed="false">
      <c r="A742" s="4"/>
    </row>
    <row r="743" customFormat="false" ht="15" hidden="false" customHeight="false" outlineLevel="0" collapsed="false">
      <c r="A743" s="4"/>
    </row>
    <row r="744" customFormat="false" ht="15" hidden="false" customHeight="false" outlineLevel="0" collapsed="false">
      <c r="A744" s="4"/>
    </row>
    <row r="745" customFormat="false" ht="15" hidden="false" customHeight="false" outlineLevel="0" collapsed="false">
      <c r="A745" s="4"/>
    </row>
    <row r="746" customFormat="false" ht="15" hidden="false" customHeight="false" outlineLevel="0" collapsed="false">
      <c r="A746" s="4"/>
    </row>
    <row r="747" customFormat="false" ht="15" hidden="false" customHeight="false" outlineLevel="0" collapsed="false">
      <c r="A747" s="4"/>
    </row>
    <row r="748" customFormat="false" ht="15" hidden="false" customHeight="false" outlineLevel="0" collapsed="false">
      <c r="A748" s="4"/>
    </row>
    <row r="749" customFormat="false" ht="15" hidden="false" customHeight="false" outlineLevel="0" collapsed="false">
      <c r="A749" s="4"/>
    </row>
    <row r="750" customFormat="false" ht="15" hidden="false" customHeight="false" outlineLevel="0" collapsed="false">
      <c r="A750" s="4"/>
    </row>
    <row r="751" customFormat="false" ht="15" hidden="false" customHeight="false" outlineLevel="0" collapsed="false">
      <c r="A751" s="4"/>
    </row>
    <row r="752" customFormat="false" ht="15" hidden="false" customHeight="false" outlineLevel="0" collapsed="false">
      <c r="A752" s="4"/>
    </row>
    <row r="753" customFormat="false" ht="15" hidden="false" customHeight="false" outlineLevel="0" collapsed="false">
      <c r="A753" s="4"/>
    </row>
    <row r="754" customFormat="false" ht="15" hidden="false" customHeight="false" outlineLevel="0" collapsed="false">
      <c r="A754" s="4"/>
    </row>
    <row r="755" customFormat="false" ht="15" hidden="false" customHeight="false" outlineLevel="0" collapsed="false">
      <c r="A755" s="4"/>
    </row>
    <row r="756" customFormat="false" ht="15" hidden="false" customHeight="false" outlineLevel="0" collapsed="false">
      <c r="A756" s="4"/>
    </row>
    <row r="757" customFormat="false" ht="15" hidden="false" customHeight="false" outlineLevel="0" collapsed="false">
      <c r="A757" s="4"/>
    </row>
    <row r="758" customFormat="false" ht="15" hidden="false" customHeight="false" outlineLevel="0" collapsed="false">
      <c r="A758" s="4"/>
    </row>
    <row r="759" customFormat="false" ht="15" hidden="false" customHeight="false" outlineLevel="0" collapsed="false">
      <c r="A759" s="4"/>
    </row>
    <row r="760" customFormat="false" ht="15" hidden="false" customHeight="false" outlineLevel="0" collapsed="false">
      <c r="A760" s="4"/>
    </row>
    <row r="761" customFormat="false" ht="15" hidden="false" customHeight="false" outlineLevel="0" collapsed="false">
      <c r="A761" s="4"/>
    </row>
    <row r="762" customFormat="false" ht="15" hidden="false" customHeight="false" outlineLevel="0" collapsed="false">
      <c r="A762" s="4"/>
    </row>
    <row r="763" customFormat="false" ht="15" hidden="false" customHeight="false" outlineLevel="0" collapsed="false">
      <c r="A763" s="4"/>
    </row>
    <row r="764" customFormat="false" ht="15" hidden="false" customHeight="false" outlineLevel="0" collapsed="false">
      <c r="A764" s="4"/>
    </row>
    <row r="765" customFormat="false" ht="15" hidden="false" customHeight="false" outlineLevel="0" collapsed="false">
      <c r="A765" s="4"/>
    </row>
    <row r="766" customFormat="false" ht="15" hidden="false" customHeight="false" outlineLevel="0" collapsed="false">
      <c r="A766" s="4"/>
    </row>
    <row r="767" customFormat="false" ht="15" hidden="false" customHeight="false" outlineLevel="0" collapsed="false">
      <c r="A767" s="4"/>
    </row>
    <row r="768" customFormat="false" ht="15" hidden="false" customHeight="false" outlineLevel="0" collapsed="false">
      <c r="A768" s="4"/>
    </row>
    <row r="769" customFormat="false" ht="15" hidden="false" customHeight="false" outlineLevel="0" collapsed="false">
      <c r="A769" s="4"/>
    </row>
    <row r="770" customFormat="false" ht="15" hidden="false" customHeight="false" outlineLevel="0" collapsed="false">
      <c r="A770" s="4"/>
    </row>
    <row r="771" customFormat="false" ht="15" hidden="false" customHeight="false" outlineLevel="0" collapsed="false">
      <c r="A771" s="4"/>
    </row>
    <row r="772" customFormat="false" ht="15" hidden="false" customHeight="false" outlineLevel="0" collapsed="false">
      <c r="A772" s="4"/>
    </row>
    <row r="773" customFormat="false" ht="15" hidden="false" customHeight="false" outlineLevel="0" collapsed="false">
      <c r="A773" s="4"/>
    </row>
    <row r="774" customFormat="false" ht="15" hidden="false" customHeight="false" outlineLevel="0" collapsed="false">
      <c r="A774" s="4"/>
    </row>
    <row r="775" customFormat="false" ht="15" hidden="false" customHeight="false" outlineLevel="0" collapsed="false">
      <c r="A775" s="4"/>
    </row>
    <row r="776" customFormat="false" ht="15" hidden="false" customHeight="false" outlineLevel="0" collapsed="false">
      <c r="A776" s="4"/>
    </row>
    <row r="777" customFormat="false" ht="15" hidden="false" customHeight="false" outlineLevel="0" collapsed="false">
      <c r="A777" s="4"/>
    </row>
    <row r="778" customFormat="false" ht="15" hidden="false" customHeight="false" outlineLevel="0" collapsed="false">
      <c r="A778" s="4"/>
    </row>
    <row r="779" customFormat="false" ht="15" hidden="false" customHeight="false" outlineLevel="0" collapsed="false">
      <c r="A779" s="4"/>
    </row>
    <row r="780" customFormat="false" ht="15" hidden="false" customHeight="false" outlineLevel="0" collapsed="false">
      <c r="A780" s="4"/>
    </row>
    <row r="781" customFormat="false" ht="15" hidden="false" customHeight="false" outlineLevel="0" collapsed="false">
      <c r="A781" s="4"/>
    </row>
    <row r="782" customFormat="false" ht="15" hidden="false" customHeight="false" outlineLevel="0" collapsed="false">
      <c r="A782" s="4"/>
    </row>
    <row r="783" customFormat="false" ht="15" hidden="false" customHeight="false" outlineLevel="0" collapsed="false">
      <c r="A783" s="4"/>
    </row>
    <row r="784" customFormat="false" ht="15" hidden="false" customHeight="false" outlineLevel="0" collapsed="false">
      <c r="A784" s="4"/>
    </row>
    <row r="785" customFormat="false" ht="15" hidden="false" customHeight="false" outlineLevel="0" collapsed="false">
      <c r="A785" s="4"/>
    </row>
    <row r="786" customFormat="false" ht="15" hidden="false" customHeight="false" outlineLevel="0" collapsed="false">
      <c r="A786" s="4"/>
    </row>
    <row r="787" customFormat="false" ht="15" hidden="false" customHeight="false" outlineLevel="0" collapsed="false">
      <c r="A787" s="4"/>
    </row>
    <row r="788" customFormat="false" ht="15" hidden="false" customHeight="false" outlineLevel="0" collapsed="false">
      <c r="A788" s="4"/>
    </row>
    <row r="789" customFormat="false" ht="15" hidden="false" customHeight="false" outlineLevel="0" collapsed="false">
      <c r="A789" s="4"/>
    </row>
    <row r="790" customFormat="false" ht="15" hidden="false" customHeight="false" outlineLevel="0" collapsed="false">
      <c r="A790" s="4"/>
    </row>
    <row r="791" customFormat="false" ht="15" hidden="false" customHeight="false" outlineLevel="0" collapsed="false">
      <c r="A791" s="4"/>
    </row>
    <row r="792" customFormat="false" ht="15" hidden="false" customHeight="false" outlineLevel="0" collapsed="false">
      <c r="A792" s="4"/>
    </row>
    <row r="793" customFormat="false" ht="15" hidden="false" customHeight="false" outlineLevel="0" collapsed="false">
      <c r="A793" s="4"/>
    </row>
    <row r="794" customFormat="false" ht="15" hidden="false" customHeight="false" outlineLevel="0" collapsed="false">
      <c r="A794" s="4"/>
    </row>
    <row r="795" customFormat="false" ht="15" hidden="false" customHeight="false" outlineLevel="0" collapsed="false">
      <c r="A795" s="4"/>
    </row>
    <row r="796" customFormat="false" ht="15" hidden="false" customHeight="false" outlineLevel="0" collapsed="false">
      <c r="A796" s="4"/>
    </row>
    <row r="797" customFormat="false" ht="15" hidden="false" customHeight="false" outlineLevel="0" collapsed="false">
      <c r="A797" s="4"/>
    </row>
    <row r="798" customFormat="false" ht="15" hidden="false" customHeight="false" outlineLevel="0" collapsed="false">
      <c r="A798" s="4"/>
    </row>
    <row r="799" customFormat="false" ht="15" hidden="false" customHeight="false" outlineLevel="0" collapsed="false">
      <c r="A799" s="4"/>
    </row>
    <row r="800" customFormat="false" ht="15" hidden="false" customHeight="false" outlineLevel="0" collapsed="false">
      <c r="A800" s="4"/>
    </row>
    <row r="801" customFormat="false" ht="15" hidden="false" customHeight="false" outlineLevel="0" collapsed="false">
      <c r="A801" s="4"/>
    </row>
    <row r="802" customFormat="false" ht="15" hidden="false" customHeight="false" outlineLevel="0" collapsed="false">
      <c r="A802" s="4"/>
    </row>
    <row r="803" customFormat="false" ht="15" hidden="false" customHeight="false" outlineLevel="0" collapsed="false">
      <c r="A803" s="4"/>
    </row>
    <row r="804" customFormat="false" ht="15" hidden="false" customHeight="false" outlineLevel="0" collapsed="false">
      <c r="A804" s="4"/>
    </row>
    <row r="805" customFormat="false" ht="15" hidden="false" customHeight="false" outlineLevel="0" collapsed="false">
      <c r="A805" s="4"/>
    </row>
    <row r="806" customFormat="false" ht="15" hidden="false" customHeight="false" outlineLevel="0" collapsed="false">
      <c r="A806" s="4"/>
    </row>
    <row r="807" customFormat="false" ht="15" hidden="false" customHeight="false" outlineLevel="0" collapsed="false">
      <c r="A807" s="4"/>
    </row>
    <row r="808" customFormat="false" ht="15" hidden="false" customHeight="false" outlineLevel="0" collapsed="false">
      <c r="A808" s="4"/>
    </row>
    <row r="809" customFormat="false" ht="15" hidden="false" customHeight="false" outlineLevel="0" collapsed="false">
      <c r="A809" s="4"/>
    </row>
    <row r="810" customFormat="false" ht="15" hidden="false" customHeight="false" outlineLevel="0" collapsed="false">
      <c r="A810" s="4"/>
    </row>
    <row r="811" customFormat="false" ht="15" hidden="false" customHeight="false" outlineLevel="0" collapsed="false">
      <c r="A811" s="4"/>
    </row>
    <row r="812" customFormat="false" ht="15" hidden="false" customHeight="false" outlineLevel="0" collapsed="false">
      <c r="A812" s="4"/>
    </row>
    <row r="813" customFormat="false" ht="15" hidden="false" customHeight="false" outlineLevel="0" collapsed="false">
      <c r="A813" s="4"/>
    </row>
    <row r="814" customFormat="false" ht="15" hidden="false" customHeight="false" outlineLevel="0" collapsed="false">
      <c r="A814" s="4"/>
    </row>
    <row r="815" customFormat="false" ht="15" hidden="false" customHeight="false" outlineLevel="0" collapsed="false">
      <c r="A815" s="4"/>
    </row>
    <row r="816" customFormat="false" ht="15" hidden="false" customHeight="false" outlineLevel="0" collapsed="false">
      <c r="A816" s="4"/>
    </row>
    <row r="817" customFormat="false" ht="15" hidden="false" customHeight="false" outlineLevel="0" collapsed="false">
      <c r="A817" s="4"/>
    </row>
    <row r="818" customFormat="false" ht="15" hidden="false" customHeight="false" outlineLevel="0" collapsed="false">
      <c r="A818" s="4"/>
    </row>
    <row r="819" customFormat="false" ht="15" hidden="false" customHeight="false" outlineLevel="0" collapsed="false">
      <c r="A819" s="4"/>
    </row>
    <row r="820" customFormat="false" ht="15" hidden="false" customHeight="false" outlineLevel="0" collapsed="false">
      <c r="A820" s="4"/>
    </row>
    <row r="821" customFormat="false" ht="15" hidden="false" customHeight="false" outlineLevel="0" collapsed="false">
      <c r="A821" s="4"/>
    </row>
    <row r="822" customFormat="false" ht="15" hidden="false" customHeight="false" outlineLevel="0" collapsed="false">
      <c r="A822" s="4"/>
    </row>
    <row r="823" customFormat="false" ht="15" hidden="false" customHeight="false" outlineLevel="0" collapsed="false">
      <c r="A823" s="4"/>
    </row>
    <row r="824" customFormat="false" ht="15" hidden="false" customHeight="false" outlineLevel="0" collapsed="false">
      <c r="A824" s="4"/>
    </row>
    <row r="825" customFormat="false" ht="15" hidden="false" customHeight="false" outlineLevel="0" collapsed="false">
      <c r="A825" s="4"/>
    </row>
    <row r="826" customFormat="false" ht="15" hidden="false" customHeight="false" outlineLevel="0" collapsed="false">
      <c r="A826" s="4"/>
    </row>
    <row r="827" customFormat="false" ht="15" hidden="false" customHeight="false" outlineLevel="0" collapsed="false">
      <c r="A827" s="4"/>
    </row>
    <row r="828" customFormat="false" ht="15" hidden="false" customHeight="false" outlineLevel="0" collapsed="false">
      <c r="A828" s="4"/>
    </row>
    <row r="829" customFormat="false" ht="15" hidden="false" customHeight="false" outlineLevel="0" collapsed="false">
      <c r="A829" s="4"/>
    </row>
    <row r="830" customFormat="false" ht="15" hidden="false" customHeight="false" outlineLevel="0" collapsed="false">
      <c r="A830" s="4"/>
    </row>
    <row r="831" customFormat="false" ht="15" hidden="false" customHeight="false" outlineLevel="0" collapsed="false">
      <c r="A831" s="4"/>
    </row>
    <row r="832" customFormat="false" ht="15" hidden="false" customHeight="false" outlineLevel="0" collapsed="false">
      <c r="A832" s="4"/>
    </row>
    <row r="833" customFormat="false" ht="15" hidden="false" customHeight="false" outlineLevel="0" collapsed="false">
      <c r="A833" s="4"/>
    </row>
    <row r="834" customFormat="false" ht="15" hidden="false" customHeight="false" outlineLevel="0" collapsed="false">
      <c r="A834" s="4"/>
    </row>
    <row r="835" customFormat="false" ht="15" hidden="false" customHeight="false" outlineLevel="0" collapsed="false">
      <c r="A835" s="4"/>
    </row>
    <row r="836" customFormat="false" ht="15" hidden="false" customHeight="false" outlineLevel="0" collapsed="false">
      <c r="A836" s="4"/>
    </row>
    <row r="837" customFormat="false" ht="15" hidden="false" customHeight="false" outlineLevel="0" collapsed="false">
      <c r="A837" s="4"/>
    </row>
    <row r="838" customFormat="false" ht="15" hidden="false" customHeight="false" outlineLevel="0" collapsed="false">
      <c r="A838" s="4"/>
    </row>
    <row r="839" customFormat="false" ht="15" hidden="false" customHeight="false" outlineLevel="0" collapsed="false">
      <c r="A839" s="4"/>
    </row>
    <row r="840" customFormat="false" ht="15" hidden="false" customHeight="false" outlineLevel="0" collapsed="false">
      <c r="A840" s="4"/>
    </row>
    <row r="841" customFormat="false" ht="15" hidden="false" customHeight="false" outlineLevel="0" collapsed="false">
      <c r="A841" s="4"/>
    </row>
    <row r="842" customFormat="false" ht="15" hidden="false" customHeight="false" outlineLevel="0" collapsed="false">
      <c r="A842" s="4"/>
    </row>
    <row r="843" customFormat="false" ht="15" hidden="false" customHeight="false" outlineLevel="0" collapsed="false">
      <c r="A843" s="4"/>
    </row>
    <row r="844" customFormat="false" ht="15" hidden="false" customHeight="false" outlineLevel="0" collapsed="false">
      <c r="A844" s="4"/>
    </row>
    <row r="845" customFormat="false" ht="15" hidden="false" customHeight="false" outlineLevel="0" collapsed="false">
      <c r="A845" s="4"/>
    </row>
    <row r="846" customFormat="false" ht="15" hidden="false" customHeight="false" outlineLevel="0" collapsed="false">
      <c r="A846" s="4"/>
    </row>
    <row r="847" customFormat="false" ht="15" hidden="false" customHeight="false" outlineLevel="0" collapsed="false">
      <c r="A847" s="4"/>
    </row>
    <row r="848" customFormat="false" ht="15" hidden="false" customHeight="false" outlineLevel="0" collapsed="false">
      <c r="A848" s="4"/>
    </row>
    <row r="849" customFormat="false" ht="15" hidden="false" customHeight="false" outlineLevel="0" collapsed="false">
      <c r="A849" s="4"/>
    </row>
    <row r="850" customFormat="false" ht="15" hidden="false" customHeight="false" outlineLevel="0" collapsed="false">
      <c r="A850" s="4"/>
    </row>
    <row r="851" customFormat="false" ht="15" hidden="false" customHeight="false" outlineLevel="0" collapsed="false">
      <c r="A851" s="4"/>
    </row>
    <row r="852" customFormat="false" ht="15" hidden="false" customHeight="false" outlineLevel="0" collapsed="false">
      <c r="A852" s="4"/>
    </row>
    <row r="853" customFormat="false" ht="15" hidden="false" customHeight="false" outlineLevel="0" collapsed="false">
      <c r="A853" s="4"/>
    </row>
    <row r="854" customFormat="false" ht="15" hidden="false" customHeight="false" outlineLevel="0" collapsed="false">
      <c r="A854" s="4"/>
    </row>
    <row r="855" customFormat="false" ht="15" hidden="false" customHeight="false" outlineLevel="0" collapsed="false">
      <c r="A855" s="4"/>
    </row>
    <row r="856" customFormat="false" ht="15" hidden="false" customHeight="false" outlineLevel="0" collapsed="false">
      <c r="A856" s="4"/>
    </row>
    <row r="857" customFormat="false" ht="15" hidden="false" customHeight="false" outlineLevel="0" collapsed="false">
      <c r="A857" s="4"/>
    </row>
    <row r="858" customFormat="false" ht="15" hidden="false" customHeight="false" outlineLevel="0" collapsed="false">
      <c r="A858" s="4"/>
    </row>
    <row r="859" customFormat="false" ht="15" hidden="false" customHeight="false" outlineLevel="0" collapsed="false">
      <c r="A859" s="4"/>
    </row>
    <row r="860" customFormat="false" ht="15" hidden="false" customHeight="false" outlineLevel="0" collapsed="false">
      <c r="A860" s="4"/>
    </row>
    <row r="861" customFormat="false" ht="15" hidden="false" customHeight="false" outlineLevel="0" collapsed="false">
      <c r="A861" s="4"/>
    </row>
    <row r="862" customFormat="false" ht="15" hidden="false" customHeight="false" outlineLevel="0" collapsed="false">
      <c r="A862" s="4"/>
    </row>
    <row r="863" customFormat="false" ht="15" hidden="false" customHeight="false" outlineLevel="0" collapsed="false">
      <c r="A863" s="4"/>
    </row>
    <row r="864" customFormat="false" ht="15" hidden="false" customHeight="false" outlineLevel="0" collapsed="false">
      <c r="A864" s="4"/>
    </row>
    <row r="865" customFormat="false" ht="15" hidden="false" customHeight="false" outlineLevel="0" collapsed="false">
      <c r="A865" s="4"/>
    </row>
    <row r="866" customFormat="false" ht="15" hidden="false" customHeight="false" outlineLevel="0" collapsed="false">
      <c r="A866" s="4"/>
    </row>
    <row r="867" customFormat="false" ht="15" hidden="false" customHeight="false" outlineLevel="0" collapsed="false">
      <c r="A867" s="4"/>
    </row>
    <row r="868" customFormat="false" ht="15" hidden="false" customHeight="false" outlineLevel="0" collapsed="false">
      <c r="A868" s="4"/>
    </row>
    <row r="869" customFormat="false" ht="15" hidden="false" customHeight="false" outlineLevel="0" collapsed="false">
      <c r="A869" s="4"/>
    </row>
    <row r="870" customFormat="false" ht="15" hidden="false" customHeight="false" outlineLevel="0" collapsed="false">
      <c r="A870" s="4"/>
    </row>
    <row r="871" customFormat="false" ht="15" hidden="false" customHeight="false" outlineLevel="0" collapsed="false">
      <c r="A871" s="4"/>
    </row>
    <row r="872" customFormat="false" ht="15" hidden="false" customHeight="false" outlineLevel="0" collapsed="false">
      <c r="A872" s="4"/>
    </row>
    <row r="873" customFormat="false" ht="15" hidden="false" customHeight="false" outlineLevel="0" collapsed="false">
      <c r="A873" s="4"/>
    </row>
    <row r="874" customFormat="false" ht="15" hidden="false" customHeight="false" outlineLevel="0" collapsed="false">
      <c r="A874" s="4"/>
    </row>
    <row r="875" customFormat="false" ht="15" hidden="false" customHeight="false" outlineLevel="0" collapsed="false">
      <c r="A875" s="4"/>
    </row>
    <row r="876" customFormat="false" ht="15" hidden="false" customHeight="false" outlineLevel="0" collapsed="false">
      <c r="A876" s="4"/>
    </row>
    <row r="877" customFormat="false" ht="15" hidden="false" customHeight="false" outlineLevel="0" collapsed="false">
      <c r="A877" s="4"/>
    </row>
    <row r="878" customFormat="false" ht="15" hidden="false" customHeight="false" outlineLevel="0" collapsed="false">
      <c r="A878" s="4"/>
    </row>
    <row r="879" customFormat="false" ht="15" hidden="false" customHeight="false" outlineLevel="0" collapsed="false">
      <c r="A879" s="4"/>
    </row>
    <row r="880" customFormat="false" ht="15" hidden="false" customHeight="false" outlineLevel="0" collapsed="false">
      <c r="A880" s="4"/>
    </row>
    <row r="881" customFormat="false" ht="15" hidden="false" customHeight="false" outlineLevel="0" collapsed="false">
      <c r="A881" s="4"/>
    </row>
    <row r="882" customFormat="false" ht="15" hidden="false" customHeight="false" outlineLevel="0" collapsed="false">
      <c r="A882" s="4"/>
    </row>
    <row r="883" customFormat="false" ht="15" hidden="false" customHeight="false" outlineLevel="0" collapsed="false">
      <c r="A883" s="4"/>
    </row>
    <row r="884" customFormat="false" ht="15" hidden="false" customHeight="false" outlineLevel="0" collapsed="false">
      <c r="A884" s="4"/>
    </row>
    <row r="885" customFormat="false" ht="15" hidden="false" customHeight="false" outlineLevel="0" collapsed="false">
      <c r="A885" s="4"/>
    </row>
    <row r="886" customFormat="false" ht="15" hidden="false" customHeight="false" outlineLevel="0" collapsed="false">
      <c r="A886" s="4"/>
    </row>
    <row r="887" customFormat="false" ht="15" hidden="false" customHeight="false" outlineLevel="0" collapsed="false">
      <c r="A887" s="4"/>
    </row>
    <row r="888" customFormat="false" ht="15" hidden="false" customHeight="false" outlineLevel="0" collapsed="false">
      <c r="A888" s="4"/>
    </row>
    <row r="889" customFormat="false" ht="15" hidden="false" customHeight="false" outlineLevel="0" collapsed="false">
      <c r="A889" s="4"/>
    </row>
    <row r="890" customFormat="false" ht="15" hidden="false" customHeight="false" outlineLevel="0" collapsed="false">
      <c r="A890" s="4"/>
    </row>
    <row r="891" customFormat="false" ht="15" hidden="false" customHeight="false" outlineLevel="0" collapsed="false">
      <c r="A891" s="4"/>
    </row>
    <row r="892" customFormat="false" ht="15" hidden="false" customHeight="false" outlineLevel="0" collapsed="false">
      <c r="A892" s="4"/>
    </row>
    <row r="893" customFormat="false" ht="15" hidden="false" customHeight="false" outlineLevel="0" collapsed="false">
      <c r="A893" s="4"/>
    </row>
    <row r="894" customFormat="false" ht="15" hidden="false" customHeight="false" outlineLevel="0" collapsed="false">
      <c r="A894" s="4"/>
    </row>
    <row r="895" customFormat="false" ht="15" hidden="false" customHeight="false" outlineLevel="0" collapsed="false">
      <c r="A895" s="4"/>
    </row>
    <row r="896" customFormat="false" ht="15" hidden="false" customHeight="false" outlineLevel="0" collapsed="false">
      <c r="A896" s="4"/>
    </row>
    <row r="897" customFormat="false" ht="15" hidden="false" customHeight="false" outlineLevel="0" collapsed="false">
      <c r="A897" s="4"/>
    </row>
    <row r="898" customFormat="false" ht="15" hidden="false" customHeight="false" outlineLevel="0" collapsed="false">
      <c r="A898" s="4"/>
    </row>
    <row r="899" customFormat="false" ht="15" hidden="false" customHeight="false" outlineLevel="0" collapsed="false">
      <c r="A899" s="4"/>
    </row>
    <row r="900" customFormat="false" ht="15" hidden="false" customHeight="false" outlineLevel="0" collapsed="false">
      <c r="A900" s="4"/>
    </row>
    <row r="901" customFormat="false" ht="15" hidden="false" customHeight="false" outlineLevel="0" collapsed="false">
      <c r="A901" s="4"/>
    </row>
    <row r="902" customFormat="false" ht="15" hidden="false" customHeight="false" outlineLevel="0" collapsed="false">
      <c r="A902" s="4"/>
    </row>
    <row r="903" customFormat="false" ht="15" hidden="false" customHeight="false" outlineLevel="0" collapsed="false">
      <c r="A903" s="4"/>
    </row>
    <row r="904" customFormat="false" ht="15" hidden="false" customHeight="false" outlineLevel="0" collapsed="false">
      <c r="A904" s="4"/>
    </row>
    <row r="905" customFormat="false" ht="15" hidden="false" customHeight="false" outlineLevel="0" collapsed="false">
      <c r="A905" s="4"/>
    </row>
    <row r="906" customFormat="false" ht="15" hidden="false" customHeight="false" outlineLevel="0" collapsed="false">
      <c r="A906" s="4"/>
    </row>
    <row r="907" customFormat="false" ht="15" hidden="false" customHeight="false" outlineLevel="0" collapsed="false">
      <c r="A907" s="4"/>
    </row>
    <row r="908" customFormat="false" ht="15" hidden="false" customHeight="false" outlineLevel="0" collapsed="false">
      <c r="A908" s="4"/>
    </row>
    <row r="909" customFormat="false" ht="15" hidden="false" customHeight="false" outlineLevel="0" collapsed="false">
      <c r="A909" s="4"/>
    </row>
    <row r="910" customFormat="false" ht="15" hidden="false" customHeight="false" outlineLevel="0" collapsed="false">
      <c r="A910" s="4"/>
    </row>
    <row r="911" customFormat="false" ht="15" hidden="false" customHeight="false" outlineLevel="0" collapsed="false">
      <c r="A911" s="4"/>
    </row>
    <row r="912" customFormat="false" ht="15" hidden="false" customHeight="false" outlineLevel="0" collapsed="false">
      <c r="A912" s="4"/>
    </row>
    <row r="913" customFormat="false" ht="15" hidden="false" customHeight="false" outlineLevel="0" collapsed="false">
      <c r="A913" s="4"/>
    </row>
    <row r="914" customFormat="false" ht="15" hidden="false" customHeight="false" outlineLevel="0" collapsed="false">
      <c r="A914" s="4"/>
    </row>
    <row r="915" customFormat="false" ht="15" hidden="false" customHeight="false" outlineLevel="0" collapsed="false">
      <c r="A915" s="4"/>
    </row>
    <row r="916" customFormat="false" ht="15" hidden="false" customHeight="false" outlineLevel="0" collapsed="false">
      <c r="A916" s="4"/>
    </row>
    <row r="917" customFormat="false" ht="15" hidden="false" customHeight="false" outlineLevel="0" collapsed="false">
      <c r="A917" s="4"/>
    </row>
    <row r="918" customFormat="false" ht="15" hidden="false" customHeight="false" outlineLevel="0" collapsed="false">
      <c r="A918" s="4"/>
    </row>
    <row r="919" customFormat="false" ht="15" hidden="false" customHeight="false" outlineLevel="0" collapsed="false">
      <c r="A919" s="4"/>
    </row>
    <row r="920" customFormat="false" ht="15" hidden="false" customHeight="false" outlineLevel="0" collapsed="false">
      <c r="A920" s="4"/>
    </row>
    <row r="921" customFormat="false" ht="15" hidden="false" customHeight="false" outlineLevel="0" collapsed="false">
      <c r="A921" s="4"/>
    </row>
    <row r="922" customFormat="false" ht="15" hidden="false" customHeight="false" outlineLevel="0" collapsed="false">
      <c r="A922" s="4"/>
    </row>
    <row r="923" customFormat="false" ht="15" hidden="false" customHeight="false" outlineLevel="0" collapsed="false">
      <c r="A923" s="4"/>
    </row>
    <row r="924" customFormat="false" ht="15" hidden="false" customHeight="false" outlineLevel="0" collapsed="false">
      <c r="A924" s="4"/>
    </row>
    <row r="925" customFormat="false" ht="15" hidden="false" customHeight="false" outlineLevel="0" collapsed="false">
      <c r="A925" s="4"/>
    </row>
    <row r="926" customFormat="false" ht="15" hidden="false" customHeight="false" outlineLevel="0" collapsed="false">
      <c r="A926" s="4"/>
    </row>
    <row r="927" customFormat="false" ht="15" hidden="false" customHeight="false" outlineLevel="0" collapsed="false">
      <c r="A927" s="4"/>
    </row>
    <row r="928" customFormat="false" ht="15" hidden="false" customHeight="false" outlineLevel="0" collapsed="false">
      <c r="A928" s="4"/>
    </row>
    <row r="929" customFormat="false" ht="15" hidden="false" customHeight="false" outlineLevel="0" collapsed="false">
      <c r="A929" s="4"/>
    </row>
    <row r="930" customFormat="false" ht="15" hidden="false" customHeight="false" outlineLevel="0" collapsed="false">
      <c r="A930" s="4"/>
    </row>
    <row r="931" customFormat="false" ht="15" hidden="false" customHeight="false" outlineLevel="0" collapsed="false">
      <c r="A931" s="4"/>
    </row>
    <row r="932" customFormat="false" ht="15" hidden="false" customHeight="false" outlineLevel="0" collapsed="false">
      <c r="A932" s="4"/>
    </row>
    <row r="933" customFormat="false" ht="15" hidden="false" customHeight="false" outlineLevel="0" collapsed="false">
      <c r="A933" s="4"/>
    </row>
    <row r="934" customFormat="false" ht="15" hidden="false" customHeight="false" outlineLevel="0" collapsed="false">
      <c r="A934" s="4"/>
    </row>
    <row r="935" customFormat="false" ht="15" hidden="false" customHeight="false" outlineLevel="0" collapsed="false">
      <c r="A935" s="4"/>
    </row>
    <row r="936" customFormat="false" ht="15" hidden="false" customHeight="false" outlineLevel="0" collapsed="false">
      <c r="A936" s="4"/>
    </row>
    <row r="937" customFormat="false" ht="15" hidden="false" customHeight="false" outlineLevel="0" collapsed="false">
      <c r="A937" s="4"/>
    </row>
    <row r="938" customFormat="false" ht="15" hidden="false" customHeight="false" outlineLevel="0" collapsed="false">
      <c r="A938" s="4"/>
    </row>
    <row r="939" customFormat="false" ht="15" hidden="false" customHeight="false" outlineLevel="0" collapsed="false">
      <c r="A939" s="4"/>
    </row>
    <row r="940" customFormat="false" ht="15" hidden="false" customHeight="false" outlineLevel="0" collapsed="false">
      <c r="A940" s="4"/>
    </row>
    <row r="941" customFormat="false" ht="15" hidden="false" customHeight="false" outlineLevel="0" collapsed="false">
      <c r="A941" s="4"/>
    </row>
    <row r="942" customFormat="false" ht="15" hidden="false" customHeight="false" outlineLevel="0" collapsed="false">
      <c r="A942" s="4"/>
    </row>
    <row r="943" customFormat="false" ht="15" hidden="false" customHeight="false" outlineLevel="0" collapsed="false">
      <c r="A943" s="4"/>
    </row>
    <row r="944" customFormat="false" ht="15" hidden="false" customHeight="false" outlineLevel="0" collapsed="false">
      <c r="A944" s="4"/>
    </row>
    <row r="945" customFormat="false" ht="15" hidden="false" customHeight="false" outlineLevel="0" collapsed="false">
      <c r="A945" s="4"/>
    </row>
    <row r="946" customFormat="false" ht="15" hidden="false" customHeight="false" outlineLevel="0" collapsed="false">
      <c r="A946" s="4"/>
    </row>
    <row r="947" customFormat="false" ht="15" hidden="false" customHeight="false" outlineLevel="0" collapsed="false">
      <c r="A947" s="4"/>
    </row>
    <row r="948" customFormat="false" ht="15" hidden="false" customHeight="false" outlineLevel="0" collapsed="false">
      <c r="A948" s="4"/>
    </row>
    <row r="949" customFormat="false" ht="15" hidden="false" customHeight="false" outlineLevel="0" collapsed="false">
      <c r="A949" s="4"/>
    </row>
    <row r="950" customFormat="false" ht="15" hidden="false" customHeight="false" outlineLevel="0" collapsed="false">
      <c r="A950" s="4"/>
    </row>
    <row r="951" customFormat="false" ht="15" hidden="false" customHeight="false" outlineLevel="0" collapsed="false">
      <c r="A951" s="4"/>
    </row>
    <row r="952" customFormat="false" ht="15" hidden="false" customHeight="false" outlineLevel="0" collapsed="false">
      <c r="A952" s="4"/>
    </row>
    <row r="953" customFormat="false" ht="15" hidden="false" customHeight="false" outlineLevel="0" collapsed="false">
      <c r="A953" s="4"/>
    </row>
    <row r="954" customFormat="false" ht="15" hidden="false" customHeight="false" outlineLevel="0" collapsed="false">
      <c r="A954" s="4"/>
    </row>
    <row r="955" customFormat="false" ht="15" hidden="false" customHeight="false" outlineLevel="0" collapsed="false">
      <c r="A955" s="4"/>
    </row>
    <row r="956" customFormat="false" ht="15" hidden="false" customHeight="false" outlineLevel="0" collapsed="false">
      <c r="A956" s="4"/>
    </row>
    <row r="957" customFormat="false" ht="15" hidden="false" customHeight="false" outlineLevel="0" collapsed="false">
      <c r="A957" s="4"/>
    </row>
    <row r="958" customFormat="false" ht="15" hidden="false" customHeight="false" outlineLevel="0" collapsed="false">
      <c r="A958" s="4"/>
    </row>
    <row r="959" customFormat="false" ht="15" hidden="false" customHeight="false" outlineLevel="0" collapsed="false">
      <c r="A959" s="4"/>
    </row>
    <row r="960" customFormat="false" ht="15" hidden="false" customHeight="false" outlineLevel="0" collapsed="false">
      <c r="A960" s="4"/>
    </row>
    <row r="961" customFormat="false" ht="15" hidden="false" customHeight="false" outlineLevel="0" collapsed="false">
      <c r="A961" s="4"/>
    </row>
    <row r="962" customFormat="false" ht="15" hidden="false" customHeight="false" outlineLevel="0" collapsed="false">
      <c r="A962" s="4"/>
    </row>
    <row r="963" customFormat="false" ht="15" hidden="false" customHeight="false" outlineLevel="0" collapsed="false">
      <c r="A963" s="4"/>
    </row>
    <row r="964" customFormat="false" ht="15" hidden="false" customHeight="false" outlineLevel="0" collapsed="false">
      <c r="A964" s="4"/>
    </row>
    <row r="965" customFormat="false" ht="15" hidden="false" customHeight="false" outlineLevel="0" collapsed="false">
      <c r="A965" s="4"/>
    </row>
    <row r="966" customFormat="false" ht="15" hidden="false" customHeight="false" outlineLevel="0" collapsed="false">
      <c r="A966" s="4"/>
    </row>
    <row r="967" customFormat="false" ht="15" hidden="false" customHeight="false" outlineLevel="0" collapsed="false">
      <c r="A967" s="4"/>
    </row>
    <row r="968" customFormat="false" ht="15" hidden="false" customHeight="false" outlineLevel="0" collapsed="false">
      <c r="A968" s="4"/>
    </row>
    <row r="969" customFormat="false" ht="15" hidden="false" customHeight="false" outlineLevel="0" collapsed="false">
      <c r="A969" s="4"/>
    </row>
    <row r="970" customFormat="false" ht="15" hidden="false" customHeight="false" outlineLevel="0" collapsed="false">
      <c r="A970" s="4"/>
    </row>
    <row r="971" customFormat="false" ht="15" hidden="false" customHeight="false" outlineLevel="0" collapsed="false">
      <c r="A971" s="4"/>
    </row>
    <row r="972" customFormat="false" ht="15" hidden="false" customHeight="false" outlineLevel="0" collapsed="false">
      <c r="A972" s="4"/>
    </row>
    <row r="973" customFormat="false" ht="15" hidden="false" customHeight="false" outlineLevel="0" collapsed="false">
      <c r="A973" s="4"/>
    </row>
    <row r="974" customFormat="false" ht="15" hidden="false" customHeight="false" outlineLevel="0" collapsed="false">
      <c r="A974" s="4"/>
    </row>
    <row r="975" customFormat="false" ht="15" hidden="false" customHeight="false" outlineLevel="0" collapsed="false">
      <c r="A975" s="4"/>
    </row>
    <row r="976" customFormat="false" ht="15" hidden="false" customHeight="false" outlineLevel="0" collapsed="false">
      <c r="A976" s="4"/>
    </row>
    <row r="977" customFormat="false" ht="15" hidden="false" customHeight="false" outlineLevel="0" collapsed="false">
      <c r="A977" s="4"/>
    </row>
    <row r="978" customFormat="false" ht="15" hidden="false" customHeight="false" outlineLevel="0" collapsed="false">
      <c r="A978" s="4"/>
    </row>
    <row r="979" customFormat="false" ht="15" hidden="false" customHeight="false" outlineLevel="0" collapsed="false">
      <c r="A979" s="4"/>
    </row>
    <row r="980" customFormat="false" ht="15" hidden="false" customHeight="false" outlineLevel="0" collapsed="false">
      <c r="A980" s="4"/>
    </row>
    <row r="981" customFormat="false" ht="15" hidden="false" customHeight="false" outlineLevel="0" collapsed="false">
      <c r="A981" s="4"/>
    </row>
    <row r="982" customFormat="false" ht="15" hidden="false" customHeight="false" outlineLevel="0" collapsed="false">
      <c r="A982" s="4"/>
    </row>
    <row r="983" customFormat="false" ht="15" hidden="false" customHeight="false" outlineLevel="0" collapsed="false">
      <c r="A983" s="4"/>
    </row>
    <row r="984" customFormat="false" ht="15" hidden="false" customHeight="false" outlineLevel="0" collapsed="false">
      <c r="A984" s="4"/>
    </row>
    <row r="985" customFormat="false" ht="15" hidden="false" customHeight="false" outlineLevel="0" collapsed="false">
      <c r="A985" s="4"/>
    </row>
    <row r="986" customFormat="false" ht="15" hidden="false" customHeight="false" outlineLevel="0" collapsed="false">
      <c r="A986" s="4"/>
    </row>
    <row r="987" customFormat="false" ht="15" hidden="false" customHeight="false" outlineLevel="0" collapsed="false">
      <c r="A987" s="4"/>
    </row>
    <row r="988" customFormat="false" ht="15" hidden="false" customHeight="false" outlineLevel="0" collapsed="false">
      <c r="A988" s="4"/>
    </row>
    <row r="989" customFormat="false" ht="15" hidden="false" customHeight="false" outlineLevel="0" collapsed="false">
      <c r="A989" s="4"/>
    </row>
    <row r="990" customFormat="false" ht="15" hidden="false" customHeight="false" outlineLevel="0" collapsed="false">
      <c r="A990" s="4"/>
    </row>
    <row r="991" customFormat="false" ht="15" hidden="false" customHeight="false" outlineLevel="0" collapsed="false">
      <c r="A991" s="4"/>
    </row>
    <row r="992" customFormat="false" ht="15" hidden="false" customHeight="false" outlineLevel="0" collapsed="false">
      <c r="A992" s="4"/>
    </row>
    <row r="993" customFormat="false" ht="15" hidden="false" customHeight="false" outlineLevel="0" collapsed="false">
      <c r="A993" s="4"/>
    </row>
    <row r="994" customFormat="false" ht="15" hidden="false" customHeight="false" outlineLevel="0" collapsed="false">
      <c r="A994" s="4"/>
    </row>
    <row r="995" customFormat="false" ht="15" hidden="false" customHeight="false" outlineLevel="0" collapsed="false">
      <c r="A995" s="4"/>
    </row>
    <row r="996" customFormat="false" ht="15" hidden="false" customHeight="false" outlineLevel="0" collapsed="false">
      <c r="A996" s="4"/>
    </row>
    <row r="997" customFormat="false" ht="15" hidden="false" customHeight="false" outlineLevel="0" collapsed="false">
      <c r="A997" s="4"/>
    </row>
    <row r="998" customFormat="false" ht="15" hidden="false" customHeight="false" outlineLevel="0" collapsed="false">
      <c r="A998" s="4"/>
    </row>
    <row r="999" customFormat="false" ht="15" hidden="false" customHeight="false" outlineLevel="0" collapsed="false">
      <c r="A999" s="4"/>
    </row>
    <row r="1000" customFormat="false" ht="15" hidden="false" customHeight="false" outlineLevel="0" collapsed="false">
      <c r="A1000" s="4"/>
    </row>
    <row r="1001" customFormat="false" ht="15" hidden="false" customHeight="false" outlineLevel="0" collapsed="false">
      <c r="A1001" s="4"/>
    </row>
    <row r="1002" customFormat="false" ht="15" hidden="false" customHeight="false" outlineLevel="0" collapsed="false">
      <c r="A1002" s="4"/>
    </row>
    <row r="1003" customFormat="false" ht="15" hidden="false" customHeight="false" outlineLevel="0" collapsed="false">
      <c r="A1003" s="4"/>
    </row>
    <row r="1004" customFormat="false" ht="15" hidden="false" customHeight="false" outlineLevel="0" collapsed="false">
      <c r="A1004" s="4"/>
    </row>
    <row r="1005" customFormat="false" ht="15" hidden="false" customHeight="false" outlineLevel="0" collapsed="false">
      <c r="A1005" s="4"/>
    </row>
    <row r="1006" customFormat="false" ht="15" hidden="false" customHeight="false" outlineLevel="0" collapsed="false">
      <c r="A1006" s="4"/>
    </row>
    <row r="1007" customFormat="false" ht="15" hidden="false" customHeight="false" outlineLevel="0" collapsed="false">
      <c r="A1007" s="4"/>
    </row>
    <row r="1008" customFormat="false" ht="15" hidden="false" customHeight="false" outlineLevel="0" collapsed="false">
      <c r="A1008" s="4"/>
    </row>
    <row r="1009" customFormat="false" ht="15" hidden="false" customHeight="false" outlineLevel="0" collapsed="false">
      <c r="A1009" s="4"/>
    </row>
    <row r="1010" customFormat="false" ht="15" hidden="false" customHeight="false" outlineLevel="0" collapsed="false">
      <c r="A1010" s="4"/>
    </row>
    <row r="1011" customFormat="false" ht="15" hidden="false" customHeight="false" outlineLevel="0" collapsed="false">
      <c r="A1011" s="4"/>
    </row>
    <row r="1012" customFormat="false" ht="15" hidden="false" customHeight="false" outlineLevel="0" collapsed="false">
      <c r="A1012" s="4"/>
    </row>
    <row r="1013" customFormat="false" ht="15" hidden="false" customHeight="false" outlineLevel="0" collapsed="false">
      <c r="A1013" s="4"/>
    </row>
    <row r="1014" customFormat="false" ht="15" hidden="false" customHeight="false" outlineLevel="0" collapsed="false">
      <c r="A1014" s="4"/>
    </row>
    <row r="1015" customFormat="false" ht="15" hidden="false" customHeight="false" outlineLevel="0" collapsed="false">
      <c r="A1015" s="4"/>
    </row>
    <row r="1016" customFormat="false" ht="15" hidden="false" customHeight="false" outlineLevel="0" collapsed="false">
      <c r="A1016" s="4"/>
    </row>
    <row r="1017" customFormat="false" ht="15" hidden="false" customHeight="false" outlineLevel="0" collapsed="false">
      <c r="A1017" s="4"/>
    </row>
    <row r="1018" customFormat="false" ht="15" hidden="false" customHeight="false" outlineLevel="0" collapsed="false">
      <c r="A1018" s="4"/>
    </row>
    <row r="1019" customFormat="false" ht="15" hidden="false" customHeight="false" outlineLevel="0" collapsed="false">
      <c r="A1019" s="4"/>
    </row>
    <row r="1020" customFormat="false" ht="15" hidden="false" customHeight="false" outlineLevel="0" collapsed="false">
      <c r="A1020" s="4"/>
    </row>
    <row r="1021" customFormat="false" ht="15" hidden="false" customHeight="false" outlineLevel="0" collapsed="false">
      <c r="A1021" s="4"/>
    </row>
    <row r="1022" customFormat="false" ht="15" hidden="false" customHeight="false" outlineLevel="0" collapsed="false">
      <c r="A1022" s="4"/>
    </row>
    <row r="1023" customFormat="false" ht="15" hidden="false" customHeight="false" outlineLevel="0" collapsed="false">
      <c r="A1023" s="4"/>
    </row>
    <row r="1024" customFormat="false" ht="15" hidden="false" customHeight="false" outlineLevel="0" collapsed="false">
      <c r="A1024" s="4"/>
    </row>
    <row r="1025" customFormat="false" ht="15" hidden="false" customHeight="false" outlineLevel="0" collapsed="false">
      <c r="A1025" s="4"/>
    </row>
    <row r="1026" customFormat="false" ht="15" hidden="false" customHeight="false" outlineLevel="0" collapsed="false">
      <c r="A1026" s="4"/>
    </row>
    <row r="1027" customFormat="false" ht="15" hidden="false" customHeight="false" outlineLevel="0" collapsed="false">
      <c r="A1027" s="4"/>
    </row>
    <row r="1028" customFormat="false" ht="15" hidden="false" customHeight="false" outlineLevel="0" collapsed="false">
      <c r="A1028" s="4"/>
    </row>
    <row r="1029" customFormat="false" ht="15" hidden="false" customHeight="false" outlineLevel="0" collapsed="false">
      <c r="A1029" s="4"/>
    </row>
    <row r="1030" customFormat="false" ht="15" hidden="false" customHeight="false" outlineLevel="0" collapsed="false">
      <c r="A1030" s="4"/>
    </row>
    <row r="1031" customFormat="false" ht="15" hidden="false" customHeight="false" outlineLevel="0" collapsed="false">
      <c r="A1031" s="4"/>
    </row>
    <row r="1032" customFormat="false" ht="15" hidden="false" customHeight="false" outlineLevel="0" collapsed="false">
      <c r="A1032" s="4"/>
    </row>
    <row r="1033" customFormat="false" ht="15" hidden="false" customHeight="false" outlineLevel="0" collapsed="false">
      <c r="A1033" s="4"/>
    </row>
    <row r="1034" customFormat="false" ht="15" hidden="false" customHeight="false" outlineLevel="0" collapsed="false">
      <c r="A1034" s="4"/>
    </row>
    <row r="1035" customFormat="false" ht="15" hidden="false" customHeight="false" outlineLevel="0" collapsed="false">
      <c r="A1035" s="4"/>
    </row>
    <row r="1036" customFormat="false" ht="15" hidden="false" customHeight="false" outlineLevel="0" collapsed="false">
      <c r="A1036" s="4"/>
    </row>
    <row r="1037" customFormat="false" ht="15" hidden="false" customHeight="false" outlineLevel="0" collapsed="false">
      <c r="A1037" s="4"/>
    </row>
    <row r="1038" customFormat="false" ht="15" hidden="false" customHeight="false" outlineLevel="0" collapsed="false">
      <c r="A1038" s="4"/>
    </row>
    <row r="1039" customFormat="false" ht="15" hidden="false" customHeight="false" outlineLevel="0" collapsed="false">
      <c r="A1039" s="4"/>
    </row>
    <row r="1040" customFormat="false" ht="15" hidden="false" customHeight="false" outlineLevel="0" collapsed="false">
      <c r="A1040" s="4"/>
    </row>
    <row r="1041" customFormat="false" ht="15" hidden="false" customHeight="false" outlineLevel="0" collapsed="false">
      <c r="A1041" s="4"/>
    </row>
    <row r="1042" customFormat="false" ht="15" hidden="false" customHeight="false" outlineLevel="0" collapsed="false">
      <c r="A1042" s="4"/>
    </row>
    <row r="1043" customFormat="false" ht="15" hidden="false" customHeight="false" outlineLevel="0" collapsed="false">
      <c r="A1043" s="4"/>
    </row>
    <row r="1044" customFormat="false" ht="15" hidden="false" customHeight="false" outlineLevel="0" collapsed="false">
      <c r="A1044" s="4"/>
    </row>
    <row r="1045" customFormat="false" ht="15" hidden="false" customHeight="false" outlineLevel="0" collapsed="false">
      <c r="A1045" s="4"/>
    </row>
    <row r="1046" customFormat="false" ht="15" hidden="false" customHeight="false" outlineLevel="0" collapsed="false">
      <c r="A1046" s="4"/>
    </row>
    <row r="1047" customFormat="false" ht="15" hidden="false" customHeight="false" outlineLevel="0" collapsed="false">
      <c r="A1047" s="4"/>
    </row>
    <row r="1048" customFormat="false" ht="15" hidden="false" customHeight="false" outlineLevel="0" collapsed="false">
      <c r="A1048" s="4"/>
    </row>
    <row r="1049" customFormat="false" ht="15" hidden="false" customHeight="false" outlineLevel="0" collapsed="false">
      <c r="A1049" s="4"/>
    </row>
    <row r="1050" customFormat="false" ht="15" hidden="false" customHeight="false" outlineLevel="0" collapsed="false">
      <c r="A1050" s="4"/>
    </row>
    <row r="1051" customFormat="false" ht="15" hidden="false" customHeight="false" outlineLevel="0" collapsed="false">
      <c r="A1051" s="4"/>
    </row>
    <row r="1052" customFormat="false" ht="15" hidden="false" customHeight="false" outlineLevel="0" collapsed="false">
      <c r="A1052" s="4"/>
    </row>
    <row r="1053" customFormat="false" ht="15" hidden="false" customHeight="false" outlineLevel="0" collapsed="false">
      <c r="A1053" s="4"/>
    </row>
    <row r="1054" customFormat="false" ht="15" hidden="false" customHeight="false" outlineLevel="0" collapsed="false">
      <c r="A1054" s="4"/>
    </row>
    <row r="1055" customFormat="false" ht="15" hidden="false" customHeight="false" outlineLevel="0" collapsed="false">
      <c r="A1055" s="4"/>
    </row>
    <row r="1056" customFormat="false" ht="15" hidden="false" customHeight="false" outlineLevel="0" collapsed="false">
      <c r="A1056" s="4"/>
    </row>
    <row r="1057" customFormat="false" ht="15" hidden="false" customHeight="false" outlineLevel="0" collapsed="false">
      <c r="A1057" s="4"/>
    </row>
    <row r="1058" customFormat="false" ht="15" hidden="false" customHeight="false" outlineLevel="0" collapsed="false">
      <c r="A1058" s="4"/>
    </row>
    <row r="1059" customFormat="false" ht="15" hidden="false" customHeight="false" outlineLevel="0" collapsed="false">
      <c r="A1059" s="4"/>
    </row>
    <row r="1060" customFormat="false" ht="15" hidden="false" customHeight="false" outlineLevel="0" collapsed="false">
      <c r="A1060" s="4"/>
    </row>
    <row r="1061" customFormat="false" ht="15" hidden="false" customHeight="false" outlineLevel="0" collapsed="false">
      <c r="A1061" s="4"/>
    </row>
    <row r="1062" customFormat="false" ht="15" hidden="false" customHeight="false" outlineLevel="0" collapsed="false">
      <c r="A1062" s="4"/>
    </row>
    <row r="1063" customFormat="false" ht="15" hidden="false" customHeight="false" outlineLevel="0" collapsed="false">
      <c r="A1063" s="4"/>
    </row>
    <row r="1064" customFormat="false" ht="15" hidden="false" customHeight="false" outlineLevel="0" collapsed="false">
      <c r="A1064" s="4"/>
    </row>
    <row r="1065" customFormat="false" ht="15" hidden="false" customHeight="false" outlineLevel="0" collapsed="false">
      <c r="A1065" s="4"/>
    </row>
    <row r="1066" customFormat="false" ht="15" hidden="false" customHeight="false" outlineLevel="0" collapsed="false">
      <c r="A1066" s="4"/>
    </row>
    <row r="1067" customFormat="false" ht="15" hidden="false" customHeight="false" outlineLevel="0" collapsed="false">
      <c r="A1067" s="4"/>
    </row>
    <row r="1068" customFormat="false" ht="15" hidden="false" customHeight="false" outlineLevel="0" collapsed="false">
      <c r="A1068" s="4"/>
    </row>
    <row r="1069" customFormat="false" ht="15" hidden="false" customHeight="false" outlineLevel="0" collapsed="false">
      <c r="A1069" s="4"/>
    </row>
    <row r="1070" customFormat="false" ht="15" hidden="false" customHeight="false" outlineLevel="0" collapsed="false">
      <c r="A1070" s="4"/>
    </row>
    <row r="1071" customFormat="false" ht="15" hidden="false" customHeight="false" outlineLevel="0" collapsed="false">
      <c r="A1071" s="4"/>
    </row>
    <row r="1072" customFormat="false" ht="15" hidden="false" customHeight="false" outlineLevel="0" collapsed="false">
      <c r="A1072" s="4"/>
    </row>
    <row r="1073" customFormat="false" ht="15" hidden="false" customHeight="false" outlineLevel="0" collapsed="false">
      <c r="A1073" s="4"/>
    </row>
    <row r="1074" customFormat="false" ht="15" hidden="false" customHeight="false" outlineLevel="0" collapsed="false">
      <c r="A1074" s="4"/>
    </row>
    <row r="1075" customFormat="false" ht="15" hidden="false" customHeight="false" outlineLevel="0" collapsed="false">
      <c r="A1075" s="4"/>
    </row>
    <row r="1076" customFormat="false" ht="15" hidden="false" customHeight="false" outlineLevel="0" collapsed="false">
      <c r="A1076" s="4"/>
    </row>
    <row r="1077" customFormat="false" ht="15" hidden="false" customHeight="false" outlineLevel="0" collapsed="false">
      <c r="A1077" s="4"/>
    </row>
    <row r="1078" customFormat="false" ht="15" hidden="false" customHeight="false" outlineLevel="0" collapsed="false">
      <c r="A1078" s="4"/>
    </row>
    <row r="1079" customFormat="false" ht="15" hidden="false" customHeight="false" outlineLevel="0" collapsed="false">
      <c r="A1079" s="4"/>
    </row>
  </sheetData>
  <autoFilter ref="A1:I7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8"/>
    <col collapsed="false" customWidth="true" hidden="false" outlineLevel="0" max="4" min="3" style="0" width="50"/>
  </cols>
  <sheetData>
    <row r="1" customFormat="false" ht="28.35" hidden="false" customHeight="false" outlineLevel="0" collapsed="false">
      <c r="A1" s="1" t="s">
        <v>2269</v>
      </c>
      <c r="B1" s="1" t="s">
        <v>7</v>
      </c>
      <c r="C1" s="1" t="s">
        <v>2270</v>
      </c>
      <c r="D1" s="1" t="s">
        <v>18</v>
      </c>
    </row>
    <row r="2" customFormat="false" ht="15" hidden="false" customHeight="false" outlineLevel="0" collapsed="false">
      <c r="A2" s="0" t="s">
        <v>2271</v>
      </c>
      <c r="B2" s="0" t="s">
        <v>2272</v>
      </c>
      <c r="C2" s="0" t="s">
        <v>2273</v>
      </c>
    </row>
    <row r="3" customFormat="false" ht="15" hidden="false" customHeight="false" outlineLevel="0" collapsed="false">
      <c r="A3" s="0" t="s">
        <v>2274</v>
      </c>
      <c r="B3" s="0" t="s">
        <v>2275</v>
      </c>
      <c r="C3" s="0" t="s">
        <v>2276</v>
      </c>
    </row>
    <row r="4" customFormat="false" ht="15" hidden="false" customHeight="false" outlineLevel="0" collapsed="false">
      <c r="A4" s="0" t="s">
        <v>2277</v>
      </c>
      <c r="B4" s="0" t="s">
        <v>2278</v>
      </c>
      <c r="C4" s="0" t="s">
        <v>2279</v>
      </c>
    </row>
    <row r="5" customFormat="false" ht="15" hidden="false" customHeight="false" outlineLevel="0" collapsed="false">
      <c r="A5" s="0" t="s">
        <v>2280</v>
      </c>
      <c r="B5" s="0" t="s">
        <v>2281</v>
      </c>
      <c r="C5" s="0" t="s">
        <v>2282</v>
      </c>
    </row>
    <row r="6" customFormat="false" ht="15" hidden="false" customHeight="false" outlineLevel="0" collapsed="false">
      <c r="A6" s="0" t="s">
        <v>2283</v>
      </c>
      <c r="B6" s="0" t="s">
        <v>2284</v>
      </c>
      <c r="C6" s="0" t="s">
        <v>2285</v>
      </c>
    </row>
    <row r="7" customFormat="false" ht="15" hidden="false" customHeight="false" outlineLevel="0" collapsed="false">
      <c r="A7" s="0" t="s">
        <v>2286</v>
      </c>
      <c r="B7" s="0" t="s">
        <v>2287</v>
      </c>
      <c r="C7" s="0" t="s">
        <v>2288</v>
      </c>
    </row>
    <row r="8" customFormat="false" ht="15" hidden="false" customHeight="false" outlineLevel="0" collapsed="false">
      <c r="A8" s="0" t="s">
        <v>2289</v>
      </c>
      <c r="B8" s="0" t="s">
        <v>2290</v>
      </c>
      <c r="C8" s="0" t="s">
        <v>2291</v>
      </c>
    </row>
    <row r="9" customFormat="false" ht="15" hidden="false" customHeight="false" outlineLevel="0" collapsed="false">
      <c r="A9" s="0" t="s">
        <v>2292</v>
      </c>
      <c r="B9" s="0" t="s">
        <v>2293</v>
      </c>
      <c r="C9" s="0" t="s">
        <v>2294</v>
      </c>
    </row>
    <row r="10" customFormat="false" ht="15" hidden="false" customHeight="false" outlineLevel="0" collapsed="false">
      <c r="A10" s="0" t="s">
        <v>2295</v>
      </c>
      <c r="B10" s="0" t="s">
        <v>2296</v>
      </c>
      <c r="C10" s="0" t="s">
        <v>2297</v>
      </c>
    </row>
    <row r="11" customFormat="false" ht="15" hidden="false" customHeight="false" outlineLevel="0" collapsed="false">
      <c r="A11" s="0" t="s">
        <v>2298</v>
      </c>
      <c r="B11" s="0" t="s">
        <v>2299</v>
      </c>
      <c r="C11" s="0" t="s">
        <v>699</v>
      </c>
    </row>
    <row r="12" customFormat="false" ht="15" hidden="false" customHeight="false" outlineLevel="0" collapsed="false">
      <c r="A12" s="0" t="s">
        <v>2300</v>
      </c>
      <c r="B12" s="0" t="s">
        <v>2301</v>
      </c>
      <c r="C12" s="0" t="s">
        <v>699</v>
      </c>
    </row>
    <row r="13" customFormat="false" ht="15" hidden="false" customHeight="false" outlineLevel="0" collapsed="false">
      <c r="A13" s="0" t="s">
        <v>2302</v>
      </c>
      <c r="B13" s="0" t="s">
        <v>2303</v>
      </c>
      <c r="C13" s="0" t="s">
        <v>699</v>
      </c>
    </row>
    <row r="14" customFormat="false" ht="15" hidden="false" customHeight="false" outlineLevel="0" collapsed="false">
      <c r="A14" s="0" t="s">
        <v>2304</v>
      </c>
      <c r="B14" s="0" t="s">
        <v>2074</v>
      </c>
      <c r="C14" s="0" t="s">
        <v>2305</v>
      </c>
    </row>
    <row r="15" customFormat="false" ht="15" hidden="false" customHeight="false" outlineLevel="0" collapsed="false">
      <c r="A15" s="0" t="s">
        <v>2306</v>
      </c>
      <c r="B15" s="0" t="s">
        <v>2307</v>
      </c>
      <c r="C15" s="0" t="s">
        <v>2308</v>
      </c>
    </row>
    <row r="16" customFormat="false" ht="15" hidden="false" customHeight="false" outlineLevel="0" collapsed="false">
      <c r="A16" s="0" t="s">
        <v>2309</v>
      </c>
      <c r="B16" s="0" t="s">
        <v>1929</v>
      </c>
      <c r="C16" s="0" t="s">
        <v>2310</v>
      </c>
    </row>
    <row r="17" customFormat="false" ht="15" hidden="false" customHeight="false" outlineLevel="0" collapsed="false">
      <c r="A17" s="0" t="s">
        <v>2311</v>
      </c>
      <c r="B17" s="0" t="s">
        <v>2312</v>
      </c>
      <c r="C17" s="0" t="s">
        <v>2313</v>
      </c>
    </row>
    <row r="18" customFormat="false" ht="15" hidden="false" customHeight="false" outlineLevel="0" collapsed="false">
      <c r="A18" s="0" t="s">
        <v>2314</v>
      </c>
      <c r="C18" s="0" t="s">
        <v>2315</v>
      </c>
      <c r="D18" s="0" t="s">
        <v>95</v>
      </c>
    </row>
    <row r="19" customFormat="false" ht="15" hidden="false" customHeight="false" outlineLevel="0" collapsed="false">
      <c r="A19" s="0" t="s">
        <v>2316</v>
      </c>
      <c r="C19" s="0" t="s">
        <v>2317</v>
      </c>
      <c r="D19" s="0" t="s">
        <v>95</v>
      </c>
    </row>
    <row r="20" customFormat="false" ht="15" hidden="false" customHeight="false" outlineLevel="0" collapsed="false">
      <c r="A20" s="0" t="s">
        <v>2318</v>
      </c>
      <c r="B20" s="0" t="s">
        <v>2038</v>
      </c>
      <c r="C20" s="0" t="s">
        <v>2319</v>
      </c>
    </row>
    <row r="21" customFormat="false" ht="15" hidden="false" customHeight="false" outlineLevel="0" collapsed="false">
      <c r="A21" s="0" t="s">
        <v>2320</v>
      </c>
      <c r="B21" s="0" t="s">
        <v>2321</v>
      </c>
      <c r="C21" s="0" t="s">
        <v>2322</v>
      </c>
    </row>
    <row r="22" customFormat="false" ht="15" hidden="false" customHeight="false" outlineLevel="0" collapsed="false">
      <c r="A22" s="0" t="s">
        <v>2323</v>
      </c>
      <c r="C22" s="0" t="s">
        <v>2324</v>
      </c>
      <c r="D22" s="0" t="s">
        <v>95</v>
      </c>
    </row>
    <row r="23" customFormat="false" ht="15" hidden="false" customHeight="false" outlineLevel="0" collapsed="false">
      <c r="A23" s="0" t="s">
        <v>2325</v>
      </c>
      <c r="C23" s="0" t="s">
        <v>2324</v>
      </c>
      <c r="D23" s="0" t="s">
        <v>95</v>
      </c>
    </row>
    <row r="24" customFormat="false" ht="15" hidden="false" customHeight="false" outlineLevel="0" collapsed="false">
      <c r="A24" s="0" t="s">
        <v>2326</v>
      </c>
      <c r="C24" s="0" t="s">
        <v>2317</v>
      </c>
      <c r="D24" s="0" t="s">
        <v>95</v>
      </c>
    </row>
    <row r="25" customFormat="false" ht="15" hidden="false" customHeight="false" outlineLevel="0" collapsed="false">
      <c r="A25" s="0" t="s">
        <v>2327</v>
      </c>
      <c r="C25" s="0" t="s">
        <v>2317</v>
      </c>
      <c r="D25" s="0" t="s">
        <v>95</v>
      </c>
    </row>
    <row r="26" customFormat="false" ht="15" hidden="false" customHeight="false" outlineLevel="0" collapsed="false">
      <c r="A26" s="0" t="s">
        <v>2328</v>
      </c>
      <c r="C26" s="0" t="s">
        <v>2329</v>
      </c>
      <c r="D26" s="0" t="s">
        <v>95</v>
      </c>
    </row>
    <row r="27" customFormat="false" ht="15" hidden="false" customHeight="false" outlineLevel="0" collapsed="false">
      <c r="A27" s="0" t="s">
        <v>2330</v>
      </c>
      <c r="C27" s="0" t="s">
        <v>2317</v>
      </c>
      <c r="D27" s="0" t="s">
        <v>95</v>
      </c>
    </row>
    <row r="28" customFormat="false" ht="15" hidden="false" customHeight="false" outlineLevel="0" collapsed="false">
      <c r="A28" s="0" t="s">
        <v>2331</v>
      </c>
      <c r="C28" s="0" t="s">
        <v>2317</v>
      </c>
      <c r="D28" s="0" t="s">
        <v>95</v>
      </c>
    </row>
  </sheetData>
  <autoFilter ref="A1:D2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44"/>
    <col collapsed="false" customWidth="true" hidden="false" outlineLevel="0" max="7" min="7" style="0" width="50"/>
    <col collapsed="false" customWidth="true" hidden="false" outlineLevel="0" max="8" min="8" style="0" width="12"/>
    <col collapsed="false" customWidth="true" hidden="false" outlineLevel="0" max="10" min="9" style="0" width="11"/>
    <col collapsed="false" customWidth="true" hidden="false" outlineLevel="0" max="11" min="11" style="0" width="13"/>
    <col collapsed="false" customWidth="true" hidden="false" outlineLevel="0" max="12" min="12" style="0" width="16"/>
    <col collapsed="false" customWidth="true" hidden="false" outlineLevel="0" max="13" min="13" style="0" width="50"/>
  </cols>
  <sheetData>
    <row r="1" customFormat="false" ht="28.35" hidden="false" customHeight="false" outlineLevel="0" collapsed="false">
      <c r="A1" s="1" t="s">
        <v>1900</v>
      </c>
      <c r="B1" s="1" t="s">
        <v>2332</v>
      </c>
      <c r="C1" s="1" t="s">
        <v>2333</v>
      </c>
      <c r="D1" s="1" t="s">
        <v>2334</v>
      </c>
      <c r="E1" s="1" t="s">
        <v>2335</v>
      </c>
      <c r="F1" s="1" t="s">
        <v>1909</v>
      </c>
      <c r="G1" s="1" t="s">
        <v>1910</v>
      </c>
      <c r="H1" s="1" t="s">
        <v>1911</v>
      </c>
      <c r="I1" s="1" t="s">
        <v>2336</v>
      </c>
      <c r="J1" s="1" t="s">
        <v>2337</v>
      </c>
      <c r="K1" s="1" t="s">
        <v>2338</v>
      </c>
      <c r="L1" s="1" t="s">
        <v>13</v>
      </c>
      <c r="M1" s="1" t="s">
        <v>18</v>
      </c>
    </row>
    <row r="2" customFormat="false" ht="15" hidden="false" customHeight="false" outlineLevel="0" collapsed="false">
      <c r="A2" s="0" t="s">
        <v>107</v>
      </c>
      <c r="B2" s="3" t="n">
        <v>200</v>
      </c>
      <c r="C2" s="3" t="n">
        <v>300</v>
      </c>
      <c r="D2" s="3" t="n">
        <v>700</v>
      </c>
      <c r="E2" s="0" t="s">
        <v>2339</v>
      </c>
      <c r="F2" s="0" t="s">
        <v>2340</v>
      </c>
      <c r="G2" s="0" t="s">
        <v>2341</v>
      </c>
      <c r="H2" s="4" t="n">
        <v>46316</v>
      </c>
      <c r="I2" s="3" t="n">
        <f aca="false">IF(ISNUMBER(C2),C2*Urg_MEDIUM,"")</f>
        <v>345</v>
      </c>
      <c r="J2" s="3" t="n">
        <f aca="false">IF(ISNUMBER(C2),C2*Urg_HIGH,"")</f>
        <v>390</v>
      </c>
      <c r="K2" s="3" t="n">
        <f aca="false">IF(ISNUMBER(C2),C2*Urg_EMERGENCY,"")</f>
        <v>450</v>
      </c>
      <c r="L2" s="0" t="s">
        <v>27</v>
      </c>
      <c r="M2" s="0" t="s">
        <v>2342</v>
      </c>
    </row>
    <row r="3" customFormat="false" ht="15" hidden="false" customHeight="false" outlineLevel="0" collapsed="false">
      <c r="A3" s="0" t="s">
        <v>176</v>
      </c>
      <c r="B3" s="3" t="n">
        <v>450</v>
      </c>
      <c r="C3" s="3" t="n">
        <f aca="false">ROUND(AVERAGE(B3,D3),0)</f>
        <v>675</v>
      </c>
      <c r="D3" s="3" t="n">
        <v>900</v>
      </c>
      <c r="E3" s="0" t="s">
        <v>2343</v>
      </c>
      <c r="F3" s="0" t="s">
        <v>2344</v>
      </c>
      <c r="G3" s="0" t="s">
        <v>2312</v>
      </c>
      <c r="H3" s="4" t="n">
        <v>46316</v>
      </c>
      <c r="I3" s="3" t="n">
        <f aca="false">IF(ISNUMBER(C3),C3*Urg_MEDIUM,"")</f>
        <v>776.25</v>
      </c>
      <c r="J3" s="3" t="n">
        <f aca="false">IF(ISNUMBER(C3),C3*Urg_HIGH,"")</f>
        <v>877.5</v>
      </c>
      <c r="K3" s="3" t="n">
        <f aca="false">IF(ISNUMBER(C3),C3*Urg_EMERGENCY,"")</f>
        <v>1012.5</v>
      </c>
      <c r="L3" s="0" t="s">
        <v>27</v>
      </c>
      <c r="M3" s="0" t="s">
        <v>2065</v>
      </c>
    </row>
    <row r="4" customFormat="false" ht="15" hidden="false" customHeight="false" outlineLevel="0" collapsed="false">
      <c r="A4" s="0" t="s">
        <v>52</v>
      </c>
      <c r="B4" s="3" t="n">
        <v>300</v>
      </c>
      <c r="C4" s="3" t="n">
        <v>600</v>
      </c>
      <c r="D4" s="3" t="n">
        <v>600</v>
      </c>
      <c r="E4" s="0" t="s">
        <v>2345</v>
      </c>
      <c r="F4" s="0" t="s">
        <v>2346</v>
      </c>
      <c r="G4" s="0" t="s">
        <v>2312</v>
      </c>
      <c r="H4" s="4" t="n">
        <v>46316</v>
      </c>
      <c r="I4" s="3" t="n">
        <f aca="false">IF(ISNUMBER(C4),C4*Urg_MEDIUM,"")</f>
        <v>690</v>
      </c>
      <c r="J4" s="3" t="n">
        <f aca="false">IF(ISNUMBER(C4),C4*Urg_HIGH,"")</f>
        <v>780</v>
      </c>
      <c r="K4" s="3" t="n">
        <f aca="false">IF(ISNUMBER(C4),C4*Urg_EMERGENCY,"")</f>
        <v>900</v>
      </c>
      <c r="L4" s="0" t="s">
        <v>27</v>
      </c>
      <c r="M4" s="0" t="s">
        <v>2347</v>
      </c>
    </row>
    <row r="5" customFormat="false" ht="15" hidden="false" customHeight="false" outlineLevel="0" collapsed="false">
      <c r="A5" s="0" t="s">
        <v>618</v>
      </c>
      <c r="B5" s="3" t="n">
        <v>300</v>
      </c>
      <c r="C5" s="3" t="n">
        <v>600</v>
      </c>
      <c r="D5" s="3" t="n">
        <v>800</v>
      </c>
      <c r="E5" s="0" t="s">
        <v>2348</v>
      </c>
      <c r="F5" s="0" t="s">
        <v>2349</v>
      </c>
      <c r="G5" s="0" t="s">
        <v>2350</v>
      </c>
      <c r="H5" s="4" t="n">
        <v>46316</v>
      </c>
      <c r="I5" s="3" t="n">
        <f aca="false">IF(ISNUMBER(C5),C5*Urg_MEDIUM,"")</f>
        <v>690</v>
      </c>
      <c r="J5" s="3" t="n">
        <f aca="false">IF(ISNUMBER(C5),C5*Urg_HIGH,"")</f>
        <v>780</v>
      </c>
      <c r="K5" s="3" t="n">
        <f aca="false">IF(ISNUMBER(C5),C5*Urg_EMERGENCY,"")</f>
        <v>900</v>
      </c>
      <c r="L5" s="0" t="s">
        <v>27</v>
      </c>
    </row>
    <row r="6" customFormat="false" ht="15" hidden="false" customHeight="false" outlineLevel="0" collapsed="false">
      <c r="A6" s="0" t="s">
        <v>646</v>
      </c>
      <c r="B6" s="3" t="n">
        <v>0</v>
      </c>
      <c r="C6" s="3" t="n">
        <v>0</v>
      </c>
      <c r="D6" s="3" t="n">
        <v>0</v>
      </c>
      <c r="E6" s="0" t="s">
        <v>719</v>
      </c>
      <c r="F6" s="0" t="s">
        <v>2351</v>
      </c>
      <c r="G6" s="0" t="s">
        <v>2281</v>
      </c>
      <c r="H6" s="4" t="n">
        <v>46316</v>
      </c>
      <c r="I6" s="3" t="n">
        <f aca="false">IF(ISNUMBER(C6),C6*Urg_MEDIUM,"")</f>
        <v>0</v>
      </c>
      <c r="J6" s="3" t="n">
        <f aca="false">IF(ISNUMBER(C6),C6*Urg_HIGH,"")</f>
        <v>0</v>
      </c>
      <c r="K6" s="3" t="n">
        <f aca="false">IF(ISNUMBER(C6),C6*Urg_EMERGENCY,"")</f>
        <v>0</v>
      </c>
      <c r="L6" s="0" t="s">
        <v>27</v>
      </c>
      <c r="M6" s="0" t="s">
        <v>2352</v>
      </c>
    </row>
    <row r="7" customFormat="false" ht="15" hidden="false" customHeight="false" outlineLevel="0" collapsed="false">
      <c r="A7" s="0" t="s">
        <v>2353</v>
      </c>
      <c r="B7" s="3"/>
      <c r="C7" s="3"/>
      <c r="D7" s="3"/>
      <c r="F7" s="0" t="s">
        <v>2354</v>
      </c>
      <c r="H7" s="4" t="n">
        <v>46316</v>
      </c>
      <c r="I7" s="3" t="str">
        <f aca="false">IF(ISNUMBER(C7),C7*Urg_MEDIUM,"")</f>
        <v/>
      </c>
      <c r="J7" s="3" t="str">
        <f aca="false">IF(ISNUMBER(C7),C7*Urg_HIGH,"")</f>
        <v/>
      </c>
      <c r="K7" s="3" t="str">
        <f aca="false">IF(ISNUMBER(C7),C7*Urg_EMERGENCY,"")</f>
        <v/>
      </c>
      <c r="L7" s="0" t="s">
        <v>2355</v>
      </c>
      <c r="M7" s="0" t="s">
        <v>2356</v>
      </c>
    </row>
    <row r="8" customFormat="false" ht="15" hidden="false" customHeight="false" outlineLevel="0" collapsed="false">
      <c r="A8" s="0" t="s">
        <v>699</v>
      </c>
      <c r="B8" s="3"/>
      <c r="C8" s="3"/>
      <c r="D8" s="3"/>
      <c r="F8" s="0" t="s">
        <v>2357</v>
      </c>
      <c r="H8" s="4" t="n">
        <v>46316</v>
      </c>
      <c r="I8" s="3" t="str">
        <f aca="false">IF(ISNUMBER(C8),C8*Urg_MEDIUM,"")</f>
        <v/>
      </c>
      <c r="J8" s="3" t="str">
        <f aca="false">IF(ISNUMBER(C8),C8*Urg_HIGH,"")</f>
        <v/>
      </c>
      <c r="K8" s="3" t="str">
        <f aca="false">IF(ISNUMBER(C8),C8*Urg_EMERGENCY,"")</f>
        <v/>
      </c>
      <c r="L8" s="0" t="s">
        <v>2355</v>
      </c>
    </row>
    <row r="9" customFormat="false" ht="15" hidden="false" customHeight="false" outlineLevel="0" collapsed="false">
      <c r="A9" s="0" t="s">
        <v>2358</v>
      </c>
      <c r="B9" s="3"/>
      <c r="C9" s="3"/>
      <c r="D9" s="3"/>
      <c r="F9" s="0" t="s">
        <v>2354</v>
      </c>
      <c r="H9" s="4" t="n">
        <v>46316</v>
      </c>
      <c r="I9" s="3" t="str">
        <f aca="false">IF(ISNUMBER(C9),C9*Urg_MEDIUM,"")</f>
        <v/>
      </c>
      <c r="J9" s="3" t="str">
        <f aca="false">IF(ISNUMBER(C9),C9*Urg_HIGH,"")</f>
        <v/>
      </c>
      <c r="K9" s="3" t="str">
        <f aca="false">IF(ISNUMBER(C9),C9*Urg_EMERGENCY,"")</f>
        <v/>
      </c>
      <c r="L9" s="0" t="s">
        <v>2355</v>
      </c>
    </row>
    <row r="11" customFormat="false" ht="15" hidden="false" customHeight="false" outlineLevel="0" collapsed="false">
      <c r="A11" s="0" t="s">
        <v>2359</v>
      </c>
    </row>
  </sheetData>
  <autoFilter ref="A1:M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12"/>
    <col collapsed="false" customWidth="true" hidden="false" outlineLevel="0" max="4" min="4" style="0" width="60"/>
    <col collapsed="false" customWidth="true" hidden="false" outlineLevel="0" max="5" min="5" style="0" width="30"/>
  </cols>
  <sheetData>
    <row r="1" customFormat="false" ht="15" hidden="false" customHeight="false" outlineLevel="0" collapsed="false">
      <c r="A1" s="1" t="s">
        <v>2360</v>
      </c>
      <c r="B1" s="1" t="s">
        <v>2361</v>
      </c>
      <c r="C1" s="1" t="s">
        <v>1</v>
      </c>
      <c r="D1" s="1" t="s">
        <v>1027</v>
      </c>
      <c r="E1" s="1" t="s">
        <v>2362</v>
      </c>
    </row>
    <row r="2" customFormat="false" ht="15" hidden="false" customHeight="false" outlineLevel="0" collapsed="false">
      <c r="A2" s="0" t="s">
        <v>2363</v>
      </c>
      <c r="B2" s="0" t="s">
        <v>1040</v>
      </c>
      <c r="C2" s="0" t="s">
        <v>20</v>
      </c>
      <c r="D2" s="0" t="s">
        <v>1041</v>
      </c>
      <c r="E2" s="0" t="s">
        <v>2364</v>
      </c>
    </row>
    <row r="3" customFormat="false" ht="15" hidden="false" customHeight="false" outlineLevel="0" collapsed="false">
      <c r="A3" s="0" t="s">
        <v>1053</v>
      </c>
      <c r="B3" s="0" t="s">
        <v>1053</v>
      </c>
      <c r="C3" s="0" t="s">
        <v>52</v>
      </c>
      <c r="D3" s="0" t="s">
        <v>1054</v>
      </c>
      <c r="E3" s="0" t="s">
        <v>2365</v>
      </c>
    </row>
    <row r="4" customFormat="false" ht="15" hidden="false" customHeight="false" outlineLevel="0" collapsed="false">
      <c r="A4" s="0" t="s">
        <v>1064</v>
      </c>
      <c r="B4" s="0" t="s">
        <v>1064</v>
      </c>
      <c r="C4" s="0" t="s">
        <v>52</v>
      </c>
      <c r="D4" s="0" t="s">
        <v>1065</v>
      </c>
      <c r="E4" s="0" t="s">
        <v>2365</v>
      </c>
    </row>
    <row r="5" customFormat="false" ht="15" hidden="false" customHeight="false" outlineLevel="0" collapsed="false">
      <c r="A5" s="0" t="s">
        <v>1082</v>
      </c>
      <c r="B5" s="0" t="s">
        <v>1082</v>
      </c>
      <c r="C5" s="0" t="s">
        <v>107</v>
      </c>
      <c r="D5" s="0" t="s">
        <v>1083</v>
      </c>
      <c r="E5" s="0" t="s">
        <v>2365</v>
      </c>
    </row>
    <row r="6" customFormat="false" ht="15" hidden="false" customHeight="false" outlineLevel="0" collapsed="false">
      <c r="A6" s="0" t="s">
        <v>1088</v>
      </c>
      <c r="B6" s="0" t="s">
        <v>1088</v>
      </c>
      <c r="C6" s="0" t="s">
        <v>107</v>
      </c>
      <c r="D6" s="0" t="s">
        <v>1089</v>
      </c>
      <c r="E6" s="0" t="s">
        <v>2365</v>
      </c>
    </row>
    <row r="7" customFormat="false" ht="15" hidden="false" customHeight="false" outlineLevel="0" collapsed="false">
      <c r="A7" s="0" t="s">
        <v>1097</v>
      </c>
      <c r="B7" s="0" t="s">
        <v>1097</v>
      </c>
      <c r="C7" s="0" t="s">
        <v>107</v>
      </c>
      <c r="D7" s="0" t="s">
        <v>1098</v>
      </c>
      <c r="E7" s="0" t="s">
        <v>2365</v>
      </c>
    </row>
    <row r="8" customFormat="false" ht="15" hidden="false" customHeight="false" outlineLevel="0" collapsed="false">
      <c r="A8" s="0" t="s">
        <v>1117</v>
      </c>
      <c r="B8" s="0" t="s">
        <v>1117</v>
      </c>
      <c r="C8" s="0" t="s">
        <v>107</v>
      </c>
      <c r="D8" s="0" t="s">
        <v>1118</v>
      </c>
      <c r="E8" s="0" t="s">
        <v>2365</v>
      </c>
    </row>
    <row r="9" customFormat="false" ht="15" hidden="false" customHeight="false" outlineLevel="0" collapsed="false">
      <c r="A9" s="0" t="s">
        <v>1126</v>
      </c>
      <c r="B9" s="0" t="s">
        <v>1126</v>
      </c>
      <c r="C9" s="0" t="s">
        <v>176</v>
      </c>
      <c r="D9" s="0" t="s">
        <v>1127</v>
      </c>
      <c r="E9" s="0" t="s">
        <v>2365</v>
      </c>
    </row>
    <row r="10" customFormat="false" ht="15" hidden="false" customHeight="false" outlineLevel="0" collapsed="false">
      <c r="A10" s="0" t="s">
        <v>2366</v>
      </c>
      <c r="B10" s="0" t="s">
        <v>1136</v>
      </c>
      <c r="C10" s="0" t="s">
        <v>176</v>
      </c>
      <c r="D10" s="0" t="s">
        <v>1137</v>
      </c>
      <c r="E10" s="0" t="s">
        <v>2364</v>
      </c>
    </row>
    <row r="11" customFormat="false" ht="15" hidden="false" customHeight="false" outlineLevel="0" collapsed="false">
      <c r="A11" s="0" t="s">
        <v>2367</v>
      </c>
      <c r="B11" s="0" t="s">
        <v>1151</v>
      </c>
      <c r="C11" s="0" t="s">
        <v>176</v>
      </c>
      <c r="D11" s="0" t="s">
        <v>1152</v>
      </c>
      <c r="E11" s="0" t="s">
        <v>2364</v>
      </c>
    </row>
    <row r="12" customFormat="false" ht="15" hidden="false" customHeight="false" outlineLevel="0" collapsed="false">
      <c r="A12" s="0" t="s">
        <v>1161</v>
      </c>
      <c r="B12" s="0" t="s">
        <v>1161</v>
      </c>
      <c r="C12" s="0" t="s">
        <v>229</v>
      </c>
      <c r="D12" s="0" t="s">
        <v>1162</v>
      </c>
      <c r="E12" s="0" t="s">
        <v>2365</v>
      </c>
    </row>
    <row r="13" customFormat="false" ht="15" hidden="false" customHeight="false" outlineLevel="0" collapsed="false">
      <c r="A13" s="0" t="s">
        <v>1171</v>
      </c>
      <c r="B13" s="0" t="s">
        <v>1171</v>
      </c>
      <c r="C13" s="0" t="s">
        <v>229</v>
      </c>
      <c r="D13" s="0" t="s">
        <v>1172</v>
      </c>
      <c r="E13" s="0" t="s">
        <v>2365</v>
      </c>
    </row>
    <row r="14" customFormat="false" ht="15" hidden="false" customHeight="false" outlineLevel="0" collapsed="false">
      <c r="A14" s="0" t="s">
        <v>1178</v>
      </c>
      <c r="B14" s="0" t="s">
        <v>1178</v>
      </c>
      <c r="C14" s="0" t="s">
        <v>229</v>
      </c>
      <c r="D14" s="0" t="s">
        <v>1179</v>
      </c>
      <c r="E14" s="0" t="s">
        <v>2365</v>
      </c>
    </row>
    <row r="15" customFormat="false" ht="15" hidden="false" customHeight="false" outlineLevel="0" collapsed="false">
      <c r="A15" s="0" t="s">
        <v>1185</v>
      </c>
      <c r="B15" s="0" t="s">
        <v>1185</v>
      </c>
      <c r="C15" s="0" t="s">
        <v>273</v>
      </c>
      <c r="D15" s="0" t="s">
        <v>1186</v>
      </c>
      <c r="E15" s="0" t="s">
        <v>2365</v>
      </c>
    </row>
    <row r="16" customFormat="false" ht="15" hidden="false" customHeight="false" outlineLevel="0" collapsed="false">
      <c r="A16" s="0" t="s">
        <v>1228</v>
      </c>
      <c r="B16" s="0" t="s">
        <v>1228</v>
      </c>
      <c r="C16" s="0" t="s">
        <v>273</v>
      </c>
      <c r="D16" s="0" t="s">
        <v>1229</v>
      </c>
      <c r="E16" s="0" t="s">
        <v>2365</v>
      </c>
    </row>
    <row r="17" customFormat="false" ht="15" hidden="false" customHeight="false" outlineLevel="0" collapsed="false">
      <c r="A17" s="0" t="s">
        <v>1249</v>
      </c>
      <c r="B17" s="0" t="s">
        <v>1249</v>
      </c>
      <c r="C17" s="0" t="s">
        <v>273</v>
      </c>
      <c r="D17" s="0" t="s">
        <v>1250</v>
      </c>
      <c r="E17" s="0" t="s">
        <v>2365</v>
      </c>
    </row>
    <row r="18" customFormat="false" ht="15" hidden="false" customHeight="false" outlineLevel="0" collapsed="false">
      <c r="A18" s="0" t="s">
        <v>1267</v>
      </c>
      <c r="B18" s="0" t="s">
        <v>1267</v>
      </c>
      <c r="C18" s="0" t="s">
        <v>397</v>
      </c>
      <c r="D18" s="0" t="s">
        <v>1268</v>
      </c>
      <c r="E18" s="0" t="s">
        <v>2365</v>
      </c>
    </row>
    <row r="19" customFormat="false" ht="15" hidden="false" customHeight="false" outlineLevel="0" collapsed="false">
      <c r="A19" s="0" t="s">
        <v>2368</v>
      </c>
      <c r="B19" s="0" t="s">
        <v>1284</v>
      </c>
      <c r="C19" s="0" t="s">
        <v>397</v>
      </c>
      <c r="D19" s="0" t="s">
        <v>1285</v>
      </c>
      <c r="E19" s="0" t="s">
        <v>2364</v>
      </c>
    </row>
    <row r="20" customFormat="false" ht="15" hidden="false" customHeight="false" outlineLevel="0" collapsed="false">
      <c r="A20" s="0" t="s">
        <v>1284</v>
      </c>
      <c r="B20" s="0" t="s">
        <v>1291</v>
      </c>
      <c r="C20" s="0" t="s">
        <v>397</v>
      </c>
      <c r="D20" s="0" t="s">
        <v>1292</v>
      </c>
      <c r="E20" s="0" t="s">
        <v>2364</v>
      </c>
    </row>
    <row r="21" customFormat="false" ht="15" hidden="false" customHeight="false" outlineLevel="0" collapsed="false">
      <c r="A21" s="0" t="s">
        <v>1318</v>
      </c>
      <c r="B21" s="0" t="s">
        <v>1318</v>
      </c>
      <c r="C21" s="0" t="s">
        <v>496</v>
      </c>
      <c r="D21" s="0" t="s">
        <v>1319</v>
      </c>
      <c r="E21" s="0" t="s">
        <v>2365</v>
      </c>
    </row>
    <row r="22" customFormat="false" ht="15" hidden="false" customHeight="false" outlineLevel="0" collapsed="false">
      <c r="A22" s="0" t="s">
        <v>1334</v>
      </c>
      <c r="B22" s="0" t="s">
        <v>1334</v>
      </c>
      <c r="C22" s="0" t="s">
        <v>496</v>
      </c>
      <c r="D22" s="0" t="s">
        <v>1335</v>
      </c>
      <c r="E22" s="0" t="s">
        <v>2365</v>
      </c>
    </row>
    <row r="23" customFormat="false" ht="15" hidden="false" customHeight="false" outlineLevel="0" collapsed="false">
      <c r="A23" s="0" t="s">
        <v>1365</v>
      </c>
      <c r="B23" s="0" t="s">
        <v>1365</v>
      </c>
      <c r="C23" s="0" t="s">
        <v>496</v>
      </c>
      <c r="D23" s="0" t="s">
        <v>1366</v>
      </c>
      <c r="E23" s="0" t="s">
        <v>2365</v>
      </c>
    </row>
    <row r="24" customFormat="false" ht="15" hidden="false" customHeight="false" outlineLevel="0" collapsed="false">
      <c r="A24" s="0" t="s">
        <v>1372</v>
      </c>
      <c r="B24" s="0" t="s">
        <v>1372</v>
      </c>
      <c r="C24" s="0" t="s">
        <v>590</v>
      </c>
      <c r="D24" s="0" t="s">
        <v>1373</v>
      </c>
      <c r="E24" s="0" t="s">
        <v>2365</v>
      </c>
    </row>
    <row r="25" customFormat="false" ht="15" hidden="false" customHeight="false" outlineLevel="0" collapsed="false">
      <c r="A25" s="0" t="s">
        <v>1386</v>
      </c>
      <c r="B25" s="0" t="s">
        <v>1386</v>
      </c>
      <c r="C25" s="0" t="s">
        <v>618</v>
      </c>
      <c r="D25" s="0" t="s">
        <v>1387</v>
      </c>
      <c r="E25" s="0" t="s">
        <v>2365</v>
      </c>
    </row>
    <row r="26" customFormat="false" ht="15" hidden="false" customHeight="false" outlineLevel="0" collapsed="false">
      <c r="A26" s="0" t="s">
        <v>1396</v>
      </c>
      <c r="B26" s="0" t="s">
        <v>1396</v>
      </c>
      <c r="C26" s="0" t="s">
        <v>618</v>
      </c>
      <c r="D26" s="0" t="s">
        <v>1397</v>
      </c>
      <c r="E26" s="0" t="s">
        <v>2365</v>
      </c>
    </row>
    <row r="27" customFormat="false" ht="15" hidden="false" customHeight="false" outlineLevel="0" collapsed="false">
      <c r="A27" s="0" t="s">
        <v>1415</v>
      </c>
      <c r="B27" s="0" t="s">
        <v>1415</v>
      </c>
      <c r="C27" s="0" t="s">
        <v>646</v>
      </c>
      <c r="D27" s="0" t="s">
        <v>1416</v>
      </c>
      <c r="E27" s="0" t="s">
        <v>2365</v>
      </c>
    </row>
    <row r="28" customFormat="false" ht="15" hidden="false" customHeight="false" outlineLevel="0" collapsed="false">
      <c r="A28" s="0" t="s">
        <v>1430</v>
      </c>
      <c r="B28" s="0" t="s">
        <v>1430</v>
      </c>
      <c r="C28" s="0" t="s">
        <v>677</v>
      </c>
      <c r="D28" s="0" t="s">
        <v>1431</v>
      </c>
      <c r="E28" s="0" t="s">
        <v>2365</v>
      </c>
    </row>
    <row r="29" customFormat="false" ht="15" hidden="false" customHeight="false" outlineLevel="0" collapsed="false">
      <c r="A29" s="0" t="s">
        <v>1439</v>
      </c>
      <c r="B29" s="0" t="s">
        <v>1439</v>
      </c>
      <c r="C29" s="0" t="s">
        <v>677</v>
      </c>
      <c r="D29" s="0" t="s">
        <v>1440</v>
      </c>
      <c r="E29" s="0" t="s">
        <v>2365</v>
      </c>
    </row>
    <row r="30" customFormat="false" ht="15" hidden="false" customHeight="false" outlineLevel="0" collapsed="false">
      <c r="A30" s="0" t="s">
        <v>1454</v>
      </c>
      <c r="B30" s="0" t="s">
        <v>1454</v>
      </c>
      <c r="C30" s="0" t="s">
        <v>699</v>
      </c>
      <c r="D30" s="0" t="s">
        <v>1455</v>
      </c>
      <c r="E30" s="0" t="s">
        <v>2365</v>
      </c>
    </row>
    <row r="31" customFormat="false" ht="15" hidden="false" customHeight="false" outlineLevel="0" collapsed="false">
      <c r="A31" s="0" t="s">
        <v>1460</v>
      </c>
      <c r="B31" s="0" t="s">
        <v>1460</v>
      </c>
      <c r="C31" s="0" t="s">
        <v>699</v>
      </c>
      <c r="D31" s="0" t="s">
        <v>1461</v>
      </c>
      <c r="E31" s="0" t="s">
        <v>2365</v>
      </c>
    </row>
    <row r="32" customFormat="false" ht="15" hidden="false" customHeight="false" outlineLevel="0" collapsed="false">
      <c r="A32" s="0" t="s">
        <v>1555</v>
      </c>
      <c r="B32" s="0" t="s">
        <v>1555</v>
      </c>
      <c r="C32" s="0" t="s">
        <v>107</v>
      </c>
      <c r="D32" s="0" t="s">
        <v>1556</v>
      </c>
      <c r="E32" s="0" t="s">
        <v>2365</v>
      </c>
    </row>
    <row r="33" customFormat="false" ht="15" hidden="false" customHeight="false" outlineLevel="0" collapsed="false">
      <c r="A33" s="0" t="s">
        <v>1569</v>
      </c>
      <c r="B33" s="0" t="s">
        <v>1569</v>
      </c>
      <c r="C33" s="0" t="s">
        <v>107</v>
      </c>
      <c r="D33" s="0" t="s">
        <v>1570</v>
      </c>
      <c r="E33" s="0" t="s">
        <v>2365</v>
      </c>
    </row>
    <row r="34" customFormat="false" ht="15" hidden="false" customHeight="false" outlineLevel="0" collapsed="false">
      <c r="A34" s="0" t="s">
        <v>1596</v>
      </c>
      <c r="B34" s="0" t="s">
        <v>1596</v>
      </c>
      <c r="C34" s="0" t="s">
        <v>176</v>
      </c>
      <c r="D34" s="0" t="s">
        <v>1597</v>
      </c>
      <c r="E34" s="0" t="s">
        <v>2365</v>
      </c>
    </row>
    <row r="35" customFormat="false" ht="15" hidden="false" customHeight="false" outlineLevel="0" collapsed="false">
      <c r="A35" s="0" t="s">
        <v>1620</v>
      </c>
      <c r="B35" s="0" t="s">
        <v>1620</v>
      </c>
      <c r="C35" s="0" t="s">
        <v>176</v>
      </c>
      <c r="D35" s="0" t="s">
        <v>1621</v>
      </c>
      <c r="E35" s="0" t="s">
        <v>2365</v>
      </c>
    </row>
    <row r="36" customFormat="false" ht="15" hidden="false" customHeight="false" outlineLevel="0" collapsed="false">
      <c r="A36" s="0" t="s">
        <v>1657</v>
      </c>
      <c r="B36" s="0" t="s">
        <v>1657</v>
      </c>
      <c r="C36" s="0" t="s">
        <v>939</v>
      </c>
      <c r="D36" s="0" t="s">
        <v>1658</v>
      </c>
      <c r="E36" s="0" t="s">
        <v>2365</v>
      </c>
    </row>
    <row r="37" customFormat="false" ht="15" hidden="false" customHeight="false" outlineLevel="0" collapsed="false">
      <c r="A37" s="0" t="s">
        <v>1703</v>
      </c>
      <c r="B37" s="0" t="s">
        <v>1703</v>
      </c>
      <c r="C37" s="0" t="s">
        <v>939</v>
      </c>
      <c r="D37" s="0" t="s">
        <v>1704</v>
      </c>
      <c r="E37" s="0" t="s">
        <v>2365</v>
      </c>
    </row>
    <row r="38" customFormat="false" ht="15" hidden="false" customHeight="false" outlineLevel="0" collapsed="false">
      <c r="A38" s="0" t="s">
        <v>1745</v>
      </c>
      <c r="B38" s="0" t="s">
        <v>1745</v>
      </c>
      <c r="C38" s="0" t="s">
        <v>939</v>
      </c>
      <c r="D38" s="0" t="s">
        <v>1746</v>
      </c>
      <c r="E38" s="0" t="s">
        <v>2365</v>
      </c>
    </row>
    <row r="39" customFormat="false" ht="15" hidden="false" customHeight="false" outlineLevel="0" collapsed="false">
      <c r="A39" s="0" t="s">
        <v>1782</v>
      </c>
      <c r="B39" s="0" t="s">
        <v>1782</v>
      </c>
      <c r="C39" s="0" t="s">
        <v>939</v>
      </c>
      <c r="D39" s="0" t="s">
        <v>1783</v>
      </c>
      <c r="E39" s="0" t="s">
        <v>2365</v>
      </c>
    </row>
    <row r="40" customFormat="false" ht="15" hidden="false" customHeight="false" outlineLevel="0" collapsed="false">
      <c r="A40" s="0" t="s">
        <v>1810</v>
      </c>
      <c r="B40" s="0" t="s">
        <v>1810</v>
      </c>
      <c r="C40" s="0" t="s">
        <v>939</v>
      </c>
      <c r="D40" s="0" t="s">
        <v>1811</v>
      </c>
      <c r="E40" s="0" t="s">
        <v>2365</v>
      </c>
    </row>
    <row r="41" customFormat="false" ht="15" hidden="false" customHeight="false" outlineLevel="0" collapsed="false">
      <c r="A41" s="0" t="s">
        <v>1819</v>
      </c>
      <c r="B41" s="0" t="s">
        <v>1819</v>
      </c>
      <c r="C41" s="0" t="s">
        <v>939</v>
      </c>
      <c r="D41" s="0" t="s">
        <v>1820</v>
      </c>
      <c r="E41" s="0" t="s">
        <v>2365</v>
      </c>
    </row>
    <row r="42" customFormat="false" ht="15" hidden="false" customHeight="false" outlineLevel="0" collapsed="false">
      <c r="A42" s="0" t="s">
        <v>1827</v>
      </c>
      <c r="B42" s="0" t="s">
        <v>1827</v>
      </c>
      <c r="C42" s="0" t="s">
        <v>939</v>
      </c>
      <c r="D42" s="0" t="s">
        <v>1828</v>
      </c>
      <c r="E42" s="0" t="s">
        <v>2365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3" min="3" style="0" width="110"/>
  </cols>
  <sheetData>
    <row r="1" customFormat="false" ht="15" hidden="false" customHeight="false" outlineLevel="0" collapsed="false">
      <c r="A1" s="1" t="s">
        <v>2369</v>
      </c>
      <c r="B1" s="1" t="s">
        <v>2370</v>
      </c>
      <c r="C1" s="1" t="s">
        <v>2371</v>
      </c>
    </row>
    <row r="2" customFormat="false" ht="15" hidden="false" customHeight="false" outlineLevel="0" collapsed="false">
      <c r="A2" s="0" t="n">
        <v>1</v>
      </c>
      <c r="B2" s="0" t="s">
        <v>2372</v>
      </c>
      <c r="C2" s="16" t="s">
        <v>2373</v>
      </c>
    </row>
    <row r="3" customFormat="false" ht="15" hidden="false" customHeight="false" outlineLevel="0" collapsed="false">
      <c r="A3" s="0" t="n">
        <v>2</v>
      </c>
      <c r="B3" s="0" t="s">
        <v>2374</v>
      </c>
      <c r="C3" s="16" t="s">
        <v>2375</v>
      </c>
    </row>
    <row r="4" customFormat="false" ht="15" hidden="false" customHeight="false" outlineLevel="0" collapsed="false">
      <c r="A4" s="0" t="n">
        <v>3</v>
      </c>
      <c r="B4" s="0" t="s">
        <v>2376</v>
      </c>
      <c r="C4" s="16" t="s">
        <v>2377</v>
      </c>
    </row>
    <row r="5" customFormat="false" ht="15" hidden="false" customHeight="false" outlineLevel="0" collapsed="false">
      <c r="A5" s="0" t="n">
        <v>4</v>
      </c>
      <c r="B5" s="0" t="s">
        <v>2378</v>
      </c>
      <c r="C5" s="16" t="s">
        <v>2379</v>
      </c>
    </row>
    <row r="6" customFormat="false" ht="15" hidden="false" customHeight="false" outlineLevel="0" collapsed="false">
      <c r="A6" s="0" t="n">
        <v>5</v>
      </c>
      <c r="B6" s="0" t="s">
        <v>2380</v>
      </c>
      <c r="C6" s="16" t="s">
        <v>2381</v>
      </c>
    </row>
    <row r="7" customFormat="false" ht="15" hidden="false" customHeight="false" outlineLevel="0" collapsed="false">
      <c r="A7" s="0" t="n">
        <v>6</v>
      </c>
      <c r="B7" s="0" t="s">
        <v>2382</v>
      </c>
      <c r="C7" s="16" t="s">
        <v>2383</v>
      </c>
    </row>
    <row r="8" customFormat="false" ht="28.35" hidden="false" customHeight="false" outlineLevel="0" collapsed="false">
      <c r="A8" s="0" t="n">
        <v>7</v>
      </c>
      <c r="B8" s="0" t="s">
        <v>2384</v>
      </c>
      <c r="C8" s="16" t="s">
        <v>2385</v>
      </c>
    </row>
    <row r="9" customFormat="false" ht="15" hidden="false" customHeight="false" outlineLevel="0" collapsed="false">
      <c r="A9" s="0" t="n">
        <v>8</v>
      </c>
      <c r="B9" s="0" t="s">
        <v>2386</v>
      </c>
      <c r="C9" s="16" t="s">
        <v>2387</v>
      </c>
    </row>
    <row r="10" customFormat="false" ht="15" hidden="false" customHeight="false" outlineLevel="0" collapsed="false">
      <c r="A10" s="0" t="n">
        <v>9</v>
      </c>
      <c r="B10" s="0" t="s">
        <v>2388</v>
      </c>
      <c r="C10" s="16" t="s">
        <v>2389</v>
      </c>
    </row>
    <row r="11" customFormat="false" ht="15" hidden="false" customHeight="false" outlineLevel="0" collapsed="false">
      <c r="A11" s="0" t="n">
        <v>10</v>
      </c>
      <c r="B11" s="0" t="s">
        <v>2390</v>
      </c>
      <c r="C11" s="16" t="s">
        <v>2391</v>
      </c>
    </row>
    <row r="12" customFormat="false" ht="15" hidden="false" customHeight="false" outlineLevel="0" collapsed="false">
      <c r="A12" s="0" t="n">
        <v>11</v>
      </c>
      <c r="B12" s="0" t="s">
        <v>2392</v>
      </c>
      <c r="C12" s="16" t="s">
        <v>2393</v>
      </c>
    </row>
    <row r="13" customFormat="false" ht="15" hidden="false" customHeight="false" outlineLevel="0" collapsed="false">
      <c r="A13" s="0" t="n">
        <v>12</v>
      </c>
      <c r="B13" s="0" t="s">
        <v>2394</v>
      </c>
      <c r="C13" s="16" t="s">
        <v>2395</v>
      </c>
    </row>
    <row r="14" customFormat="false" ht="15" hidden="false" customHeight="false" outlineLevel="0" collapsed="false">
      <c r="A14" s="0" t="n">
        <v>13</v>
      </c>
      <c r="B14" s="0" t="s">
        <v>2396</v>
      </c>
      <c r="C14" s="16" t="s">
        <v>2397</v>
      </c>
    </row>
    <row r="15" customFormat="false" ht="15" hidden="false" customHeight="false" outlineLevel="0" collapsed="false">
      <c r="A15" s="0" t="n">
        <v>14</v>
      </c>
      <c r="B15" s="0" t="s">
        <v>2398</v>
      </c>
      <c r="C15" s="16" t="s">
        <v>2399</v>
      </c>
    </row>
    <row r="16" customFormat="false" ht="28.35" hidden="false" customHeight="false" outlineLevel="0" collapsed="false">
      <c r="A16" s="0" t="n">
        <v>15</v>
      </c>
      <c r="B16" s="0" t="s">
        <v>1882</v>
      </c>
      <c r="C16" s="16" t="s">
        <v>2400</v>
      </c>
    </row>
    <row r="17" customFormat="false" ht="28.35" hidden="false" customHeight="false" outlineLevel="0" collapsed="false">
      <c r="A17" s="0" t="n">
        <v>16</v>
      </c>
      <c r="B17" s="0" t="s">
        <v>2401</v>
      </c>
      <c r="C17" s="16" t="s">
        <v>2402</v>
      </c>
    </row>
    <row r="18" customFormat="false" ht="55.2" hidden="false" customHeight="false" outlineLevel="0" collapsed="false">
      <c r="A18" s="0" t="n">
        <v>17</v>
      </c>
      <c r="B18" s="0" t="s">
        <v>2403</v>
      </c>
      <c r="C18" s="16" t="s">
        <v>2404</v>
      </c>
    </row>
    <row r="19" customFormat="false" ht="15" hidden="false" customHeight="false" outlineLevel="0" collapsed="false">
      <c r="A19" s="0" t="n">
        <v>18</v>
      </c>
      <c r="B19" s="0" t="s">
        <v>2405</v>
      </c>
      <c r="C19" s="16" t="s">
        <v>2406</v>
      </c>
    </row>
    <row r="20" customFormat="false" ht="28.35" hidden="false" customHeight="false" outlineLevel="0" collapsed="false">
      <c r="A20" s="0" t="n">
        <v>19</v>
      </c>
      <c r="B20" s="0" t="s">
        <v>2407</v>
      </c>
      <c r="C20" s="16" t="s">
        <v>2408</v>
      </c>
    </row>
    <row r="21" customFormat="false" ht="41.75" hidden="false" customHeight="false" outlineLevel="0" collapsed="false">
      <c r="A21" s="0" t="n">
        <v>20</v>
      </c>
      <c r="B21" s="0" t="s">
        <v>2409</v>
      </c>
      <c r="C21" s="16" t="s">
        <v>2410</v>
      </c>
    </row>
    <row r="22" customFormat="false" ht="15" hidden="false" customHeight="false" outlineLevel="0" collapsed="false">
      <c r="A22" s="0" t="n">
        <v>21</v>
      </c>
      <c r="B22" s="0" t="s">
        <v>2411</v>
      </c>
      <c r="C22" s="16" t="s">
        <v>2412</v>
      </c>
    </row>
    <row r="23" customFormat="false" ht="15" hidden="false" customHeight="false" outlineLevel="0" collapsed="false">
      <c r="A23" s="0" t="n">
        <v>22</v>
      </c>
      <c r="B23" s="0" t="s">
        <v>2413</v>
      </c>
      <c r="C23" s="16" t="s">
        <v>2414</v>
      </c>
    </row>
    <row r="24" customFormat="false" ht="28.35" hidden="false" customHeight="false" outlineLevel="0" collapsed="false">
      <c r="A24" s="0" t="n">
        <v>23</v>
      </c>
      <c r="B24" s="0" t="s">
        <v>2415</v>
      </c>
      <c r="C24" s="16" t="s">
        <v>2416</v>
      </c>
    </row>
    <row r="25" customFormat="false" ht="41.75" hidden="false" customHeight="false" outlineLevel="0" collapsed="false">
      <c r="A25" s="0" t="n">
        <v>24</v>
      </c>
      <c r="B25" s="0" t="s">
        <v>2417</v>
      </c>
      <c r="C25" s="16" t="s">
        <v>2418</v>
      </c>
    </row>
    <row r="26" customFormat="false" ht="28.35" hidden="false" customHeight="false" outlineLevel="0" collapsed="false">
      <c r="A26" s="0" t="n">
        <v>25</v>
      </c>
      <c r="B26" s="0" t="s">
        <v>2419</v>
      </c>
      <c r="C26" s="16" t="s">
        <v>2420</v>
      </c>
    </row>
  </sheetData>
  <autoFilter ref="A1:C2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2"/>
    <col collapsed="false" customWidth="true" hidden="false" outlineLevel="0" max="3" min="3" style="0" width="90"/>
    <col collapsed="false" customWidth="true" hidden="false" outlineLevel="0" max="4" min="4" style="0" width="22"/>
    <col collapsed="false" customWidth="true" hidden="false" outlineLevel="0" max="5" min="5" style="0" width="9"/>
    <col collapsed="false" customWidth="true" hidden="false" outlineLevel="0" max="6" min="6" style="0" width="16"/>
  </cols>
  <sheetData>
    <row r="1" customFormat="false" ht="15" hidden="false" customHeight="false" outlineLevel="0" collapsed="false">
      <c r="A1" s="1" t="s">
        <v>2421</v>
      </c>
      <c r="B1" s="1" t="s">
        <v>2422</v>
      </c>
      <c r="C1" s="1" t="s">
        <v>2371</v>
      </c>
      <c r="D1" s="1" t="s">
        <v>2423</v>
      </c>
      <c r="E1" s="1" t="s">
        <v>1892</v>
      </c>
      <c r="F1" s="1" t="s">
        <v>2269</v>
      </c>
    </row>
    <row r="2" customFormat="false" ht="55.2" hidden="false" customHeight="false" outlineLevel="0" collapsed="false">
      <c r="A2" s="0" t="s">
        <v>2424</v>
      </c>
      <c r="B2" s="0" t="s">
        <v>2425</v>
      </c>
      <c r="C2" s="16" t="s">
        <v>2426</v>
      </c>
      <c r="D2" s="0" t="s">
        <v>2427</v>
      </c>
      <c r="E2" s="0" t="s">
        <v>2428</v>
      </c>
      <c r="F2" s="0" t="s">
        <v>2429</v>
      </c>
    </row>
    <row r="3" customFormat="false" ht="41.75" hidden="false" customHeight="false" outlineLevel="0" collapsed="false">
      <c r="A3" s="0" t="s">
        <v>2430</v>
      </c>
      <c r="B3" s="0" t="s">
        <v>2431</v>
      </c>
      <c r="C3" s="16" t="s">
        <v>2432</v>
      </c>
      <c r="D3" s="0" t="s">
        <v>2433</v>
      </c>
      <c r="E3" s="0" t="s">
        <v>2428</v>
      </c>
      <c r="F3" s="0" t="s">
        <v>2429</v>
      </c>
    </row>
    <row r="4" customFormat="false" ht="41.75" hidden="false" customHeight="false" outlineLevel="0" collapsed="false">
      <c r="A4" s="0" t="s">
        <v>2434</v>
      </c>
      <c r="B4" s="0" t="s">
        <v>2435</v>
      </c>
      <c r="C4" s="16" t="s">
        <v>2436</v>
      </c>
      <c r="D4" s="0" t="s">
        <v>1171</v>
      </c>
      <c r="E4" s="0" t="s">
        <v>2437</v>
      </c>
      <c r="F4" s="0" t="s">
        <v>2429</v>
      </c>
    </row>
    <row r="5" customFormat="false" ht="55.2" hidden="false" customHeight="false" outlineLevel="0" collapsed="false">
      <c r="A5" s="0" t="s">
        <v>2438</v>
      </c>
      <c r="B5" s="0" t="s">
        <v>2439</v>
      </c>
      <c r="C5" s="16" t="s">
        <v>2440</v>
      </c>
      <c r="D5" s="0" t="s">
        <v>1334</v>
      </c>
      <c r="E5" s="0" t="s">
        <v>2441</v>
      </c>
      <c r="F5" s="0" t="s">
        <v>2429</v>
      </c>
    </row>
    <row r="6" customFormat="false" ht="15" hidden="false" customHeight="false" outlineLevel="0" collapsed="false">
      <c r="A6" s="0" t="s">
        <v>2442</v>
      </c>
      <c r="B6" s="0" t="s">
        <v>2443</v>
      </c>
      <c r="C6" s="16" t="s">
        <v>2444</v>
      </c>
      <c r="D6" s="0" t="s">
        <v>366</v>
      </c>
      <c r="E6" s="0" t="s">
        <v>2437</v>
      </c>
      <c r="F6" s="0" t="s">
        <v>2429</v>
      </c>
    </row>
    <row r="7" customFormat="false" ht="15" hidden="false" customHeight="false" outlineLevel="0" collapsed="false">
      <c r="A7" s="0" t="s">
        <v>2445</v>
      </c>
      <c r="B7" s="0" t="s">
        <v>2446</v>
      </c>
      <c r="C7" s="16" t="s">
        <v>2447</v>
      </c>
      <c r="D7" s="0" t="s">
        <v>2448</v>
      </c>
      <c r="E7" s="0" t="s">
        <v>2437</v>
      </c>
      <c r="F7" s="0" t="s">
        <v>2429</v>
      </c>
    </row>
    <row r="8" customFormat="false" ht="15" hidden="false" customHeight="false" outlineLevel="0" collapsed="false">
      <c r="A8" s="0" t="s">
        <v>2449</v>
      </c>
      <c r="B8" s="0" t="s">
        <v>2450</v>
      </c>
      <c r="C8" s="16" t="s">
        <v>2451</v>
      </c>
      <c r="D8" s="0" t="s">
        <v>1267</v>
      </c>
      <c r="E8" s="0" t="s">
        <v>2437</v>
      </c>
      <c r="F8" s="0" t="s">
        <v>2429</v>
      </c>
    </row>
    <row r="9" customFormat="false" ht="41.75" hidden="false" customHeight="false" outlineLevel="0" collapsed="false">
      <c r="A9" s="0" t="s">
        <v>2452</v>
      </c>
      <c r="B9" s="0" t="s">
        <v>2453</v>
      </c>
      <c r="C9" s="16" t="s">
        <v>2454</v>
      </c>
      <c r="D9" s="0" t="s">
        <v>2455</v>
      </c>
      <c r="E9" s="0" t="s">
        <v>2441</v>
      </c>
      <c r="F9" s="0" t="s">
        <v>2456</v>
      </c>
    </row>
    <row r="10" customFormat="false" ht="55.2" hidden="false" customHeight="false" outlineLevel="0" collapsed="false">
      <c r="A10" s="0" t="s">
        <v>2457</v>
      </c>
      <c r="B10" s="0" t="s">
        <v>2458</v>
      </c>
      <c r="C10" s="16" t="s">
        <v>2459</v>
      </c>
      <c r="D10" s="0" t="s">
        <v>2460</v>
      </c>
      <c r="E10" s="0" t="s">
        <v>2428</v>
      </c>
      <c r="F10" s="0" t="s">
        <v>2456</v>
      </c>
    </row>
    <row r="11" customFormat="false" ht="28.35" hidden="false" customHeight="false" outlineLevel="0" collapsed="false">
      <c r="A11" s="0" t="s">
        <v>2461</v>
      </c>
      <c r="B11" s="0" t="s">
        <v>2462</v>
      </c>
      <c r="C11" s="16" t="s">
        <v>2463</v>
      </c>
      <c r="D11" s="0" t="s">
        <v>2367</v>
      </c>
      <c r="E11" s="0" t="s">
        <v>2437</v>
      </c>
      <c r="F11" s="0" t="s">
        <v>2456</v>
      </c>
    </row>
    <row r="12" customFormat="false" ht="15" hidden="false" customHeight="false" outlineLevel="0" collapsed="false">
      <c r="A12" s="0" t="s">
        <v>2464</v>
      </c>
      <c r="B12" s="0" t="s">
        <v>2465</v>
      </c>
      <c r="C12" s="16" t="s">
        <v>2466</v>
      </c>
      <c r="D12" s="0" t="s">
        <v>558</v>
      </c>
      <c r="E12" s="0" t="s">
        <v>2437</v>
      </c>
      <c r="F12" s="0" t="s">
        <v>2456</v>
      </c>
    </row>
    <row r="13" customFormat="false" ht="55.2" hidden="false" customHeight="false" outlineLevel="0" collapsed="false">
      <c r="A13" s="0" t="s">
        <v>2467</v>
      </c>
      <c r="B13" s="0" t="s">
        <v>2468</v>
      </c>
      <c r="C13" s="16" t="s">
        <v>2469</v>
      </c>
      <c r="D13" s="0" t="s">
        <v>2470</v>
      </c>
      <c r="E13" s="0" t="s">
        <v>2428</v>
      </c>
      <c r="F13" s="0" t="s">
        <v>2456</v>
      </c>
    </row>
    <row r="14" customFormat="false" ht="41.75" hidden="false" customHeight="false" outlineLevel="0" collapsed="false">
      <c r="A14" s="0" t="s">
        <v>2471</v>
      </c>
      <c r="B14" s="0" t="s">
        <v>2472</v>
      </c>
      <c r="C14" s="16" t="s">
        <v>2473</v>
      </c>
      <c r="D14" s="0" t="s">
        <v>2474</v>
      </c>
      <c r="E14" s="0" t="s">
        <v>2428</v>
      </c>
      <c r="F14" s="0" t="s">
        <v>2456</v>
      </c>
    </row>
    <row r="15" customFormat="false" ht="15" hidden="false" customHeight="false" outlineLevel="0" collapsed="false">
      <c r="A15" s="0" t="s">
        <v>2475</v>
      </c>
      <c r="B15" s="0" t="s">
        <v>2476</v>
      </c>
      <c r="C15" s="16" t="s">
        <v>2477</v>
      </c>
      <c r="D15" s="0" t="s">
        <v>2441</v>
      </c>
      <c r="E15" s="0" t="s">
        <v>2437</v>
      </c>
      <c r="F15" s="0" t="s">
        <v>2478</v>
      </c>
    </row>
    <row r="16" customFormat="false" ht="68.65" hidden="false" customHeight="false" outlineLevel="0" collapsed="false">
      <c r="A16" s="0" t="s">
        <v>2479</v>
      </c>
      <c r="B16" s="0" t="s">
        <v>2480</v>
      </c>
      <c r="C16" s="16" t="s">
        <v>2481</v>
      </c>
      <c r="D16" s="0" t="s">
        <v>1372</v>
      </c>
      <c r="E16" s="0" t="s">
        <v>2441</v>
      </c>
      <c r="F16" s="0" t="s">
        <v>2482</v>
      </c>
    </row>
    <row r="17" customFormat="false" ht="41.75" hidden="false" customHeight="false" outlineLevel="0" collapsed="false">
      <c r="A17" s="0" t="s">
        <v>2483</v>
      </c>
      <c r="B17" s="0" t="s">
        <v>2484</v>
      </c>
      <c r="C17" s="16" t="s">
        <v>2485</v>
      </c>
      <c r="D17" s="0" t="s">
        <v>2470</v>
      </c>
      <c r="E17" s="0" t="s">
        <v>2437</v>
      </c>
      <c r="F17" s="0" t="s">
        <v>2482</v>
      </c>
    </row>
    <row r="18" customFormat="false" ht="28.35" hidden="false" customHeight="false" outlineLevel="0" collapsed="false">
      <c r="A18" s="0" t="s">
        <v>2486</v>
      </c>
      <c r="B18" s="0" t="s">
        <v>2405</v>
      </c>
      <c r="C18" s="16" t="s">
        <v>2487</v>
      </c>
      <c r="D18" s="0" t="s">
        <v>2488</v>
      </c>
      <c r="E18" s="0" t="s">
        <v>2441</v>
      </c>
      <c r="F18" s="0" t="s">
        <v>2489</v>
      </c>
    </row>
    <row r="19" customFormat="false" ht="28.35" hidden="false" customHeight="false" outlineLevel="0" collapsed="false">
      <c r="A19" s="0" t="s">
        <v>2490</v>
      </c>
      <c r="B19" s="0" t="s">
        <v>2491</v>
      </c>
      <c r="C19" s="16" t="s">
        <v>2492</v>
      </c>
      <c r="D19" s="0" t="s">
        <v>2488</v>
      </c>
      <c r="E19" s="0" t="s">
        <v>2441</v>
      </c>
      <c r="F19" s="0" t="s">
        <v>2489</v>
      </c>
    </row>
    <row r="20" customFormat="false" ht="41.75" hidden="false" customHeight="false" outlineLevel="0" collapsed="false">
      <c r="A20" s="0" t="s">
        <v>2493</v>
      </c>
      <c r="B20" s="0" t="s">
        <v>2494</v>
      </c>
      <c r="C20" s="16" t="s">
        <v>2495</v>
      </c>
      <c r="D20" s="0" t="s">
        <v>2488</v>
      </c>
      <c r="E20" s="0" t="s">
        <v>2441</v>
      </c>
      <c r="F20" s="0" t="s">
        <v>2489</v>
      </c>
    </row>
    <row r="21" customFormat="false" ht="68.65" hidden="false" customHeight="false" outlineLevel="0" collapsed="false">
      <c r="A21" s="0" t="s">
        <v>2496</v>
      </c>
      <c r="B21" s="0" t="s">
        <v>2497</v>
      </c>
      <c r="C21" s="16" t="s">
        <v>2498</v>
      </c>
      <c r="D21" s="0" t="s">
        <v>2474</v>
      </c>
      <c r="E21" s="0" t="s">
        <v>2437</v>
      </c>
      <c r="F21" s="0" t="s">
        <v>2499</v>
      </c>
    </row>
    <row r="22" customFormat="false" ht="68.65" hidden="false" customHeight="false" outlineLevel="0" collapsed="false">
      <c r="A22" s="0" t="s">
        <v>2500</v>
      </c>
      <c r="B22" s="0" t="s">
        <v>2501</v>
      </c>
      <c r="C22" s="16" t="s">
        <v>2502</v>
      </c>
      <c r="D22" s="0" t="s">
        <v>2503</v>
      </c>
      <c r="E22" s="0" t="s">
        <v>2437</v>
      </c>
      <c r="F22" s="0" t="s">
        <v>2504</v>
      </c>
    </row>
    <row r="23" customFormat="false" ht="108.95" hidden="false" customHeight="false" outlineLevel="0" collapsed="false">
      <c r="A23" s="0" t="s">
        <v>2505</v>
      </c>
      <c r="B23" s="0" t="s">
        <v>2506</v>
      </c>
      <c r="C23" s="16" t="s">
        <v>2507</v>
      </c>
      <c r="D23" s="0" t="s">
        <v>2508</v>
      </c>
      <c r="E23" s="0" t="s">
        <v>2437</v>
      </c>
      <c r="F23" s="0" t="s">
        <v>2509</v>
      </c>
    </row>
    <row r="24" customFormat="false" ht="28.35" hidden="false" customHeight="false" outlineLevel="0" collapsed="false">
      <c r="A24" s="0" t="s">
        <v>2510</v>
      </c>
      <c r="B24" s="0" t="s">
        <v>2511</v>
      </c>
      <c r="C24" s="16" t="s">
        <v>2512</v>
      </c>
      <c r="D24" s="0" t="s">
        <v>2513</v>
      </c>
      <c r="E24" s="0" t="s">
        <v>2437</v>
      </c>
      <c r="F24" s="0" t="s">
        <v>2509</v>
      </c>
    </row>
    <row r="25" customFormat="false" ht="28.35" hidden="false" customHeight="false" outlineLevel="0" collapsed="false">
      <c r="A25" s="0" t="s">
        <v>2514</v>
      </c>
      <c r="B25" s="0" t="s">
        <v>2515</v>
      </c>
      <c r="C25" s="16" t="s">
        <v>2516</v>
      </c>
      <c r="D25" s="0" t="s">
        <v>2517</v>
      </c>
      <c r="E25" s="0" t="s">
        <v>2437</v>
      </c>
      <c r="F25" s="0" t="s">
        <v>2482</v>
      </c>
    </row>
    <row r="26" customFormat="false" ht="135.8" hidden="false" customHeight="false" outlineLevel="0" collapsed="false">
      <c r="A26" s="0" t="s">
        <v>2518</v>
      </c>
      <c r="B26" s="0" t="s">
        <v>2519</v>
      </c>
      <c r="C26" s="16" t="s">
        <v>2520</v>
      </c>
      <c r="D26" s="0" t="s">
        <v>2521</v>
      </c>
      <c r="E26" s="0" t="s">
        <v>2437</v>
      </c>
      <c r="F26" s="0" t="s">
        <v>2522</v>
      </c>
    </row>
    <row r="27" customFormat="false" ht="15" hidden="false" customHeight="false" outlineLevel="0" collapsed="false">
      <c r="A27" s="0" t="s">
        <v>2523</v>
      </c>
      <c r="B27" s="0" t="s">
        <v>2524</v>
      </c>
      <c r="C27" s="16" t="s">
        <v>2525</v>
      </c>
      <c r="D27" s="0" t="s">
        <v>1882</v>
      </c>
      <c r="E27" s="0" t="s">
        <v>2437</v>
      </c>
      <c r="F27" s="0" t="s">
        <v>2526</v>
      </c>
    </row>
    <row r="28" customFormat="false" ht="15" hidden="false" customHeight="false" outlineLevel="0" collapsed="false">
      <c r="A28" s="0" t="s">
        <v>2527</v>
      </c>
      <c r="B28" s="0" t="s">
        <v>2528</v>
      </c>
      <c r="C28" s="16" t="s">
        <v>2529</v>
      </c>
      <c r="D28" s="0" t="s">
        <v>1596</v>
      </c>
      <c r="E28" s="0" t="s">
        <v>2437</v>
      </c>
      <c r="F28" s="0" t="s">
        <v>2526</v>
      </c>
    </row>
    <row r="29" customFormat="false" ht="41.75" hidden="false" customHeight="false" outlineLevel="0" collapsed="false">
      <c r="A29" s="0" t="s">
        <v>2530</v>
      </c>
      <c r="B29" s="0" t="s">
        <v>2531</v>
      </c>
      <c r="C29" s="16" t="s">
        <v>2532</v>
      </c>
      <c r="D29" s="0" t="s">
        <v>2533</v>
      </c>
      <c r="E29" s="0" t="s">
        <v>2441</v>
      </c>
      <c r="F29" s="0" t="s">
        <v>2526</v>
      </c>
    </row>
    <row r="30" customFormat="false" ht="28.35" hidden="false" customHeight="false" outlineLevel="0" collapsed="false">
      <c r="A30" s="0" t="s">
        <v>2534</v>
      </c>
      <c r="B30" s="0" t="s">
        <v>2535</v>
      </c>
      <c r="C30" s="16" t="s">
        <v>2536</v>
      </c>
      <c r="D30" s="0" t="s">
        <v>2537</v>
      </c>
      <c r="E30" s="0" t="s">
        <v>2437</v>
      </c>
      <c r="F30" s="0" t="s">
        <v>2526</v>
      </c>
    </row>
    <row r="31" customFormat="false" ht="28.35" hidden="false" customHeight="false" outlineLevel="0" collapsed="false">
      <c r="A31" s="0" t="s">
        <v>2538</v>
      </c>
      <c r="B31" s="0" t="s">
        <v>2539</v>
      </c>
      <c r="C31" s="16" t="s">
        <v>2540</v>
      </c>
      <c r="D31" s="0" t="s">
        <v>2541</v>
      </c>
      <c r="E31" s="0" t="s">
        <v>2437</v>
      </c>
      <c r="F31" s="0" t="s">
        <v>2526</v>
      </c>
    </row>
    <row r="32" customFormat="false" ht="28.35" hidden="false" customHeight="false" outlineLevel="0" collapsed="false">
      <c r="A32" s="0" t="s">
        <v>2542</v>
      </c>
      <c r="B32" s="0" t="s">
        <v>2543</v>
      </c>
      <c r="C32" s="16" t="s">
        <v>2544</v>
      </c>
      <c r="D32" s="0" t="s">
        <v>2545</v>
      </c>
      <c r="E32" s="0" t="s">
        <v>2437</v>
      </c>
      <c r="F32" s="0" t="s">
        <v>2526</v>
      </c>
    </row>
  </sheetData>
  <autoFilter ref="A1:F3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2026-10-26T14:29:42Z</dcterms:created>
  <dc:creator>openpyxl</dc:creator>
  <dc:description/>
  <dc:language>en-US</dc:language>
  <cp:lastModifiedBy/>
  <dcterms:modified xsi:type="dcterms:W3CDTF">2026-10-26T14:29:42Z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